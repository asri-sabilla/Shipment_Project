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mc:AlternateContent xmlns:mc="http://schemas.openxmlformats.org/markup-compatibility/2006">
    <mc:Choice Requires="x15">
      <x15ac:absPath xmlns:x15ac="http://schemas.microsoft.com/office/spreadsheetml/2010/11/ac" url="https://d.docs.live.net/397e8fb48cf10397/Documents/data belajar/"/>
    </mc:Choice>
  </mc:AlternateContent>
  <xr:revisionPtr revIDLastSave="0" documentId="8_{593C0F3C-FACC-4A2E-92B3-CE5093A4283A}" xr6:coauthVersionLast="45" xr6:coauthVersionMax="45" xr10:uidLastSave="{00000000-0000-0000-0000-000000000000}"/>
  <bookViews>
    <workbookView xWindow="-110" yWindow="-110" windowWidth="19420" windowHeight="10300" firstSheet="1" activeTab="6" xr2:uid="{00000000-000D-0000-FFFF-FFFF00000000}"/>
  </bookViews>
  <sheets>
    <sheet name="Sheet2" sheetId="9" r:id="rId1"/>
    <sheet name="Logistic_Performance" sheetId="1" r:id="rId2"/>
    <sheet name="Location" sheetId="3" r:id="rId3"/>
    <sheet name="employee" sheetId="5" r:id="rId4"/>
    <sheet name="Service" sheetId="4" r:id="rId5"/>
    <sheet name="Sheet1" sheetId="8" r:id="rId6"/>
    <sheet name="Dashboard" sheetId="7" r:id="rId7"/>
  </sheets>
  <definedNames>
    <definedName name="_xlnm._FilterDatabase" localSheetId="3" hidden="1">employee!$J$3:$J$103</definedName>
    <definedName name="_xlnm._FilterDatabase" localSheetId="1" hidden="1">Logistic_Performance!$B$3:$S$1203</definedName>
    <definedName name="_xlchart.v5.0" hidden="1">Sheet1!$D$33</definedName>
    <definedName name="_xlchart.v5.1" hidden="1">Sheet1!$D$34:$D$43</definedName>
    <definedName name="_xlchart.v5.10" hidden="1">Sheet1!$D$34:$D$43</definedName>
    <definedName name="_xlchart.v5.11" hidden="1">Sheet1!$E$33</definedName>
    <definedName name="_xlchart.v5.12" hidden="1">Sheet1!$E$34:$E$43</definedName>
    <definedName name="_xlchart.v5.2" hidden="1">Sheet1!$E$32</definedName>
    <definedName name="_xlchart.v5.3" hidden="1">Sheet1!$E$33</definedName>
    <definedName name="_xlchart.v5.4" hidden="1">Sheet1!$E$34:$E$43</definedName>
    <definedName name="_xlchart.v5.5" hidden="1">Sheet1!$D$33</definedName>
    <definedName name="_xlchart.v5.6" hidden="1">Sheet1!$D$34:$D$43</definedName>
    <definedName name="_xlchart.v5.7" hidden="1">Sheet1!$E$33</definedName>
    <definedName name="_xlchart.v5.8" hidden="1">Sheet1!$E$34:$E$43</definedName>
    <definedName name="_xlchart.v5.9" hidden="1">Sheet1!$D$33</definedName>
    <definedName name="Slicer_Customer_Type">#N/A</definedName>
    <definedName name="Slicer_Origin_Province">#N/A</definedName>
    <definedName name="Slicer_Service_Type">#N/A</definedName>
  </definedNames>
  <calcPr calcId="181029"/>
  <pivotCaches>
    <pivotCache cacheId="1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D35" i="8" l="1"/>
  <c r="E35" i="8"/>
  <c r="D36" i="8"/>
  <c r="E36" i="8"/>
  <c r="D37" i="8"/>
  <c r="E37" i="8"/>
  <c r="D38" i="8"/>
  <c r="E38" i="8"/>
  <c r="D39" i="8"/>
  <c r="E39" i="8"/>
  <c r="D40" i="8"/>
  <c r="E40" i="8"/>
  <c r="D41" i="8"/>
  <c r="E41" i="8"/>
  <c r="D42" i="8"/>
  <c r="E42" i="8"/>
  <c r="D43" i="8"/>
  <c r="E43" i="8"/>
  <c r="E34" i="8"/>
  <c r="D34" i="8"/>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B5" i="8"/>
  <c r="B1" i="8"/>
  <c r="G11" i="8"/>
  <c r="G10" i="8"/>
  <c r="E1200" i="1" l="1"/>
  <c r="E1198" i="1"/>
  <c r="E1196" i="1"/>
  <c r="E1194" i="1"/>
  <c r="E1192" i="1"/>
  <c r="E1189" i="1"/>
  <c r="E1187" i="1"/>
  <c r="E1186" i="1"/>
  <c r="E1184" i="1"/>
  <c r="E1172" i="1"/>
  <c r="E1170" i="1"/>
  <c r="E1167" i="1"/>
  <c r="E1164" i="1"/>
  <c r="E1151" i="1"/>
  <c r="E1149" i="1"/>
  <c r="E1142" i="1"/>
  <c r="E1129" i="1"/>
  <c r="E1128" i="1"/>
  <c r="E1123" i="1"/>
  <c r="E1120" i="1"/>
  <c r="E1115" i="1"/>
  <c r="E1112" i="1"/>
  <c r="E1108" i="1"/>
  <c r="E1106" i="1"/>
  <c r="E1089" i="1"/>
  <c r="E1087" i="1"/>
  <c r="E1086" i="1"/>
  <c r="E1081" i="1"/>
  <c r="E1079" i="1"/>
  <c r="E1075" i="1"/>
  <c r="E1074" i="1"/>
  <c r="E1057" i="1"/>
  <c r="E1054" i="1"/>
  <c r="E1044" i="1"/>
  <c r="E1042" i="1"/>
  <c r="E1030" i="1"/>
  <c r="E1024" i="1"/>
  <c r="E1023" i="1"/>
  <c r="E1021" i="1"/>
  <c r="E1015" i="1"/>
  <c r="E1010" i="1"/>
  <c r="E1006" i="1"/>
  <c r="E1002" i="1"/>
  <c r="E1000" i="1"/>
  <c r="E996" i="1"/>
  <c r="E987" i="1"/>
  <c r="E981" i="1"/>
  <c r="E974" i="1"/>
  <c r="E970" i="1"/>
  <c r="E964" i="1"/>
  <c r="E959" i="1"/>
  <c r="E957" i="1"/>
  <c r="E955" i="1"/>
  <c r="E954" i="1"/>
  <c r="E951" i="1"/>
  <c r="E948" i="1"/>
  <c r="E946" i="1"/>
  <c r="E944" i="1"/>
  <c r="E942" i="1"/>
  <c r="E934" i="1"/>
  <c r="E930" i="1"/>
  <c r="E929" i="1"/>
  <c r="E928" i="1"/>
  <c r="E923" i="1"/>
  <c r="E916" i="1"/>
  <c r="E915" i="1"/>
  <c r="E910" i="1"/>
  <c r="E908" i="1"/>
  <c r="E889" i="1"/>
  <c r="E883" i="1"/>
  <c r="E881" i="1"/>
  <c r="E875" i="1"/>
  <c r="E874" i="1"/>
  <c r="E872" i="1"/>
  <c r="E870" i="1"/>
  <c r="E867" i="1"/>
  <c r="E864" i="1"/>
  <c r="E862" i="1"/>
  <c r="E852" i="1"/>
  <c r="E849" i="1"/>
  <c r="E848" i="1"/>
  <c r="E840" i="1"/>
  <c r="E833" i="1"/>
  <c r="E824" i="1"/>
  <c r="E820" i="1"/>
  <c r="E819" i="1"/>
  <c r="E804" i="1"/>
  <c r="E798" i="1"/>
  <c r="E794" i="1"/>
  <c r="E792" i="1"/>
  <c r="E790" i="1"/>
  <c r="E786" i="1"/>
  <c r="E784" i="1"/>
  <c r="E781" i="1"/>
  <c r="E779" i="1"/>
  <c r="E762" i="1"/>
  <c r="E760" i="1"/>
  <c r="E757" i="1"/>
  <c r="E755" i="1"/>
  <c r="E746" i="1"/>
  <c r="E744" i="1"/>
  <c r="E738" i="1"/>
  <c r="E729" i="1"/>
  <c r="E728" i="1"/>
  <c r="E723" i="1"/>
  <c r="E721" i="1"/>
  <c r="E716" i="1"/>
  <c r="E710" i="1"/>
  <c r="E704" i="1"/>
  <c r="E702" i="1"/>
  <c r="E700" i="1"/>
  <c r="E696" i="1"/>
  <c r="E692" i="1"/>
  <c r="E686" i="1"/>
  <c r="E674" i="1"/>
  <c r="E667" i="1"/>
  <c r="E665" i="1"/>
  <c r="E659" i="1"/>
  <c r="E657" i="1"/>
  <c r="E654" i="1"/>
  <c r="E649" i="1"/>
  <c r="E648" i="1"/>
  <c r="E646" i="1"/>
  <c r="E644" i="1"/>
  <c r="E642" i="1"/>
  <c r="E636" i="1"/>
  <c r="E634" i="1"/>
  <c r="E630" i="1"/>
  <c r="E628" i="1"/>
  <c r="E616" i="1"/>
  <c r="E606" i="1"/>
  <c r="E602" i="1"/>
  <c r="E600" i="1"/>
  <c r="E589" i="1"/>
  <c r="E581" i="1"/>
  <c r="E575" i="1"/>
  <c r="E574" i="1"/>
  <c r="E552" i="1"/>
  <c r="E548" i="1"/>
  <c r="E540" i="1"/>
  <c r="E538" i="1"/>
  <c r="E534" i="1"/>
  <c r="E529" i="1"/>
  <c r="E524" i="1"/>
  <c r="E521" i="1"/>
  <c r="E519" i="1"/>
  <c r="E516" i="1"/>
  <c r="E494" i="1"/>
  <c r="E489" i="1"/>
  <c r="E479" i="1"/>
  <c r="E475" i="1"/>
  <c r="E472" i="1"/>
  <c r="E470" i="1"/>
  <c r="E469" i="1"/>
  <c r="E465" i="1"/>
  <c r="E464" i="1"/>
  <c r="E460" i="1"/>
  <c r="E454" i="1"/>
  <c r="E452" i="1"/>
  <c r="E451" i="1"/>
  <c r="E434" i="1"/>
  <c r="E424" i="1"/>
  <c r="E421" i="1"/>
  <c r="E420" i="1"/>
  <c r="E419" i="1"/>
  <c r="E410" i="1"/>
  <c r="E406" i="1"/>
  <c r="E404" i="1"/>
  <c r="E401" i="1"/>
  <c r="E400" i="1"/>
  <c r="E398" i="1"/>
  <c r="E396" i="1"/>
  <c r="E394" i="1"/>
  <c r="E392" i="1"/>
  <c r="E389" i="1"/>
  <c r="E386" i="1"/>
  <c r="E379" i="1"/>
  <c r="E359" i="1"/>
  <c r="E355" i="1"/>
  <c r="E348" i="1"/>
  <c r="E340" i="1"/>
  <c r="E336" i="1"/>
  <c r="E329" i="1"/>
  <c r="E328" i="1"/>
  <c r="E320" i="1"/>
  <c r="E319" i="1"/>
  <c r="E316" i="1"/>
  <c r="E315" i="1"/>
  <c r="E304" i="1"/>
  <c r="E300" i="1"/>
  <c r="E294" i="1"/>
  <c r="E292" i="1"/>
  <c r="E289" i="1"/>
  <c r="E287" i="1"/>
  <c r="E284" i="1"/>
  <c r="E283" i="1"/>
  <c r="E275" i="1"/>
  <c r="E272" i="1"/>
  <c r="E262" i="1"/>
  <c r="E259" i="1"/>
  <c r="E257" i="1"/>
  <c r="E254" i="1"/>
  <c r="E251" i="1"/>
  <c r="E246" i="1"/>
  <c r="E240" i="1"/>
  <c r="E238" i="1"/>
  <c r="E236" i="1"/>
  <c r="E233" i="1"/>
  <c r="E230" i="1"/>
  <c r="E229" i="1"/>
  <c r="E224" i="1"/>
  <c r="E204" i="1"/>
  <c r="E201" i="1"/>
  <c r="E200" i="1"/>
  <c r="E194" i="1"/>
  <c r="E192" i="1"/>
  <c r="E184" i="1"/>
  <c r="E179" i="1"/>
  <c r="E178" i="1"/>
  <c r="E175" i="1"/>
  <c r="E174" i="1"/>
  <c r="E160" i="1"/>
  <c r="E149" i="1"/>
  <c r="E140" i="1"/>
  <c r="E138" i="1"/>
  <c r="E112" i="1"/>
  <c r="E110" i="1"/>
  <c r="E106" i="1"/>
  <c r="E101" i="1"/>
  <c r="E98" i="1"/>
  <c r="E96" i="1"/>
  <c r="E94" i="1"/>
  <c r="E90" i="1"/>
  <c r="E75" i="1"/>
  <c r="E70" i="1"/>
  <c r="E65" i="1"/>
  <c r="E64" i="1"/>
  <c r="E62" i="1"/>
  <c r="E60" i="1"/>
  <c r="E57" i="1"/>
  <c r="E55" i="1"/>
  <c r="E51" i="1"/>
  <c r="E49" i="1"/>
  <c r="E46" i="1"/>
  <c r="E34" i="1"/>
  <c r="E33" i="1"/>
  <c r="E21" i="1"/>
  <c r="E20" i="1"/>
  <c r="E16" i="1"/>
  <c r="E15" i="1"/>
  <c r="E12" i="1"/>
  <c r="E8"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alcChain>
</file>

<file path=xl/sharedStrings.xml><?xml version="1.0" encoding="utf-8"?>
<sst xmlns="http://schemas.openxmlformats.org/spreadsheetml/2006/main" count="7944" uniqueCount="1470">
  <si>
    <t>Shipment_ID</t>
  </si>
  <si>
    <t>Shipment_Date</t>
  </si>
  <si>
    <t>Origin_Province</t>
  </si>
  <si>
    <t>Destination_Province</t>
  </si>
  <si>
    <t>Service_Type</t>
  </si>
  <si>
    <t>Customer_Type</t>
  </si>
  <si>
    <t>Weight_KG</t>
  </si>
  <si>
    <t>Delivery_Days</t>
  </si>
  <si>
    <t>SLA_Days</t>
  </si>
  <si>
    <t>Delivery_Status</t>
  </si>
  <si>
    <t>SHP00001</t>
  </si>
  <si>
    <t>Banten</t>
  </si>
  <si>
    <t>Sulawesi Selatan</t>
  </si>
  <si>
    <t>Corporate</t>
  </si>
  <si>
    <t>SHP00002</t>
  </si>
  <si>
    <t>Jawa Barat</t>
  </si>
  <si>
    <t>DKI Jakarta</t>
  </si>
  <si>
    <t>Retail</t>
  </si>
  <si>
    <t>SHP00003</t>
  </si>
  <si>
    <t>SHP00004</t>
  </si>
  <si>
    <t>Bali</t>
  </si>
  <si>
    <t>SHP00005</t>
  </si>
  <si>
    <t>Jawa Timur</t>
  </si>
  <si>
    <t>ECO</t>
  </si>
  <si>
    <t>SHP00006</t>
  </si>
  <si>
    <t>SHP00007</t>
  </si>
  <si>
    <t>Jawa Tengah</t>
  </si>
  <si>
    <t>SHP00008</t>
  </si>
  <si>
    <t>SHP00009</t>
  </si>
  <si>
    <t>SHP00010</t>
  </si>
  <si>
    <t>Sumatera Utara</t>
  </si>
  <si>
    <t>SHP00011</t>
  </si>
  <si>
    <t>Sumatera Selatan</t>
  </si>
  <si>
    <t>SHP00012</t>
  </si>
  <si>
    <t>SHP00013</t>
  </si>
  <si>
    <t>SHP00014</t>
  </si>
  <si>
    <t>SHP00015</t>
  </si>
  <si>
    <t>SHP00016</t>
  </si>
  <si>
    <t>SHP00017</t>
  </si>
  <si>
    <t>SHP00018</t>
  </si>
  <si>
    <t>SHP00019</t>
  </si>
  <si>
    <t>SHP00020</t>
  </si>
  <si>
    <t>SHP00021</t>
  </si>
  <si>
    <t>SHP00022</t>
  </si>
  <si>
    <t>SHP00023</t>
  </si>
  <si>
    <t>SHP00024</t>
  </si>
  <si>
    <t>SHP00025</t>
  </si>
  <si>
    <t>SHP00026</t>
  </si>
  <si>
    <t>SHP00027</t>
  </si>
  <si>
    <t>Kalimantan Timur</t>
  </si>
  <si>
    <t>SHP00028</t>
  </si>
  <si>
    <t>SHP00029</t>
  </si>
  <si>
    <t>SHP00030</t>
  </si>
  <si>
    <t>SHP00031</t>
  </si>
  <si>
    <t>SHP00032</t>
  </si>
  <si>
    <t>SHP00033</t>
  </si>
  <si>
    <t>SHP00034</t>
  </si>
  <si>
    <t>SHP00035</t>
  </si>
  <si>
    <t>SHP00036</t>
  </si>
  <si>
    <t>SHP00037</t>
  </si>
  <si>
    <t>SHP00038</t>
  </si>
  <si>
    <t>SHP00039</t>
  </si>
  <si>
    <t>SHP00040</t>
  </si>
  <si>
    <t>SHP00041</t>
  </si>
  <si>
    <t>SHP00042</t>
  </si>
  <si>
    <t>SHP00043</t>
  </si>
  <si>
    <t>SHP00044</t>
  </si>
  <si>
    <t>SHP00045</t>
  </si>
  <si>
    <t>SHP00046</t>
  </si>
  <si>
    <t>SHP00047</t>
  </si>
  <si>
    <t>SHP00048</t>
  </si>
  <si>
    <t>SHP00049</t>
  </si>
  <si>
    <t>SHP00050</t>
  </si>
  <si>
    <t>SHP00051</t>
  </si>
  <si>
    <t>SHP00052</t>
  </si>
  <si>
    <t>SHP00053</t>
  </si>
  <si>
    <t>SHP00054</t>
  </si>
  <si>
    <t>SHP00055</t>
  </si>
  <si>
    <t>SHP00056</t>
  </si>
  <si>
    <t>SHP00057</t>
  </si>
  <si>
    <t>SHP00058</t>
  </si>
  <si>
    <t>SHP00059</t>
  </si>
  <si>
    <t>SHP00060</t>
  </si>
  <si>
    <t>SHP00061</t>
  </si>
  <si>
    <t>SHP00062</t>
  </si>
  <si>
    <t>SHP00063</t>
  </si>
  <si>
    <t>SHP00064</t>
  </si>
  <si>
    <t>SHP00065</t>
  </si>
  <si>
    <t>SHP00066</t>
  </si>
  <si>
    <t>SHP00067</t>
  </si>
  <si>
    <t>SHP00068</t>
  </si>
  <si>
    <t>SHP00069</t>
  </si>
  <si>
    <t>SHP00070</t>
  </si>
  <si>
    <t>SHP00071</t>
  </si>
  <si>
    <t>SHP00072</t>
  </si>
  <si>
    <t>SHP00073</t>
  </si>
  <si>
    <t>SHP00074</t>
  </si>
  <si>
    <t>SHP00075</t>
  </si>
  <si>
    <t>SHP00076</t>
  </si>
  <si>
    <t>SHP00077</t>
  </si>
  <si>
    <t>SHP00078</t>
  </si>
  <si>
    <t>SHP00079</t>
  </si>
  <si>
    <t>SHP00080</t>
  </si>
  <si>
    <t>SHP00081</t>
  </si>
  <si>
    <t>SHP00082</t>
  </si>
  <si>
    <t>SHP00083</t>
  </si>
  <si>
    <t>SHP00084</t>
  </si>
  <si>
    <t>SHP00085</t>
  </si>
  <si>
    <t>SHP00086</t>
  </si>
  <si>
    <t>SHP00087</t>
  </si>
  <si>
    <t>SHP00088</t>
  </si>
  <si>
    <t>SHP00089</t>
  </si>
  <si>
    <t>SHP00090</t>
  </si>
  <si>
    <t>SHP00091</t>
  </si>
  <si>
    <t>SHP00092</t>
  </si>
  <si>
    <t>SHP00093</t>
  </si>
  <si>
    <t>SHP00094</t>
  </si>
  <si>
    <t>SHP00095</t>
  </si>
  <si>
    <t>SHP00096</t>
  </si>
  <si>
    <t>SHP00097</t>
  </si>
  <si>
    <t>SHP00098</t>
  </si>
  <si>
    <t>SHP00099</t>
  </si>
  <si>
    <t>SHP00100</t>
  </si>
  <si>
    <t>SHP00101</t>
  </si>
  <si>
    <t>SHP00102</t>
  </si>
  <si>
    <t>SHP00103</t>
  </si>
  <si>
    <t>SHP00104</t>
  </si>
  <si>
    <t>SHP00105</t>
  </si>
  <si>
    <t>SHP00106</t>
  </si>
  <si>
    <t>SHP00107</t>
  </si>
  <si>
    <t>SHP00108</t>
  </si>
  <si>
    <t>SHP00109</t>
  </si>
  <si>
    <t>SHP00110</t>
  </si>
  <si>
    <t>SHP00111</t>
  </si>
  <si>
    <t>SHP00112</t>
  </si>
  <si>
    <t>SHP00113</t>
  </si>
  <si>
    <t>SHP00114</t>
  </si>
  <si>
    <t>SHP00115</t>
  </si>
  <si>
    <t>SHP00116</t>
  </si>
  <si>
    <t>SHP00117</t>
  </si>
  <si>
    <t>SHP00118</t>
  </si>
  <si>
    <t>SHP00119</t>
  </si>
  <si>
    <t>SHP00120</t>
  </si>
  <si>
    <t>SHP00121</t>
  </si>
  <si>
    <t>SHP00122</t>
  </si>
  <si>
    <t>SHP00123</t>
  </si>
  <si>
    <t>SHP00124</t>
  </si>
  <si>
    <t>SHP00125</t>
  </si>
  <si>
    <t>SHP00126</t>
  </si>
  <si>
    <t>SHP00127</t>
  </si>
  <si>
    <t>SHP00128</t>
  </si>
  <si>
    <t>SHP00129</t>
  </si>
  <si>
    <t>SHP00130</t>
  </si>
  <si>
    <t>SHP00131</t>
  </si>
  <si>
    <t>SHP00132</t>
  </si>
  <si>
    <t>SHP00133</t>
  </si>
  <si>
    <t>SHP00134</t>
  </si>
  <si>
    <t>SHP00135</t>
  </si>
  <si>
    <t>SHP00136</t>
  </si>
  <si>
    <t>SHP00137</t>
  </si>
  <si>
    <t>SHP00138</t>
  </si>
  <si>
    <t>SHP00139</t>
  </si>
  <si>
    <t>SHP00140</t>
  </si>
  <si>
    <t>SHP00141</t>
  </si>
  <si>
    <t>SHP00142</t>
  </si>
  <si>
    <t>SHP00143</t>
  </si>
  <si>
    <t>SHP00144</t>
  </si>
  <si>
    <t>SHP00145</t>
  </si>
  <si>
    <t>SHP00146</t>
  </si>
  <si>
    <t>SHP00147</t>
  </si>
  <si>
    <t>SHP00148</t>
  </si>
  <si>
    <t>SHP00149</t>
  </si>
  <si>
    <t>SHP00150</t>
  </si>
  <si>
    <t>SHP00151</t>
  </si>
  <si>
    <t>SHP00152</t>
  </si>
  <si>
    <t>SHP00153</t>
  </si>
  <si>
    <t>SHP00154</t>
  </si>
  <si>
    <t>SHP00155</t>
  </si>
  <si>
    <t>SHP00156</t>
  </si>
  <si>
    <t>SHP00157</t>
  </si>
  <si>
    <t>SHP00158</t>
  </si>
  <si>
    <t>SHP00159</t>
  </si>
  <si>
    <t>SHP00160</t>
  </si>
  <si>
    <t>SHP00161</t>
  </si>
  <si>
    <t>SHP00162</t>
  </si>
  <si>
    <t>SHP00163</t>
  </si>
  <si>
    <t>SHP00164</t>
  </si>
  <si>
    <t>SHP00165</t>
  </si>
  <si>
    <t>SHP00166</t>
  </si>
  <si>
    <t>SHP00167</t>
  </si>
  <si>
    <t>SHP00168</t>
  </si>
  <si>
    <t>SHP00169</t>
  </si>
  <si>
    <t>SHP00170</t>
  </si>
  <si>
    <t>SHP00171</t>
  </si>
  <si>
    <t>SHP00172</t>
  </si>
  <si>
    <t>SHP00173</t>
  </si>
  <si>
    <t>SHP00174</t>
  </si>
  <si>
    <t>SHP00175</t>
  </si>
  <si>
    <t>SHP00176</t>
  </si>
  <si>
    <t>SHP00177</t>
  </si>
  <si>
    <t>SHP00178</t>
  </si>
  <si>
    <t>SHP00179</t>
  </si>
  <si>
    <t>SHP00180</t>
  </si>
  <si>
    <t>SHP00181</t>
  </si>
  <si>
    <t>SHP00182</t>
  </si>
  <si>
    <t>SHP00183</t>
  </si>
  <si>
    <t>SHP00184</t>
  </si>
  <si>
    <t>SHP00185</t>
  </si>
  <si>
    <t>SHP00186</t>
  </si>
  <si>
    <t>SHP00187</t>
  </si>
  <si>
    <t>SHP00188</t>
  </si>
  <si>
    <t>SHP00189</t>
  </si>
  <si>
    <t>SHP00190</t>
  </si>
  <si>
    <t>SHP00191</t>
  </si>
  <si>
    <t>SHP00192</t>
  </si>
  <si>
    <t>SHP00193</t>
  </si>
  <si>
    <t>SHP00194</t>
  </si>
  <si>
    <t>SHP00195</t>
  </si>
  <si>
    <t>SHP00196</t>
  </si>
  <si>
    <t>SHP00197</t>
  </si>
  <si>
    <t>SHP00198</t>
  </si>
  <si>
    <t>SHP00199</t>
  </si>
  <si>
    <t>SHP00200</t>
  </si>
  <si>
    <t>SHP00201</t>
  </si>
  <si>
    <t>SHP00202</t>
  </si>
  <si>
    <t>SHP00203</t>
  </si>
  <si>
    <t>SHP00204</t>
  </si>
  <si>
    <t>SHP00205</t>
  </si>
  <si>
    <t>SHP00206</t>
  </si>
  <si>
    <t>SHP00207</t>
  </si>
  <si>
    <t>SHP00208</t>
  </si>
  <si>
    <t>SHP00209</t>
  </si>
  <si>
    <t>SHP00210</t>
  </si>
  <si>
    <t>SHP00211</t>
  </si>
  <si>
    <t>SHP00212</t>
  </si>
  <si>
    <t>SHP00213</t>
  </si>
  <si>
    <t>SHP00214</t>
  </si>
  <si>
    <t>SHP00215</t>
  </si>
  <si>
    <t>SHP00216</t>
  </si>
  <si>
    <t>SHP00217</t>
  </si>
  <si>
    <t>SHP00218</t>
  </si>
  <si>
    <t>SHP00219</t>
  </si>
  <si>
    <t>SHP00220</t>
  </si>
  <si>
    <t>SHP00221</t>
  </si>
  <si>
    <t>SHP00222</t>
  </si>
  <si>
    <t>SHP00223</t>
  </si>
  <si>
    <t>SHP00224</t>
  </si>
  <si>
    <t>SHP00225</t>
  </si>
  <si>
    <t>SHP00226</t>
  </si>
  <si>
    <t>SHP00227</t>
  </si>
  <si>
    <t>SHP00228</t>
  </si>
  <si>
    <t>SHP00229</t>
  </si>
  <si>
    <t>SHP00230</t>
  </si>
  <si>
    <t>SHP00231</t>
  </si>
  <si>
    <t>SHP00232</t>
  </si>
  <si>
    <t>SHP00233</t>
  </si>
  <si>
    <t>SHP00234</t>
  </si>
  <si>
    <t>SHP00235</t>
  </si>
  <si>
    <t>SHP00236</t>
  </si>
  <si>
    <t>SHP00237</t>
  </si>
  <si>
    <t>SHP00238</t>
  </si>
  <si>
    <t>SHP00239</t>
  </si>
  <si>
    <t>SHP00240</t>
  </si>
  <si>
    <t>SHP00241</t>
  </si>
  <si>
    <t>SHP00242</t>
  </si>
  <si>
    <t>SHP00243</t>
  </si>
  <si>
    <t>SHP00244</t>
  </si>
  <si>
    <t>SHP00245</t>
  </si>
  <si>
    <t>SHP00246</t>
  </si>
  <si>
    <t>SHP00247</t>
  </si>
  <si>
    <t>SHP00248</t>
  </si>
  <si>
    <t>SHP00249</t>
  </si>
  <si>
    <t>SHP00250</t>
  </si>
  <si>
    <t>SHP00251</t>
  </si>
  <si>
    <t>SHP00252</t>
  </si>
  <si>
    <t>SHP00253</t>
  </si>
  <si>
    <t>SHP00254</t>
  </si>
  <si>
    <t>SHP00255</t>
  </si>
  <si>
    <t>SHP00256</t>
  </si>
  <si>
    <t>SHP00257</t>
  </si>
  <si>
    <t>SHP00258</t>
  </si>
  <si>
    <t>SHP00259</t>
  </si>
  <si>
    <t>SHP00260</t>
  </si>
  <si>
    <t>SHP00261</t>
  </si>
  <si>
    <t>SHP00262</t>
  </si>
  <si>
    <t>SHP00263</t>
  </si>
  <si>
    <t>SHP00264</t>
  </si>
  <si>
    <t>SHP00265</t>
  </si>
  <si>
    <t>SHP00266</t>
  </si>
  <si>
    <t>SHP00267</t>
  </si>
  <si>
    <t>SHP00268</t>
  </si>
  <si>
    <t>SHP00269</t>
  </si>
  <si>
    <t>SHP00270</t>
  </si>
  <si>
    <t>SHP00271</t>
  </si>
  <si>
    <t>SHP00272</t>
  </si>
  <si>
    <t>SHP00273</t>
  </si>
  <si>
    <t>SHP00274</t>
  </si>
  <si>
    <t>SHP00275</t>
  </si>
  <si>
    <t>SHP00276</t>
  </si>
  <si>
    <t>SHP00277</t>
  </si>
  <si>
    <t>SHP00278</t>
  </si>
  <si>
    <t>SHP00279</t>
  </si>
  <si>
    <t>SHP00280</t>
  </si>
  <si>
    <t>SHP00281</t>
  </si>
  <si>
    <t>SHP00282</t>
  </si>
  <si>
    <t>SHP00283</t>
  </si>
  <si>
    <t>SHP00284</t>
  </si>
  <si>
    <t>SHP00285</t>
  </si>
  <si>
    <t>SHP00286</t>
  </si>
  <si>
    <t>SHP00287</t>
  </si>
  <si>
    <t>SHP00288</t>
  </si>
  <si>
    <t>SHP00289</t>
  </si>
  <si>
    <t>SHP00290</t>
  </si>
  <si>
    <t>SHP00291</t>
  </si>
  <si>
    <t>SHP00292</t>
  </si>
  <si>
    <t>SHP00293</t>
  </si>
  <si>
    <t>SHP00294</t>
  </si>
  <si>
    <t>SHP00295</t>
  </si>
  <si>
    <t>SHP00296</t>
  </si>
  <si>
    <t>SHP00297</t>
  </si>
  <si>
    <t>SHP00298</t>
  </si>
  <si>
    <t>SHP00299</t>
  </si>
  <si>
    <t>SHP00300</t>
  </si>
  <si>
    <t>SHP00301</t>
  </si>
  <si>
    <t>SHP00302</t>
  </si>
  <si>
    <t>SHP00303</t>
  </si>
  <si>
    <t>SHP00304</t>
  </si>
  <si>
    <t>SHP00305</t>
  </si>
  <si>
    <t>SHP00306</t>
  </si>
  <si>
    <t>SHP00307</t>
  </si>
  <si>
    <t>SHP00308</t>
  </si>
  <si>
    <t>SHP00309</t>
  </si>
  <si>
    <t>SHP00310</t>
  </si>
  <si>
    <t>SHP00311</t>
  </si>
  <si>
    <t>SHP00312</t>
  </si>
  <si>
    <t>SHP00313</t>
  </si>
  <si>
    <t>SHP00314</t>
  </si>
  <si>
    <t>SHP00315</t>
  </si>
  <si>
    <t>SHP00316</t>
  </si>
  <si>
    <t>SHP00317</t>
  </si>
  <si>
    <t>SHP00318</t>
  </si>
  <si>
    <t>SHP00319</t>
  </si>
  <si>
    <t>SHP00320</t>
  </si>
  <si>
    <t>SHP00321</t>
  </si>
  <si>
    <t>SHP00322</t>
  </si>
  <si>
    <t>SHP00323</t>
  </si>
  <si>
    <t>SHP00324</t>
  </si>
  <si>
    <t>SHP00325</t>
  </si>
  <si>
    <t>SHP00326</t>
  </si>
  <si>
    <t>SHP00327</t>
  </si>
  <si>
    <t>SHP00328</t>
  </si>
  <si>
    <t>SHP00329</t>
  </si>
  <si>
    <t>SHP00330</t>
  </si>
  <si>
    <t>SHP00331</t>
  </si>
  <si>
    <t>SHP00332</t>
  </si>
  <si>
    <t>SHP00333</t>
  </si>
  <si>
    <t>SHP00334</t>
  </si>
  <si>
    <t>SHP00335</t>
  </si>
  <si>
    <t>SHP00336</t>
  </si>
  <si>
    <t>SHP00337</t>
  </si>
  <si>
    <t>SHP00338</t>
  </si>
  <si>
    <t>SHP00339</t>
  </si>
  <si>
    <t>SHP00340</t>
  </si>
  <si>
    <t>SHP00341</t>
  </si>
  <si>
    <t>SHP00342</t>
  </si>
  <si>
    <t>SHP00343</t>
  </si>
  <si>
    <t>SHP00344</t>
  </si>
  <si>
    <t>SHP00345</t>
  </si>
  <si>
    <t>SHP00346</t>
  </si>
  <si>
    <t>SHP00347</t>
  </si>
  <si>
    <t>SHP00348</t>
  </si>
  <si>
    <t>SHP00349</t>
  </si>
  <si>
    <t>SHP00350</t>
  </si>
  <si>
    <t>SHP00351</t>
  </si>
  <si>
    <t>SHP00352</t>
  </si>
  <si>
    <t>SHP00353</t>
  </si>
  <si>
    <t>SHP00354</t>
  </si>
  <si>
    <t>SHP00355</t>
  </si>
  <si>
    <t>SHP00356</t>
  </si>
  <si>
    <t>SHP00357</t>
  </si>
  <si>
    <t>SHP00358</t>
  </si>
  <si>
    <t>SHP00359</t>
  </si>
  <si>
    <t>SHP00360</t>
  </si>
  <si>
    <t>SHP00361</t>
  </si>
  <si>
    <t>SHP00362</t>
  </si>
  <si>
    <t>SHP00363</t>
  </si>
  <si>
    <t>SHP00364</t>
  </si>
  <si>
    <t>SHP00365</t>
  </si>
  <si>
    <t>SHP00366</t>
  </si>
  <si>
    <t>SHP00367</t>
  </si>
  <si>
    <t>SHP00368</t>
  </si>
  <si>
    <t>SHP00369</t>
  </si>
  <si>
    <t>SHP00370</t>
  </si>
  <si>
    <t>SHP00371</t>
  </si>
  <si>
    <t>SHP00372</t>
  </si>
  <si>
    <t>SHP00373</t>
  </si>
  <si>
    <t>SHP00374</t>
  </si>
  <si>
    <t>SHP00375</t>
  </si>
  <si>
    <t>SHP00376</t>
  </si>
  <si>
    <t>SHP00377</t>
  </si>
  <si>
    <t>SHP00378</t>
  </si>
  <si>
    <t>SHP00379</t>
  </si>
  <si>
    <t>SHP00380</t>
  </si>
  <si>
    <t>SHP00381</t>
  </si>
  <si>
    <t>SHP00382</t>
  </si>
  <si>
    <t>SHP00383</t>
  </si>
  <si>
    <t>SHP00384</t>
  </si>
  <si>
    <t>SHP00385</t>
  </si>
  <si>
    <t>SHP00386</t>
  </si>
  <si>
    <t>SHP00387</t>
  </si>
  <si>
    <t>SHP00388</t>
  </si>
  <si>
    <t>SHP00389</t>
  </si>
  <si>
    <t>SHP00390</t>
  </si>
  <si>
    <t>SHP00391</t>
  </si>
  <si>
    <t>SHP00392</t>
  </si>
  <si>
    <t>SHP00393</t>
  </si>
  <si>
    <t>SHP00394</t>
  </si>
  <si>
    <t>SHP00395</t>
  </si>
  <si>
    <t>SHP00396</t>
  </si>
  <si>
    <t>SHP00397</t>
  </si>
  <si>
    <t>SHP00398</t>
  </si>
  <si>
    <t>SHP00399</t>
  </si>
  <si>
    <t>SHP00400</t>
  </si>
  <si>
    <t>SHP00401</t>
  </si>
  <si>
    <t>SHP00402</t>
  </si>
  <si>
    <t>SHP00403</t>
  </si>
  <si>
    <t>SHP00404</t>
  </si>
  <si>
    <t>SHP00405</t>
  </si>
  <si>
    <t>SHP00406</t>
  </si>
  <si>
    <t>SHP00407</t>
  </si>
  <si>
    <t>SHP00408</t>
  </si>
  <si>
    <t>SHP00409</t>
  </si>
  <si>
    <t>SHP00410</t>
  </si>
  <si>
    <t>SHP00411</t>
  </si>
  <si>
    <t>SHP00412</t>
  </si>
  <si>
    <t>SHP00413</t>
  </si>
  <si>
    <t>SHP00414</t>
  </si>
  <si>
    <t>SHP00415</t>
  </si>
  <si>
    <t>SHP00416</t>
  </si>
  <si>
    <t>SHP00417</t>
  </si>
  <si>
    <t>SHP00418</t>
  </si>
  <si>
    <t>SHP00419</t>
  </si>
  <si>
    <t>SHP00420</t>
  </si>
  <si>
    <t>SHP00421</t>
  </si>
  <si>
    <t>SHP00422</t>
  </si>
  <si>
    <t>SHP00423</t>
  </si>
  <si>
    <t>SHP00424</t>
  </si>
  <si>
    <t>SHP00425</t>
  </si>
  <si>
    <t>SHP00426</t>
  </si>
  <si>
    <t>SHP00427</t>
  </si>
  <si>
    <t>SHP00428</t>
  </si>
  <si>
    <t>SHP00429</t>
  </si>
  <si>
    <t>SHP00430</t>
  </si>
  <si>
    <t>SHP00431</t>
  </si>
  <si>
    <t>SHP00432</t>
  </si>
  <si>
    <t>SHP00433</t>
  </si>
  <si>
    <t>SHP00434</t>
  </si>
  <si>
    <t>SHP00435</t>
  </si>
  <si>
    <t>SHP00436</t>
  </si>
  <si>
    <t>SHP00437</t>
  </si>
  <si>
    <t>SHP00438</t>
  </si>
  <si>
    <t>SHP00439</t>
  </si>
  <si>
    <t>SHP00440</t>
  </si>
  <si>
    <t>SHP00441</t>
  </si>
  <si>
    <t>SHP00442</t>
  </si>
  <si>
    <t>SHP00443</t>
  </si>
  <si>
    <t>SHP00444</t>
  </si>
  <si>
    <t>SHP00445</t>
  </si>
  <si>
    <t>SHP00446</t>
  </si>
  <si>
    <t>SHP00447</t>
  </si>
  <si>
    <t>SHP00448</t>
  </si>
  <si>
    <t>SHP00449</t>
  </si>
  <si>
    <t>SHP00450</t>
  </si>
  <si>
    <t>SHP00451</t>
  </si>
  <si>
    <t>SHP00452</t>
  </si>
  <si>
    <t>SHP00453</t>
  </si>
  <si>
    <t>SHP00454</t>
  </si>
  <si>
    <t>SHP00455</t>
  </si>
  <si>
    <t>SHP00456</t>
  </si>
  <si>
    <t>SHP00457</t>
  </si>
  <si>
    <t>SHP00458</t>
  </si>
  <si>
    <t>SHP00459</t>
  </si>
  <si>
    <t>SHP00460</t>
  </si>
  <si>
    <t>SHP00461</t>
  </si>
  <si>
    <t>SHP00462</t>
  </si>
  <si>
    <t>SHP00463</t>
  </si>
  <si>
    <t>SHP00464</t>
  </si>
  <si>
    <t>SHP00465</t>
  </si>
  <si>
    <t>SHP00466</t>
  </si>
  <si>
    <t>SHP00467</t>
  </si>
  <si>
    <t>SHP00468</t>
  </si>
  <si>
    <t>SHP00469</t>
  </si>
  <si>
    <t>SHP00470</t>
  </si>
  <si>
    <t>SHP00471</t>
  </si>
  <si>
    <t>SHP00472</t>
  </si>
  <si>
    <t>SHP00473</t>
  </si>
  <si>
    <t>SHP00474</t>
  </si>
  <si>
    <t>SHP00475</t>
  </si>
  <si>
    <t>SHP00476</t>
  </si>
  <si>
    <t>SHP00477</t>
  </si>
  <si>
    <t>SHP00478</t>
  </si>
  <si>
    <t>SHP00479</t>
  </si>
  <si>
    <t>SHP00480</t>
  </si>
  <si>
    <t>SHP00481</t>
  </si>
  <si>
    <t>SHP00482</t>
  </si>
  <si>
    <t>SHP00483</t>
  </si>
  <si>
    <t>SHP00484</t>
  </si>
  <si>
    <t>SHP00485</t>
  </si>
  <si>
    <t>SHP00486</t>
  </si>
  <si>
    <t>SHP00487</t>
  </si>
  <si>
    <t>SHP00488</t>
  </si>
  <si>
    <t>SHP00489</t>
  </si>
  <si>
    <t>SHP00490</t>
  </si>
  <si>
    <t>SHP00491</t>
  </si>
  <si>
    <t>SHP00492</t>
  </si>
  <si>
    <t>SHP00493</t>
  </si>
  <si>
    <t>SHP00494</t>
  </si>
  <si>
    <t>SHP00495</t>
  </si>
  <si>
    <t>SHP00496</t>
  </si>
  <si>
    <t>SHP00497</t>
  </si>
  <si>
    <t>SHP00498</t>
  </si>
  <si>
    <t>SHP00499</t>
  </si>
  <si>
    <t>SHP00500</t>
  </si>
  <si>
    <t>SHP00501</t>
  </si>
  <si>
    <t>SHP00502</t>
  </si>
  <si>
    <t>SHP00503</t>
  </si>
  <si>
    <t>SHP00504</t>
  </si>
  <si>
    <t>SHP00505</t>
  </si>
  <si>
    <t>SHP00506</t>
  </si>
  <si>
    <t>SHP00507</t>
  </si>
  <si>
    <t>SHP00508</t>
  </si>
  <si>
    <t>SHP00509</t>
  </si>
  <si>
    <t>SHP00510</t>
  </si>
  <si>
    <t>SHP00511</t>
  </si>
  <si>
    <t>SHP00512</t>
  </si>
  <si>
    <t>SHP00513</t>
  </si>
  <si>
    <t>SHP00514</t>
  </si>
  <si>
    <t>SHP00515</t>
  </si>
  <si>
    <t>SHP00516</t>
  </si>
  <si>
    <t>SHP00517</t>
  </si>
  <si>
    <t>SHP00518</t>
  </si>
  <si>
    <t>SHP00519</t>
  </si>
  <si>
    <t>SHP00520</t>
  </si>
  <si>
    <t>SHP00521</t>
  </si>
  <si>
    <t>SHP00522</t>
  </si>
  <si>
    <t>SHP00523</t>
  </si>
  <si>
    <t>SHP00524</t>
  </si>
  <si>
    <t>SHP00525</t>
  </si>
  <si>
    <t>SHP00526</t>
  </si>
  <si>
    <t>SHP00527</t>
  </si>
  <si>
    <t>SHP00528</t>
  </si>
  <si>
    <t>SHP00529</t>
  </si>
  <si>
    <t>SHP00530</t>
  </si>
  <si>
    <t>SHP00531</t>
  </si>
  <si>
    <t>SHP00532</t>
  </si>
  <si>
    <t>SHP00533</t>
  </si>
  <si>
    <t>SHP00534</t>
  </si>
  <si>
    <t>SHP00535</t>
  </si>
  <si>
    <t>SHP00536</t>
  </si>
  <si>
    <t>SHP00537</t>
  </si>
  <si>
    <t>SHP00538</t>
  </si>
  <si>
    <t>SHP00539</t>
  </si>
  <si>
    <t>SHP00540</t>
  </si>
  <si>
    <t>SHP00541</t>
  </si>
  <si>
    <t>SHP00542</t>
  </si>
  <si>
    <t>SHP00543</t>
  </si>
  <si>
    <t>SHP00544</t>
  </si>
  <si>
    <t>SHP00545</t>
  </si>
  <si>
    <t>SHP00546</t>
  </si>
  <si>
    <t>SHP00547</t>
  </si>
  <si>
    <t>SHP00548</t>
  </si>
  <si>
    <t>SHP00549</t>
  </si>
  <si>
    <t>SHP00550</t>
  </si>
  <si>
    <t>SHP00551</t>
  </si>
  <si>
    <t>SHP00552</t>
  </si>
  <si>
    <t>SHP00553</t>
  </si>
  <si>
    <t>SHP00554</t>
  </si>
  <si>
    <t>SHP00555</t>
  </si>
  <si>
    <t>SHP00556</t>
  </si>
  <si>
    <t>SHP00557</t>
  </si>
  <si>
    <t>SHP00558</t>
  </si>
  <si>
    <t>SHP00559</t>
  </si>
  <si>
    <t>SHP00560</t>
  </si>
  <si>
    <t>SHP00561</t>
  </si>
  <si>
    <t>SHP00562</t>
  </si>
  <si>
    <t>SHP00563</t>
  </si>
  <si>
    <t>SHP00564</t>
  </si>
  <si>
    <t>SHP00565</t>
  </si>
  <si>
    <t>SHP00566</t>
  </si>
  <si>
    <t>SHP00567</t>
  </si>
  <si>
    <t>SHP00568</t>
  </si>
  <si>
    <t>SHP00569</t>
  </si>
  <si>
    <t>SHP00570</t>
  </si>
  <si>
    <t>SHP00571</t>
  </si>
  <si>
    <t>SHP00572</t>
  </si>
  <si>
    <t>SHP00573</t>
  </si>
  <si>
    <t>SHP00574</t>
  </si>
  <si>
    <t>SHP00575</t>
  </si>
  <si>
    <t>SHP00576</t>
  </si>
  <si>
    <t>SHP00577</t>
  </si>
  <si>
    <t>SHP00578</t>
  </si>
  <si>
    <t>SHP00579</t>
  </si>
  <si>
    <t>SHP00580</t>
  </si>
  <si>
    <t>SHP00581</t>
  </si>
  <si>
    <t>SHP00582</t>
  </si>
  <si>
    <t>SHP00583</t>
  </si>
  <si>
    <t>SHP00584</t>
  </si>
  <si>
    <t>SHP00585</t>
  </si>
  <si>
    <t>SHP00586</t>
  </si>
  <si>
    <t>SHP00587</t>
  </si>
  <si>
    <t>SHP00588</t>
  </si>
  <si>
    <t>SHP00589</t>
  </si>
  <si>
    <t>SHP00590</t>
  </si>
  <si>
    <t>SHP00591</t>
  </si>
  <si>
    <t>SHP00592</t>
  </si>
  <si>
    <t>SHP00593</t>
  </si>
  <si>
    <t>SHP00594</t>
  </si>
  <si>
    <t>SHP00595</t>
  </si>
  <si>
    <t>SHP00596</t>
  </si>
  <si>
    <t>SHP00597</t>
  </si>
  <si>
    <t>SHP00598</t>
  </si>
  <si>
    <t>SHP00599</t>
  </si>
  <si>
    <t>SHP00600</t>
  </si>
  <si>
    <t>SHP00601</t>
  </si>
  <si>
    <t>SHP00602</t>
  </si>
  <si>
    <t>SHP00603</t>
  </si>
  <si>
    <t>SHP00604</t>
  </si>
  <si>
    <t>SHP00605</t>
  </si>
  <si>
    <t>SHP00606</t>
  </si>
  <si>
    <t>SHP00607</t>
  </si>
  <si>
    <t>SHP00608</t>
  </si>
  <si>
    <t>SHP00609</t>
  </si>
  <si>
    <t>SHP00610</t>
  </si>
  <si>
    <t>SHP00611</t>
  </si>
  <si>
    <t>SHP00612</t>
  </si>
  <si>
    <t>SHP00613</t>
  </si>
  <si>
    <t>SHP00614</t>
  </si>
  <si>
    <t>SHP00615</t>
  </si>
  <si>
    <t>SHP00616</t>
  </si>
  <si>
    <t>SHP00617</t>
  </si>
  <si>
    <t>SHP00618</t>
  </si>
  <si>
    <t>SHP00619</t>
  </si>
  <si>
    <t>SHP00620</t>
  </si>
  <si>
    <t>SHP00621</t>
  </si>
  <si>
    <t>SHP00622</t>
  </si>
  <si>
    <t>SHP00623</t>
  </si>
  <si>
    <t>SHP00624</t>
  </si>
  <si>
    <t>SHP00625</t>
  </si>
  <si>
    <t>SHP00626</t>
  </si>
  <si>
    <t>SHP00627</t>
  </si>
  <si>
    <t>SHP00628</t>
  </si>
  <si>
    <t>SHP00629</t>
  </si>
  <si>
    <t>SHP00630</t>
  </si>
  <si>
    <t>SHP00631</t>
  </si>
  <si>
    <t>SHP00632</t>
  </si>
  <si>
    <t>SHP00633</t>
  </si>
  <si>
    <t>SHP00634</t>
  </si>
  <si>
    <t>SHP00635</t>
  </si>
  <si>
    <t>SHP00636</t>
  </si>
  <si>
    <t>SHP00637</t>
  </si>
  <si>
    <t>SHP00638</t>
  </si>
  <si>
    <t>SHP00639</t>
  </si>
  <si>
    <t>SHP00640</t>
  </si>
  <si>
    <t>SHP00641</t>
  </si>
  <si>
    <t>SHP00642</t>
  </si>
  <si>
    <t>SHP00643</t>
  </si>
  <si>
    <t>SHP00644</t>
  </si>
  <si>
    <t>SHP00645</t>
  </si>
  <si>
    <t>SHP00646</t>
  </si>
  <si>
    <t>SHP00647</t>
  </si>
  <si>
    <t>SHP00648</t>
  </si>
  <si>
    <t>SHP00649</t>
  </si>
  <si>
    <t>SHP00650</t>
  </si>
  <si>
    <t>SHP00651</t>
  </si>
  <si>
    <t>SHP00652</t>
  </si>
  <si>
    <t>SHP00653</t>
  </si>
  <si>
    <t>SHP00654</t>
  </si>
  <si>
    <t>SHP00655</t>
  </si>
  <si>
    <t>SHP00656</t>
  </si>
  <si>
    <t>SHP00657</t>
  </si>
  <si>
    <t>SHP00658</t>
  </si>
  <si>
    <t>SHP00659</t>
  </si>
  <si>
    <t>SHP00660</t>
  </si>
  <si>
    <t>SHP00661</t>
  </si>
  <si>
    <t>SHP00662</t>
  </si>
  <si>
    <t>SHP00663</t>
  </si>
  <si>
    <t>SHP00664</t>
  </si>
  <si>
    <t>SHP00665</t>
  </si>
  <si>
    <t>SHP00666</t>
  </si>
  <si>
    <t>SHP00667</t>
  </si>
  <si>
    <t>SHP00668</t>
  </si>
  <si>
    <t>SHP00669</t>
  </si>
  <si>
    <t>SHP00670</t>
  </si>
  <si>
    <t>SHP00671</t>
  </si>
  <si>
    <t>SHP00672</t>
  </si>
  <si>
    <t>SHP00673</t>
  </si>
  <si>
    <t>SHP00674</t>
  </si>
  <si>
    <t>SHP00675</t>
  </si>
  <si>
    <t>SHP00676</t>
  </si>
  <si>
    <t>SHP00677</t>
  </si>
  <si>
    <t>SHP00678</t>
  </si>
  <si>
    <t>SHP00679</t>
  </si>
  <si>
    <t>SHP00680</t>
  </si>
  <si>
    <t>SHP00681</t>
  </si>
  <si>
    <t>SHP00682</t>
  </si>
  <si>
    <t>SHP00683</t>
  </si>
  <si>
    <t>SHP00684</t>
  </si>
  <si>
    <t>SHP00685</t>
  </si>
  <si>
    <t>SHP00686</t>
  </si>
  <si>
    <t>SHP00687</t>
  </si>
  <si>
    <t>SHP00688</t>
  </si>
  <si>
    <t>SHP00689</t>
  </si>
  <si>
    <t>SHP00690</t>
  </si>
  <si>
    <t>SHP00691</t>
  </si>
  <si>
    <t>SHP00692</t>
  </si>
  <si>
    <t>SHP00693</t>
  </si>
  <si>
    <t>SHP00694</t>
  </si>
  <si>
    <t>SHP00695</t>
  </si>
  <si>
    <t>SHP00696</t>
  </si>
  <si>
    <t>SHP00697</t>
  </si>
  <si>
    <t>SHP00698</t>
  </si>
  <si>
    <t>SHP00699</t>
  </si>
  <si>
    <t>SHP00700</t>
  </si>
  <si>
    <t>SHP00701</t>
  </si>
  <si>
    <t>SHP00702</t>
  </si>
  <si>
    <t>SHP00703</t>
  </si>
  <si>
    <t>SHP00704</t>
  </si>
  <si>
    <t>SHP00705</t>
  </si>
  <si>
    <t>SHP00706</t>
  </si>
  <si>
    <t>SHP00707</t>
  </si>
  <si>
    <t>SHP00708</t>
  </si>
  <si>
    <t>SHP00709</t>
  </si>
  <si>
    <t>SHP00710</t>
  </si>
  <si>
    <t>SHP00711</t>
  </si>
  <si>
    <t>SHP00712</t>
  </si>
  <si>
    <t>SHP00713</t>
  </si>
  <si>
    <t>SHP00714</t>
  </si>
  <si>
    <t>SHP00715</t>
  </si>
  <si>
    <t>SHP00716</t>
  </si>
  <si>
    <t>SHP00717</t>
  </si>
  <si>
    <t>SHP00718</t>
  </si>
  <si>
    <t>SHP00719</t>
  </si>
  <si>
    <t>SHP00720</t>
  </si>
  <si>
    <t>SHP00721</t>
  </si>
  <si>
    <t>SHP00722</t>
  </si>
  <si>
    <t>SHP00723</t>
  </si>
  <si>
    <t>SHP00724</t>
  </si>
  <si>
    <t>SHP00725</t>
  </si>
  <si>
    <t>SHP00726</t>
  </si>
  <si>
    <t>SHP00727</t>
  </si>
  <si>
    <t>SHP00728</t>
  </si>
  <si>
    <t>SHP00729</t>
  </si>
  <si>
    <t>SHP00730</t>
  </si>
  <si>
    <t>SHP00731</t>
  </si>
  <si>
    <t>SHP00732</t>
  </si>
  <si>
    <t>SHP00733</t>
  </si>
  <si>
    <t>SHP00734</t>
  </si>
  <si>
    <t>SHP00735</t>
  </si>
  <si>
    <t>SHP00736</t>
  </si>
  <si>
    <t>SHP00737</t>
  </si>
  <si>
    <t>SHP00738</t>
  </si>
  <si>
    <t>SHP00739</t>
  </si>
  <si>
    <t>SHP00740</t>
  </si>
  <si>
    <t>SHP00741</t>
  </si>
  <si>
    <t>SHP00742</t>
  </si>
  <si>
    <t>SHP00743</t>
  </si>
  <si>
    <t>SHP00744</t>
  </si>
  <si>
    <t>SHP00745</t>
  </si>
  <si>
    <t>SHP00746</t>
  </si>
  <si>
    <t>SHP00747</t>
  </si>
  <si>
    <t>SHP00748</t>
  </si>
  <si>
    <t>SHP00749</t>
  </si>
  <si>
    <t>SHP00750</t>
  </si>
  <si>
    <t>SHP00751</t>
  </si>
  <si>
    <t>SHP00752</t>
  </si>
  <si>
    <t>SHP00753</t>
  </si>
  <si>
    <t>SHP00754</t>
  </si>
  <si>
    <t>SHP00755</t>
  </si>
  <si>
    <t>SHP00756</t>
  </si>
  <si>
    <t>SHP00757</t>
  </si>
  <si>
    <t>SHP00758</t>
  </si>
  <si>
    <t>SHP00759</t>
  </si>
  <si>
    <t>SHP00760</t>
  </si>
  <si>
    <t>SHP00761</t>
  </si>
  <si>
    <t>SHP00762</t>
  </si>
  <si>
    <t>SHP00763</t>
  </si>
  <si>
    <t>SHP00764</t>
  </si>
  <si>
    <t>SHP00765</t>
  </si>
  <si>
    <t>SHP00766</t>
  </si>
  <si>
    <t>SHP00767</t>
  </si>
  <si>
    <t>SHP00768</t>
  </si>
  <si>
    <t>SHP00769</t>
  </si>
  <si>
    <t>SHP00770</t>
  </si>
  <si>
    <t>SHP00771</t>
  </si>
  <si>
    <t>SHP00772</t>
  </si>
  <si>
    <t>SHP00773</t>
  </si>
  <si>
    <t>SHP00774</t>
  </si>
  <si>
    <t>SHP00775</t>
  </si>
  <si>
    <t>SHP00776</t>
  </si>
  <si>
    <t>SHP00777</t>
  </si>
  <si>
    <t>SHP00778</t>
  </si>
  <si>
    <t>SHP00779</t>
  </si>
  <si>
    <t>SHP00780</t>
  </si>
  <si>
    <t>SHP00781</t>
  </si>
  <si>
    <t>SHP00782</t>
  </si>
  <si>
    <t>SHP00783</t>
  </si>
  <si>
    <t>SHP00784</t>
  </si>
  <si>
    <t>SHP00785</t>
  </si>
  <si>
    <t>SHP00786</t>
  </si>
  <si>
    <t>SHP00787</t>
  </si>
  <si>
    <t>SHP00788</t>
  </si>
  <si>
    <t>SHP00789</t>
  </si>
  <si>
    <t>SHP00790</t>
  </si>
  <si>
    <t>SHP00791</t>
  </si>
  <si>
    <t>SHP00792</t>
  </si>
  <si>
    <t>SHP00793</t>
  </si>
  <si>
    <t>SHP00794</t>
  </si>
  <si>
    <t>SHP00795</t>
  </si>
  <si>
    <t>SHP00796</t>
  </si>
  <si>
    <t>SHP00797</t>
  </si>
  <si>
    <t>SHP00798</t>
  </si>
  <si>
    <t>SHP00799</t>
  </si>
  <si>
    <t>SHP00800</t>
  </si>
  <si>
    <t>SHP00801</t>
  </si>
  <si>
    <t>SHP00802</t>
  </si>
  <si>
    <t>SHP00803</t>
  </si>
  <si>
    <t>SHP00804</t>
  </si>
  <si>
    <t>SHP00805</t>
  </si>
  <si>
    <t>SHP00806</t>
  </si>
  <si>
    <t>SHP00807</t>
  </si>
  <si>
    <t>SHP00808</t>
  </si>
  <si>
    <t>SHP00809</t>
  </si>
  <si>
    <t>SHP00810</t>
  </si>
  <si>
    <t>SHP00811</t>
  </si>
  <si>
    <t>SHP00812</t>
  </si>
  <si>
    <t>SHP00813</t>
  </si>
  <si>
    <t>SHP00814</t>
  </si>
  <si>
    <t>SHP00815</t>
  </si>
  <si>
    <t>SHP00816</t>
  </si>
  <si>
    <t>SHP00817</t>
  </si>
  <si>
    <t>SHP00818</t>
  </si>
  <si>
    <t>SHP00819</t>
  </si>
  <si>
    <t>SHP00820</t>
  </si>
  <si>
    <t>SHP00821</t>
  </si>
  <si>
    <t>SHP00822</t>
  </si>
  <si>
    <t>SHP00823</t>
  </si>
  <si>
    <t>SHP00824</t>
  </si>
  <si>
    <t>SHP00825</t>
  </si>
  <si>
    <t>SHP00826</t>
  </si>
  <si>
    <t>SHP00827</t>
  </si>
  <si>
    <t>SHP00828</t>
  </si>
  <si>
    <t>SHP00829</t>
  </si>
  <si>
    <t>SHP00830</t>
  </si>
  <si>
    <t>SHP00831</t>
  </si>
  <si>
    <t>SHP00832</t>
  </si>
  <si>
    <t>SHP00833</t>
  </si>
  <si>
    <t>SHP00834</t>
  </si>
  <si>
    <t>SHP00835</t>
  </si>
  <si>
    <t>SHP00836</t>
  </si>
  <si>
    <t>SHP00837</t>
  </si>
  <si>
    <t>SHP00838</t>
  </si>
  <si>
    <t>SHP00839</t>
  </si>
  <si>
    <t>SHP00840</t>
  </si>
  <si>
    <t>SHP00841</t>
  </si>
  <si>
    <t>SHP00842</t>
  </si>
  <si>
    <t>SHP00843</t>
  </si>
  <si>
    <t>SHP00844</t>
  </si>
  <si>
    <t>SHP00845</t>
  </si>
  <si>
    <t>SHP00846</t>
  </si>
  <si>
    <t>SHP00847</t>
  </si>
  <si>
    <t>SHP00848</t>
  </si>
  <si>
    <t>SHP00849</t>
  </si>
  <si>
    <t>SHP00850</t>
  </si>
  <si>
    <t>SHP00851</t>
  </si>
  <si>
    <t>SHP00852</t>
  </si>
  <si>
    <t>SHP00853</t>
  </si>
  <si>
    <t>SHP00854</t>
  </si>
  <si>
    <t>SHP00855</t>
  </si>
  <si>
    <t>SHP00856</t>
  </si>
  <si>
    <t>SHP00857</t>
  </si>
  <si>
    <t>SHP00858</t>
  </si>
  <si>
    <t>SHP00859</t>
  </si>
  <si>
    <t>SHP00860</t>
  </si>
  <si>
    <t>SHP00861</t>
  </si>
  <si>
    <t>SHP00862</t>
  </si>
  <si>
    <t>SHP00863</t>
  </si>
  <si>
    <t>SHP00864</t>
  </si>
  <si>
    <t>SHP00865</t>
  </si>
  <si>
    <t>SHP00866</t>
  </si>
  <si>
    <t>SHP00867</t>
  </si>
  <si>
    <t>SHP00868</t>
  </si>
  <si>
    <t>SHP00869</t>
  </si>
  <si>
    <t>SHP00870</t>
  </si>
  <si>
    <t>SHP00871</t>
  </si>
  <si>
    <t>SHP00872</t>
  </si>
  <si>
    <t>SHP00873</t>
  </si>
  <si>
    <t>SHP00874</t>
  </si>
  <si>
    <t>SHP00875</t>
  </si>
  <si>
    <t>SHP00876</t>
  </si>
  <si>
    <t>SHP00877</t>
  </si>
  <si>
    <t>SHP00878</t>
  </si>
  <si>
    <t>SHP00879</t>
  </si>
  <si>
    <t>SHP00880</t>
  </si>
  <si>
    <t>SHP00881</t>
  </si>
  <si>
    <t>SHP00882</t>
  </si>
  <si>
    <t>SHP00883</t>
  </si>
  <si>
    <t>SHP00884</t>
  </si>
  <si>
    <t>SHP00885</t>
  </si>
  <si>
    <t>SHP00886</t>
  </si>
  <si>
    <t>SHP00887</t>
  </si>
  <si>
    <t>SHP00888</t>
  </si>
  <si>
    <t>SHP00889</t>
  </si>
  <si>
    <t>SHP00890</t>
  </si>
  <si>
    <t>SHP00891</t>
  </si>
  <si>
    <t>SHP00892</t>
  </si>
  <si>
    <t>SHP00893</t>
  </si>
  <si>
    <t>SHP00894</t>
  </si>
  <si>
    <t>SHP00895</t>
  </si>
  <si>
    <t>SHP00896</t>
  </si>
  <si>
    <t>SHP00897</t>
  </si>
  <si>
    <t>SHP00898</t>
  </si>
  <si>
    <t>SHP00899</t>
  </si>
  <si>
    <t>SHP00900</t>
  </si>
  <si>
    <t>SHP00901</t>
  </si>
  <si>
    <t>SHP00902</t>
  </si>
  <si>
    <t>SHP00903</t>
  </si>
  <si>
    <t>SHP00904</t>
  </si>
  <si>
    <t>SHP00905</t>
  </si>
  <si>
    <t>SHP00906</t>
  </si>
  <si>
    <t>SHP00907</t>
  </si>
  <si>
    <t>SHP00908</t>
  </si>
  <si>
    <t>SHP00909</t>
  </si>
  <si>
    <t>SHP00910</t>
  </si>
  <si>
    <t>SHP00911</t>
  </si>
  <si>
    <t>SHP00912</t>
  </si>
  <si>
    <t>SHP00913</t>
  </si>
  <si>
    <t>SHP00914</t>
  </si>
  <si>
    <t>SHP00915</t>
  </si>
  <si>
    <t>SHP00916</t>
  </si>
  <si>
    <t>SHP00917</t>
  </si>
  <si>
    <t>SHP00918</t>
  </si>
  <si>
    <t>SHP00919</t>
  </si>
  <si>
    <t>SHP00920</t>
  </si>
  <si>
    <t>SHP00921</t>
  </si>
  <si>
    <t>SHP00922</t>
  </si>
  <si>
    <t>SHP00923</t>
  </si>
  <si>
    <t>SHP00924</t>
  </si>
  <si>
    <t>SHP00925</t>
  </si>
  <si>
    <t>SHP00926</t>
  </si>
  <si>
    <t>SHP00927</t>
  </si>
  <si>
    <t>SHP00928</t>
  </si>
  <si>
    <t>SHP00929</t>
  </si>
  <si>
    <t>SHP00930</t>
  </si>
  <si>
    <t>SHP00931</t>
  </si>
  <si>
    <t>SHP00932</t>
  </si>
  <si>
    <t>SHP00933</t>
  </si>
  <si>
    <t>SHP00934</t>
  </si>
  <si>
    <t>SHP00935</t>
  </si>
  <si>
    <t>SHP00936</t>
  </si>
  <si>
    <t>SHP00937</t>
  </si>
  <si>
    <t>SHP00938</t>
  </si>
  <si>
    <t>SHP00939</t>
  </si>
  <si>
    <t>SHP00940</t>
  </si>
  <si>
    <t>SHP00941</t>
  </si>
  <si>
    <t>SHP00942</t>
  </si>
  <si>
    <t>SHP00943</t>
  </si>
  <si>
    <t>SHP00944</t>
  </si>
  <si>
    <t>SHP00945</t>
  </si>
  <si>
    <t>SHP00946</t>
  </si>
  <si>
    <t>SHP00947</t>
  </si>
  <si>
    <t>SHP00948</t>
  </si>
  <si>
    <t>SHP00949</t>
  </si>
  <si>
    <t>SHP00950</t>
  </si>
  <si>
    <t>SHP00951</t>
  </si>
  <si>
    <t>SHP00952</t>
  </si>
  <si>
    <t>SHP00953</t>
  </si>
  <si>
    <t>SHP00954</t>
  </si>
  <si>
    <t>SHP00955</t>
  </si>
  <si>
    <t>SHP00956</t>
  </si>
  <si>
    <t>SHP00957</t>
  </si>
  <si>
    <t>SHP00958</t>
  </si>
  <si>
    <t>SHP00959</t>
  </si>
  <si>
    <t>SHP00960</t>
  </si>
  <si>
    <t>SHP00961</t>
  </si>
  <si>
    <t>SHP00962</t>
  </si>
  <si>
    <t>SHP00963</t>
  </si>
  <si>
    <t>SHP00964</t>
  </si>
  <si>
    <t>SHP00965</t>
  </si>
  <si>
    <t>SHP00966</t>
  </si>
  <si>
    <t>SHP00967</t>
  </si>
  <si>
    <t>SHP00968</t>
  </si>
  <si>
    <t>SHP00969</t>
  </si>
  <si>
    <t>SHP00970</t>
  </si>
  <si>
    <t>SHP00971</t>
  </si>
  <si>
    <t>SHP00972</t>
  </si>
  <si>
    <t>SHP00973</t>
  </si>
  <si>
    <t>SHP00974</t>
  </si>
  <si>
    <t>SHP00975</t>
  </si>
  <si>
    <t>SHP00976</t>
  </si>
  <si>
    <t>SHP00977</t>
  </si>
  <si>
    <t>SHP00978</t>
  </si>
  <si>
    <t>SHP00979</t>
  </si>
  <si>
    <t>SHP00980</t>
  </si>
  <si>
    <t>SHP00981</t>
  </si>
  <si>
    <t>SHP00982</t>
  </si>
  <si>
    <t>SHP00983</t>
  </si>
  <si>
    <t>SHP00984</t>
  </si>
  <si>
    <t>SHP00985</t>
  </si>
  <si>
    <t>SHP00986</t>
  </si>
  <si>
    <t>SHP00987</t>
  </si>
  <si>
    <t>SHP00988</t>
  </si>
  <si>
    <t>SHP00989</t>
  </si>
  <si>
    <t>SHP00990</t>
  </si>
  <si>
    <t>SHP00991</t>
  </si>
  <si>
    <t>SHP00992</t>
  </si>
  <si>
    <t>SHP00993</t>
  </si>
  <si>
    <t>SHP00994</t>
  </si>
  <si>
    <t>SHP00995</t>
  </si>
  <si>
    <t>SHP00996</t>
  </si>
  <si>
    <t>SHP00997</t>
  </si>
  <si>
    <t>SHP00998</t>
  </si>
  <si>
    <t>SHP00999</t>
  </si>
  <si>
    <t>SHP01000</t>
  </si>
  <si>
    <t>SHP01001</t>
  </si>
  <si>
    <t>SHP01002</t>
  </si>
  <si>
    <t>SHP01003</t>
  </si>
  <si>
    <t>SHP01004</t>
  </si>
  <si>
    <t>SHP01005</t>
  </si>
  <si>
    <t>SHP01006</t>
  </si>
  <si>
    <t>SHP01007</t>
  </si>
  <si>
    <t>SHP01008</t>
  </si>
  <si>
    <t>SHP01009</t>
  </si>
  <si>
    <t>SHP01010</t>
  </si>
  <si>
    <t>SHP01011</t>
  </si>
  <si>
    <t>SHP01012</t>
  </si>
  <si>
    <t>SHP01013</t>
  </si>
  <si>
    <t>SHP01014</t>
  </si>
  <si>
    <t>SHP01015</t>
  </si>
  <si>
    <t>SHP01016</t>
  </si>
  <si>
    <t>SHP01017</t>
  </si>
  <si>
    <t>SHP01018</t>
  </si>
  <si>
    <t>SHP01019</t>
  </si>
  <si>
    <t>SHP01020</t>
  </si>
  <si>
    <t>SHP01021</t>
  </si>
  <si>
    <t>SHP01022</t>
  </si>
  <si>
    <t>SHP01023</t>
  </si>
  <si>
    <t>SHP01024</t>
  </si>
  <si>
    <t>SHP01025</t>
  </si>
  <si>
    <t>SHP01026</t>
  </si>
  <si>
    <t>SHP01027</t>
  </si>
  <si>
    <t>SHP01028</t>
  </si>
  <si>
    <t>SHP01029</t>
  </si>
  <si>
    <t>SHP01030</t>
  </si>
  <si>
    <t>SHP01031</t>
  </si>
  <si>
    <t>SHP01032</t>
  </si>
  <si>
    <t>SHP01033</t>
  </si>
  <si>
    <t>SHP01034</t>
  </si>
  <si>
    <t>SHP01035</t>
  </si>
  <si>
    <t>SHP01036</t>
  </si>
  <si>
    <t>SHP01037</t>
  </si>
  <si>
    <t>SHP01038</t>
  </si>
  <si>
    <t>SHP01039</t>
  </si>
  <si>
    <t>SHP01040</t>
  </si>
  <si>
    <t>SHP01041</t>
  </si>
  <si>
    <t>SHP01042</t>
  </si>
  <si>
    <t>SHP01043</t>
  </si>
  <si>
    <t>SHP01044</t>
  </si>
  <si>
    <t>SHP01045</t>
  </si>
  <si>
    <t>SHP01046</t>
  </si>
  <si>
    <t>SHP01047</t>
  </si>
  <si>
    <t>SHP01048</t>
  </si>
  <si>
    <t>SHP01049</t>
  </si>
  <si>
    <t>SHP01050</t>
  </si>
  <si>
    <t>SHP01051</t>
  </si>
  <si>
    <t>SHP01052</t>
  </si>
  <si>
    <t>SHP01053</t>
  </si>
  <si>
    <t>SHP01054</t>
  </si>
  <si>
    <t>SHP01055</t>
  </si>
  <si>
    <t>SHP01056</t>
  </si>
  <si>
    <t>SHP01057</t>
  </si>
  <si>
    <t>SHP01058</t>
  </si>
  <si>
    <t>SHP01059</t>
  </si>
  <si>
    <t>SHP01060</t>
  </si>
  <si>
    <t>SHP01061</t>
  </si>
  <si>
    <t>SHP01062</t>
  </si>
  <si>
    <t>SHP01063</t>
  </si>
  <si>
    <t>SHP01064</t>
  </si>
  <si>
    <t>SHP01065</t>
  </si>
  <si>
    <t>SHP01066</t>
  </si>
  <si>
    <t>SHP01067</t>
  </si>
  <si>
    <t>SHP01068</t>
  </si>
  <si>
    <t>SHP01069</t>
  </si>
  <si>
    <t>SHP01070</t>
  </si>
  <si>
    <t>SHP01071</t>
  </si>
  <si>
    <t>SHP01072</t>
  </si>
  <si>
    <t>SHP01073</t>
  </si>
  <si>
    <t>SHP01074</t>
  </si>
  <si>
    <t>SHP01075</t>
  </si>
  <si>
    <t>SHP01076</t>
  </si>
  <si>
    <t>SHP01077</t>
  </si>
  <si>
    <t>SHP01078</t>
  </si>
  <si>
    <t>SHP01079</t>
  </si>
  <si>
    <t>SHP01080</t>
  </si>
  <si>
    <t>SHP01081</t>
  </si>
  <si>
    <t>SHP01082</t>
  </si>
  <si>
    <t>SHP01083</t>
  </si>
  <si>
    <t>SHP01084</t>
  </si>
  <si>
    <t>SHP01085</t>
  </si>
  <si>
    <t>SHP01086</t>
  </si>
  <si>
    <t>SHP01087</t>
  </si>
  <si>
    <t>SHP01088</t>
  </si>
  <si>
    <t>SHP01089</t>
  </si>
  <si>
    <t>SHP01090</t>
  </si>
  <si>
    <t>SHP01091</t>
  </si>
  <si>
    <t>SHP01092</t>
  </si>
  <si>
    <t>SHP01093</t>
  </si>
  <si>
    <t>SHP01094</t>
  </si>
  <si>
    <t>SHP01095</t>
  </si>
  <si>
    <t>SHP01096</t>
  </si>
  <si>
    <t>SHP01097</t>
  </si>
  <si>
    <t>SHP01098</t>
  </si>
  <si>
    <t>SHP01099</t>
  </si>
  <si>
    <t>SHP01100</t>
  </si>
  <si>
    <t>SHP01101</t>
  </si>
  <si>
    <t>SHP01102</t>
  </si>
  <si>
    <t>SHP01103</t>
  </si>
  <si>
    <t>SHP01104</t>
  </si>
  <si>
    <t>SHP01105</t>
  </si>
  <si>
    <t>SHP01106</t>
  </si>
  <si>
    <t>SHP01107</t>
  </si>
  <si>
    <t>SHP01108</t>
  </si>
  <si>
    <t>SHP01109</t>
  </si>
  <si>
    <t>SHP01110</t>
  </si>
  <si>
    <t>SHP01111</t>
  </si>
  <si>
    <t>SHP01112</t>
  </si>
  <si>
    <t>SHP01113</t>
  </si>
  <si>
    <t>SHP01114</t>
  </si>
  <si>
    <t>SHP01115</t>
  </si>
  <si>
    <t>SHP01116</t>
  </si>
  <si>
    <t>SHP01117</t>
  </si>
  <si>
    <t>SHP01118</t>
  </si>
  <si>
    <t>SHP01119</t>
  </si>
  <si>
    <t>SHP01120</t>
  </si>
  <si>
    <t>SHP01121</t>
  </si>
  <si>
    <t>SHP01122</t>
  </si>
  <si>
    <t>SHP01123</t>
  </si>
  <si>
    <t>SHP01124</t>
  </si>
  <si>
    <t>SHP01125</t>
  </si>
  <si>
    <t>SHP01126</t>
  </si>
  <si>
    <t>SHP01127</t>
  </si>
  <si>
    <t>SHP01128</t>
  </si>
  <si>
    <t>SHP01129</t>
  </si>
  <si>
    <t>SHP01130</t>
  </si>
  <si>
    <t>SHP01131</t>
  </si>
  <si>
    <t>SHP01132</t>
  </si>
  <si>
    <t>SHP01133</t>
  </si>
  <si>
    <t>SHP01134</t>
  </si>
  <si>
    <t>SHP01135</t>
  </si>
  <si>
    <t>SHP01136</t>
  </si>
  <si>
    <t>SHP01137</t>
  </si>
  <si>
    <t>SHP01138</t>
  </si>
  <si>
    <t>SHP01139</t>
  </si>
  <si>
    <t>SHP01140</t>
  </si>
  <si>
    <t>SHP01141</t>
  </si>
  <si>
    <t>SHP01142</t>
  </si>
  <si>
    <t>SHP01143</t>
  </si>
  <si>
    <t>SHP01144</t>
  </si>
  <si>
    <t>SHP01145</t>
  </si>
  <si>
    <t>SHP01146</t>
  </si>
  <si>
    <t>SHP01147</t>
  </si>
  <si>
    <t>SHP01148</t>
  </si>
  <si>
    <t>SHP01149</t>
  </si>
  <si>
    <t>SHP01150</t>
  </si>
  <si>
    <t>SHP01151</t>
  </si>
  <si>
    <t>SHP01152</t>
  </si>
  <si>
    <t>SHP01153</t>
  </si>
  <si>
    <t>SHP01154</t>
  </si>
  <si>
    <t>SHP01155</t>
  </si>
  <si>
    <t>SHP01156</t>
  </si>
  <si>
    <t>SHP01157</t>
  </si>
  <si>
    <t>SHP01158</t>
  </si>
  <si>
    <t>SHP01159</t>
  </si>
  <si>
    <t>SHP01160</t>
  </si>
  <si>
    <t>SHP01161</t>
  </si>
  <si>
    <t>SHP01162</t>
  </si>
  <si>
    <t>SHP01163</t>
  </si>
  <si>
    <t>SHP01164</t>
  </si>
  <si>
    <t>SHP01165</t>
  </si>
  <si>
    <t>SHP01166</t>
  </si>
  <si>
    <t>SHP01167</t>
  </si>
  <si>
    <t>SHP01168</t>
  </si>
  <si>
    <t>SHP01169</t>
  </si>
  <si>
    <t>SHP01170</t>
  </si>
  <si>
    <t>SHP01171</t>
  </si>
  <si>
    <t>SHP01172</t>
  </si>
  <si>
    <t>SHP01173</t>
  </si>
  <si>
    <t>SHP01174</t>
  </si>
  <si>
    <t>SHP01175</t>
  </si>
  <si>
    <t>SHP01176</t>
  </si>
  <si>
    <t>SHP01177</t>
  </si>
  <si>
    <t>SHP01178</t>
  </si>
  <si>
    <t>SHP01179</t>
  </si>
  <si>
    <t>SHP01180</t>
  </si>
  <si>
    <t>SHP01181</t>
  </si>
  <si>
    <t>SHP01182</t>
  </si>
  <si>
    <t>SHP01183</t>
  </si>
  <si>
    <t>SHP01184</t>
  </si>
  <si>
    <t>SHP01185</t>
  </si>
  <si>
    <t>SHP01186</t>
  </si>
  <si>
    <t>SHP01187</t>
  </si>
  <si>
    <t>SHP01188</t>
  </si>
  <si>
    <t>SHP01189</t>
  </si>
  <si>
    <t>SHP01190</t>
  </si>
  <si>
    <t>SHP01191</t>
  </si>
  <si>
    <t>SHP01192</t>
  </si>
  <si>
    <t>SHP01193</t>
  </si>
  <si>
    <t>SHP01194</t>
  </si>
  <si>
    <t>SHP01195</t>
  </si>
  <si>
    <t>SHP01196</t>
  </si>
  <si>
    <t>SHP01197</t>
  </si>
  <si>
    <t>SHP01198</t>
  </si>
  <si>
    <t>SHP01199</t>
  </si>
  <si>
    <t>SHP01200</t>
  </si>
  <si>
    <t>NED</t>
  </si>
  <si>
    <t>STD</t>
  </si>
  <si>
    <t>Province</t>
  </si>
  <si>
    <t>Latitude</t>
  </si>
  <si>
    <t>Longitude</t>
  </si>
  <si>
    <t>service</t>
  </si>
  <si>
    <t>commit_sla</t>
  </si>
  <si>
    <t>extend_sla</t>
  </si>
  <si>
    <t>price_per_kilo</t>
  </si>
  <si>
    <t>total_price</t>
  </si>
  <si>
    <t>id_employee</t>
  </si>
  <si>
    <t>name_employee</t>
  </si>
  <si>
    <t>gender</t>
  </si>
  <si>
    <t>status_employee</t>
  </si>
  <si>
    <t>employee_fleet</t>
  </si>
  <si>
    <t>Andi Pratama</t>
  </si>
  <si>
    <t>Male</t>
  </si>
  <si>
    <t>internal</t>
  </si>
  <si>
    <t>rider</t>
  </si>
  <si>
    <t>Budi Santoso</t>
  </si>
  <si>
    <t>driver</t>
  </si>
  <si>
    <t>Citra Lestari</t>
  </si>
  <si>
    <t>Female</t>
  </si>
  <si>
    <t>crowd source</t>
  </si>
  <si>
    <t>Dedi Saputra</t>
  </si>
  <si>
    <t>Eko Nugroho</t>
  </si>
  <si>
    <t>Fajar Hidayat</t>
  </si>
  <si>
    <t>Gita Rahmawati</t>
  </si>
  <si>
    <t>Hendra Wijaya</t>
  </si>
  <si>
    <t>Indah Permata</t>
  </si>
  <si>
    <t>Joko Susilo</t>
  </si>
  <si>
    <t>Kurniawan Putra</t>
  </si>
  <si>
    <t>Lina Marlina</t>
  </si>
  <si>
    <t>Nanda Prakoso</t>
  </si>
  <si>
    <t>Oktavian Yusuf</t>
  </si>
  <si>
    <t>Putri Ayu Lestari</t>
  </si>
  <si>
    <t>Rafi Maulana</t>
  </si>
  <si>
    <t>Sari Puspita</t>
  </si>
  <si>
    <t>Teguh Wibowo</t>
  </si>
  <si>
    <t>Umi Kalsum</t>
  </si>
  <si>
    <t>Vina Oktaviani</t>
  </si>
  <si>
    <t>Wahyu Setiawan</t>
  </si>
  <si>
    <t>Yogi Firmansyah</t>
  </si>
  <si>
    <t>Zainal Abidin</t>
  </si>
  <si>
    <t>Ahmad Fauzi</t>
  </si>
  <si>
    <t>Bayu Ramadhan</t>
  </si>
  <si>
    <t>Cindy Oktavia</t>
  </si>
  <si>
    <t>Dian Pramudya</t>
  </si>
  <si>
    <t>Erwin Kurniawan</t>
  </si>
  <si>
    <t>Fitri Handayani</t>
  </si>
  <si>
    <t>EMP001</t>
  </si>
  <si>
    <t>EMP002</t>
  </si>
  <si>
    <t>EMP003</t>
  </si>
  <si>
    <t>EMP004</t>
  </si>
  <si>
    <t>EMP005</t>
  </si>
  <si>
    <t>EMP006</t>
  </si>
  <si>
    <t>EMP007</t>
  </si>
  <si>
    <t>EMP008</t>
  </si>
  <si>
    <t>EMP009</t>
  </si>
  <si>
    <t>EMP010</t>
  </si>
  <si>
    <t>EMP011</t>
  </si>
  <si>
    <t>EMP012</t>
  </si>
  <si>
    <t>EMP013</t>
  </si>
  <si>
    <t>EMP014</t>
  </si>
  <si>
    <t>EMP015</t>
  </si>
  <si>
    <t>EMP016</t>
  </si>
  <si>
    <t>EMP017</t>
  </si>
  <si>
    <t>EMP018</t>
  </si>
  <si>
    <t>EMP019</t>
  </si>
  <si>
    <t>EMP020</t>
  </si>
  <si>
    <t>EMP021</t>
  </si>
  <si>
    <t>EMP022</t>
  </si>
  <si>
    <t>EMP023</t>
  </si>
  <si>
    <t>EMP024</t>
  </si>
  <si>
    <t>EMP025</t>
  </si>
  <si>
    <t>EMP026</t>
  </si>
  <si>
    <t>EMP027</t>
  </si>
  <si>
    <t>EMP028</t>
  </si>
  <si>
    <t>EMP029</t>
  </si>
  <si>
    <t>EMP030</t>
  </si>
  <si>
    <t>EMP031</t>
  </si>
  <si>
    <t>EMP032</t>
  </si>
  <si>
    <t>EMP033</t>
  </si>
  <si>
    <t>EMP034</t>
  </si>
  <si>
    <t>EMP035</t>
  </si>
  <si>
    <t>EMP036</t>
  </si>
  <si>
    <t>EMP037</t>
  </si>
  <si>
    <t>EMP038</t>
  </si>
  <si>
    <t>EMP039</t>
  </si>
  <si>
    <t>EMP040</t>
  </si>
  <si>
    <t>EMP041</t>
  </si>
  <si>
    <t>EMP042</t>
  </si>
  <si>
    <t>EMP043</t>
  </si>
  <si>
    <t>EMP044</t>
  </si>
  <si>
    <t>EMP045</t>
  </si>
  <si>
    <t>EMP046</t>
  </si>
  <si>
    <t>EMP047</t>
  </si>
  <si>
    <t>EMP048</t>
  </si>
  <si>
    <t>EMP049</t>
  </si>
  <si>
    <t>EMP050</t>
  </si>
  <si>
    <t>EMP051</t>
  </si>
  <si>
    <t>EMP052</t>
  </si>
  <si>
    <t>EMP053</t>
  </si>
  <si>
    <t>EMP054</t>
  </si>
  <si>
    <t>EMP055</t>
  </si>
  <si>
    <t>EMP056</t>
  </si>
  <si>
    <t>EMP057</t>
  </si>
  <si>
    <t>EMP058</t>
  </si>
  <si>
    <t>EMP059</t>
  </si>
  <si>
    <t>EMP060</t>
  </si>
  <si>
    <t>EMP061</t>
  </si>
  <si>
    <t>EMP062</t>
  </si>
  <si>
    <t>EMP063</t>
  </si>
  <si>
    <t>EMP064</t>
  </si>
  <si>
    <t>EMP065</t>
  </si>
  <si>
    <t>EMP066</t>
  </si>
  <si>
    <t>EMP067</t>
  </si>
  <si>
    <t>EMP068</t>
  </si>
  <si>
    <t>EMP069</t>
  </si>
  <si>
    <t>EMP070</t>
  </si>
  <si>
    <t>EMP071</t>
  </si>
  <si>
    <t>EMP072</t>
  </si>
  <si>
    <t>EMP073</t>
  </si>
  <si>
    <t>EMP074</t>
  </si>
  <si>
    <t>EMP075</t>
  </si>
  <si>
    <t>EMP076</t>
  </si>
  <si>
    <t>EMP077</t>
  </si>
  <si>
    <t>EMP078</t>
  </si>
  <si>
    <t>EMP079</t>
  </si>
  <si>
    <t>EMP080</t>
  </si>
  <si>
    <t>EMP081</t>
  </si>
  <si>
    <t>EMP082</t>
  </si>
  <si>
    <t>EMP083</t>
  </si>
  <si>
    <t>EMP084</t>
  </si>
  <si>
    <t>EMP085</t>
  </si>
  <si>
    <t>EMP086</t>
  </si>
  <si>
    <t>EMP087</t>
  </si>
  <si>
    <t>EMP088</t>
  </si>
  <si>
    <t>EMP089</t>
  </si>
  <si>
    <t>EMP090</t>
  </si>
  <si>
    <t>EMP091</t>
  </si>
  <si>
    <t>EMP092</t>
  </si>
  <si>
    <t>EMP093</t>
  </si>
  <si>
    <t>EMP094</t>
  </si>
  <si>
    <t>EMP095</t>
  </si>
  <si>
    <t>EMP096</t>
  </si>
  <si>
    <t>EMP097</t>
  </si>
  <si>
    <t>EMP098</t>
  </si>
  <si>
    <t>EMP099</t>
  </si>
  <si>
    <t>EMP100</t>
  </si>
  <si>
    <t>origin</t>
  </si>
  <si>
    <t>Rizky Ananda</t>
  </si>
  <si>
    <t>Gilang Saputra</t>
  </si>
  <si>
    <t>Hariyanto</t>
  </si>
  <si>
    <t>Intan Maharani</t>
  </si>
  <si>
    <t>Jefri Alamsyah</t>
  </si>
  <si>
    <t>Kartika Sari</t>
  </si>
  <si>
    <t>Lukman Hakim</t>
  </si>
  <si>
    <t>Mega Puspitasari</t>
  </si>
  <si>
    <t>Niko Prasetyo</t>
  </si>
  <si>
    <t>Olivia Putri</t>
  </si>
  <si>
    <t>Prasetyo Utomo</t>
  </si>
  <si>
    <t>Qori Annisa</t>
  </si>
  <si>
    <t>Rangga Saptonugroho</t>
  </si>
  <si>
    <t>Sinta Dewi</t>
  </si>
  <si>
    <t>Taufik Hidayat</t>
  </si>
  <si>
    <t>Usman Ali</t>
  </si>
  <si>
    <t>Vivi Lestari</t>
  </si>
  <si>
    <t>Wawan Setiabudi</t>
  </si>
  <si>
    <t>Xenia Maharani</t>
  </si>
  <si>
    <t>Yoga Pradana</t>
  </si>
  <si>
    <t>Zulfikar Ramadhan</t>
  </si>
  <si>
    <t>Aditya Saputra</t>
  </si>
  <si>
    <t>Bella Oktaviani</t>
  </si>
  <si>
    <t>Chandra Wijaya</t>
  </si>
  <si>
    <t>Dewi Sartika</t>
  </si>
  <si>
    <t>Edi Kurniawan</t>
  </si>
  <si>
    <t>Farah Nabila</t>
  </si>
  <si>
    <t>Galih Pratomo</t>
  </si>
  <si>
    <t>Hadi Purnomo</t>
  </si>
  <si>
    <t>Ika Lestari</t>
  </si>
  <si>
    <t>Jamil Akbar</t>
  </si>
  <si>
    <t>Kevin Sanjaya</t>
  </si>
  <si>
    <t>Laila Nuraini</t>
  </si>
  <si>
    <t>Miko Setiawan</t>
  </si>
  <si>
    <t>Nisa Aulia</t>
  </si>
  <si>
    <t>Oki Pramono</t>
  </si>
  <si>
    <t>Putra Mahendra</t>
  </si>
  <si>
    <t>Qolbi Ramadhani</t>
  </si>
  <si>
    <t>Reza Firmansyah</t>
  </si>
  <si>
    <t>Siska Amelia</t>
  </si>
  <si>
    <t>Tri Wibowo</t>
  </si>
  <si>
    <t>Ubay Prakoso</t>
  </si>
  <si>
    <t>Vania Putri</t>
  </si>
  <si>
    <t>Wira Nugraha</t>
  </si>
  <si>
    <t>Xaverius Adi</t>
  </si>
  <si>
    <t>Yuliana Kartini</t>
  </si>
  <si>
    <t>Zaki Alamsyah</t>
  </si>
  <si>
    <t>Arief Setyawan</t>
  </si>
  <si>
    <t>Bunga Cahyani</t>
  </si>
  <si>
    <t>Cahyo Prabowo</t>
  </si>
  <si>
    <t>Diah Permata</t>
  </si>
  <si>
    <t>Evania Putri</t>
  </si>
  <si>
    <t>Fikri Ramadhan</t>
  </si>
  <si>
    <t>Gilang Ramli</t>
  </si>
  <si>
    <t>Hana Zahra</t>
  </si>
  <si>
    <t>Irfan Maulana</t>
  </si>
  <si>
    <t>Jihan Salsabila</t>
  </si>
  <si>
    <t>Koko Santoso</t>
  </si>
  <si>
    <t>Luthfi Hakim</t>
  </si>
  <si>
    <t>Melati Anggraini</t>
  </si>
  <si>
    <t>Naufal Rizky</t>
  </si>
  <si>
    <t>Olin Febriani</t>
  </si>
  <si>
    <t>Praditya Wicaksono</t>
  </si>
  <si>
    <t>Qory Azzahra</t>
  </si>
  <si>
    <t>Rendi Saputra</t>
  </si>
  <si>
    <t>Salma Nuraini</t>
  </si>
  <si>
    <t>Tegar Prakoso</t>
  </si>
  <si>
    <t>Ulfa Khairunnisa</t>
  </si>
  <si>
    <t>Vito Mahendra</t>
  </si>
  <si>
    <t>Winda Sari</t>
  </si>
  <si>
    <t>Yusuf Al Ghazali</t>
  </si>
  <si>
    <t>Received_date</t>
  </si>
  <si>
    <t>Weight Group</t>
  </si>
  <si>
    <t>Revenue</t>
  </si>
  <si>
    <t>Total Shipment</t>
  </si>
  <si>
    <t>Column Labels</t>
  </si>
  <si>
    <t>Late</t>
  </si>
  <si>
    <t>On Time</t>
  </si>
  <si>
    <t>Grand Total</t>
  </si>
  <si>
    <t>Count of Shipment_ID</t>
  </si>
  <si>
    <t>Row Labels</t>
  </si>
  <si>
    <t>Destination</t>
  </si>
  <si>
    <t>2023</t>
  </si>
  <si>
    <t>Jan</t>
  </si>
  <si>
    <t>Feb</t>
  </si>
  <si>
    <t>Mar</t>
  </si>
  <si>
    <t>Apr</t>
  </si>
  <si>
    <t>May</t>
  </si>
  <si>
    <t>Jun</t>
  </si>
  <si>
    <t>Jul</t>
  </si>
  <si>
    <t>Aug</t>
  </si>
  <si>
    <t>Sep</t>
  </si>
  <si>
    <t>Oct</t>
  </si>
  <si>
    <t>Nov</t>
  </si>
  <si>
    <t>Dec</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</si>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</sst>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409]d\-mmm\-yyyy;@"/>
    <numFmt numFmtId="165" formatCode="#,,"/>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3" tint="-0.499984740745262"/>
        <bgColor indexed="64"/>
      </patternFill>
    </fill>
    <fill>
      <patternFill patternType="solid">
        <fgColor theme="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3" fontId="1" fillId="0" borderId="0" applyFont="0" applyFill="0" applyBorder="0" applyAlignment="0" applyProtection="0"/>
  </cellStyleXfs>
  <cellXfs count="32">
    <xf numFmtId="0" fontId="0" fillId="0" borderId="0" xfId="0"/>
    <xf numFmtId="0" fontId="0" fillId="0" borderId="1" xfId="0" applyBorder="1" applyAlignment="1">
      <alignment vertical="center"/>
    </xf>
    <xf numFmtId="0" fontId="0" fillId="0" borderId="1" xfId="0" applyBorder="1"/>
    <xf numFmtId="16" fontId="0" fillId="0" borderId="0" xfId="0" quotePrefix="1" applyNumberFormat="1"/>
    <xf numFmtId="0" fontId="0" fillId="0" borderId="0" xfId="0" quotePrefix="1"/>
    <xf numFmtId="164" fontId="0" fillId="0" borderId="1" xfId="0" applyNumberFormat="1" applyBorder="1"/>
    <xf numFmtId="0" fontId="0" fillId="2" borderId="0" xfId="0" applyFill="1"/>
    <xf numFmtId="165" fontId="0" fillId="0" borderId="0" xfId="1" applyNumberFormat="1" applyFont="1"/>
    <xf numFmtId="0" fontId="0" fillId="0" borderId="2" xfId="0" applyBorder="1"/>
    <xf numFmtId="0" fontId="0" fillId="0" borderId="3" xfId="0" applyBorder="1"/>
    <xf numFmtId="0" fontId="2" fillId="0" borderId="4" xfId="0" applyFont="1" applyBorder="1"/>
    <xf numFmtId="0" fontId="2" fillId="0" borderId="5" xfId="0" applyFont="1" applyBorder="1"/>
    <xf numFmtId="0" fontId="0" fillId="0" borderId="7" xfId="0" applyBorder="1"/>
    <xf numFmtId="0" fontId="0" fillId="0" borderId="8" xfId="0" applyBorder="1"/>
    <xf numFmtId="164" fontId="0" fillId="0" borderId="8" xfId="0" applyNumberFormat="1" applyBorder="1"/>
    <xf numFmtId="0" fontId="0" fillId="0" borderId="9" xfId="0" applyBorder="1"/>
    <xf numFmtId="0" fontId="2" fillId="3" borderId="5" xfId="0" applyFont="1" applyFill="1" applyBorder="1"/>
    <xf numFmtId="0" fontId="2" fillId="3" borderId="6" xfId="0" applyFont="1" applyFill="1" applyBorder="1"/>
    <xf numFmtId="0" fontId="2" fillId="0" borderId="6" xfId="0" applyFont="1" applyBorder="1"/>
    <xf numFmtId="0" fontId="0" fillId="0" borderId="2" xfId="0" applyBorder="1" applyAlignment="1">
      <alignment vertical="center"/>
    </xf>
    <xf numFmtId="0" fontId="0" fillId="0" borderId="3" xfId="0" applyBorder="1" applyAlignment="1">
      <alignment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0" fillId="0" borderId="0" xfId="0" applyNumberFormat="1"/>
    <xf numFmtId="3"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left" indent="1"/>
    </xf>
  </cellXfs>
  <cellStyles count="2">
    <cellStyle name="Comma" xfId="1" builtinId="3"/>
    <cellStyle name="Normal" xfId="0" builtinId="0"/>
  </cellStyles>
  <dxfs count="48">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409]d\-mmm\-yyyy;@"/>
      <border diagonalUp="0" diagonalDown="0">
        <left style="thin">
          <color indexed="64"/>
        </left>
        <right style="thin">
          <color indexed="64"/>
        </right>
        <top style="thin">
          <color indexed="64"/>
        </top>
        <bottom style="thin">
          <color indexed="64"/>
        </bottom>
        <vertical/>
        <horizontal/>
      </border>
    </dxf>
    <dxf>
      <numFmt numFmtId="164" formatCode="[$-409]d\-m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[logistic_express_performance.xlsx]Sheet2!PivotTable13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Late</c:v>
                </c:pt>
              </c:strCache>
            </c:strRef>
          </c:tx>
          <c:spPr>
            <a:solidFill>
              <a:schemeClr val="accent1"/>
            </a:solidFill>
            <a:ln>
              <a:noFill/>
            </a:ln>
            <a:effectLst/>
          </c:spPr>
          <c:invertIfNegative val="0"/>
          <c:cat>
            <c:strRef>
              <c:f>Sheet2!$A$5:$A$15</c:f>
              <c:strCache>
                <c:ptCount val="10"/>
                <c:pt idx="0">
                  <c:v>Jawa Timur</c:v>
                </c:pt>
                <c:pt idx="1">
                  <c:v>Kalimantan Timur</c:v>
                </c:pt>
                <c:pt idx="2">
                  <c:v>Sulawesi Selatan</c:v>
                </c:pt>
                <c:pt idx="3">
                  <c:v>Jawa Tengah</c:v>
                </c:pt>
                <c:pt idx="4">
                  <c:v>Jawa Barat</c:v>
                </c:pt>
                <c:pt idx="5">
                  <c:v>DKI Jakarta</c:v>
                </c:pt>
                <c:pt idx="6">
                  <c:v>Banten</c:v>
                </c:pt>
                <c:pt idx="7">
                  <c:v>Bali</c:v>
                </c:pt>
                <c:pt idx="8">
                  <c:v>Sumatera Utara</c:v>
                </c:pt>
                <c:pt idx="9">
                  <c:v>Sumatera Selatan</c:v>
                </c:pt>
              </c:strCache>
            </c:strRef>
          </c:cat>
          <c:val>
            <c:numRef>
              <c:f>Sheet2!$B$5:$B$15</c:f>
              <c:numCache>
                <c:formatCode>General</c:formatCode>
                <c:ptCount val="10"/>
                <c:pt idx="0">
                  <c:v>47</c:v>
                </c:pt>
                <c:pt idx="1">
                  <c:v>52</c:v>
                </c:pt>
                <c:pt idx="2">
                  <c:v>53</c:v>
                </c:pt>
                <c:pt idx="3">
                  <c:v>55</c:v>
                </c:pt>
                <c:pt idx="4">
                  <c:v>57</c:v>
                </c:pt>
                <c:pt idx="5">
                  <c:v>58</c:v>
                </c:pt>
                <c:pt idx="6">
                  <c:v>62</c:v>
                </c:pt>
                <c:pt idx="7">
                  <c:v>63</c:v>
                </c:pt>
                <c:pt idx="8">
                  <c:v>70</c:v>
                </c:pt>
                <c:pt idx="9">
                  <c:v>73</c:v>
                </c:pt>
              </c:numCache>
            </c:numRef>
          </c:val>
          <c:extLst>
            <c:ext xmlns:c16="http://schemas.microsoft.com/office/drawing/2014/chart" uri="{C3380CC4-5D6E-409C-BE32-E72D297353CC}">
              <c16:uniqueId val="{00000000-0B1C-4C61-9644-0F2F16B44420}"/>
            </c:ext>
          </c:extLst>
        </c:ser>
        <c:ser>
          <c:idx val="1"/>
          <c:order val="1"/>
          <c:tx>
            <c:strRef>
              <c:f>Sheet2!$C$3:$C$4</c:f>
              <c:strCache>
                <c:ptCount val="1"/>
                <c:pt idx="0">
                  <c:v>On Time</c:v>
                </c:pt>
              </c:strCache>
            </c:strRef>
          </c:tx>
          <c:spPr>
            <a:solidFill>
              <a:schemeClr val="accent2"/>
            </a:solidFill>
            <a:ln>
              <a:noFill/>
            </a:ln>
            <a:effectLst/>
          </c:spPr>
          <c:invertIfNegative val="0"/>
          <c:cat>
            <c:strRef>
              <c:f>Sheet2!$A$5:$A$15</c:f>
              <c:strCache>
                <c:ptCount val="10"/>
                <c:pt idx="0">
                  <c:v>Jawa Timur</c:v>
                </c:pt>
                <c:pt idx="1">
                  <c:v>Kalimantan Timur</c:v>
                </c:pt>
                <c:pt idx="2">
                  <c:v>Sulawesi Selatan</c:v>
                </c:pt>
                <c:pt idx="3">
                  <c:v>Jawa Tengah</c:v>
                </c:pt>
                <c:pt idx="4">
                  <c:v>Jawa Barat</c:v>
                </c:pt>
                <c:pt idx="5">
                  <c:v>DKI Jakarta</c:v>
                </c:pt>
                <c:pt idx="6">
                  <c:v>Banten</c:v>
                </c:pt>
                <c:pt idx="7">
                  <c:v>Bali</c:v>
                </c:pt>
                <c:pt idx="8">
                  <c:v>Sumatera Utara</c:v>
                </c:pt>
                <c:pt idx="9">
                  <c:v>Sumatera Selatan</c:v>
                </c:pt>
              </c:strCache>
            </c:strRef>
          </c:cat>
          <c:val>
            <c:numRef>
              <c:f>Sheet2!$C$5:$C$15</c:f>
              <c:numCache>
                <c:formatCode>General</c:formatCode>
                <c:ptCount val="10"/>
                <c:pt idx="0">
                  <c:v>73</c:v>
                </c:pt>
                <c:pt idx="1">
                  <c:v>68</c:v>
                </c:pt>
                <c:pt idx="2">
                  <c:v>67</c:v>
                </c:pt>
                <c:pt idx="3">
                  <c:v>65</c:v>
                </c:pt>
                <c:pt idx="4">
                  <c:v>63</c:v>
                </c:pt>
                <c:pt idx="5">
                  <c:v>62</c:v>
                </c:pt>
                <c:pt idx="6">
                  <c:v>58</c:v>
                </c:pt>
                <c:pt idx="7">
                  <c:v>57</c:v>
                </c:pt>
                <c:pt idx="8">
                  <c:v>50</c:v>
                </c:pt>
                <c:pt idx="9">
                  <c:v>47</c:v>
                </c:pt>
              </c:numCache>
            </c:numRef>
          </c:val>
          <c:extLst>
            <c:ext xmlns:c16="http://schemas.microsoft.com/office/drawing/2014/chart" uri="{C3380CC4-5D6E-409C-BE32-E72D297353CC}">
              <c16:uniqueId val="{00000001-0B1C-4C61-9644-0F2F16B44420}"/>
            </c:ext>
          </c:extLst>
        </c:ser>
        <c:dLbls>
          <c:showLegendKey val="0"/>
          <c:showVal val="0"/>
          <c:showCatName val="0"/>
          <c:showSerName val="0"/>
          <c:showPercent val="0"/>
          <c:showBubbleSize val="0"/>
        </c:dLbls>
        <c:gapWidth val="219"/>
        <c:overlap val="-27"/>
        <c:axId val="607931016"/>
        <c:axId val="607929704"/>
      </c:barChart>
      <c:catAx>
        <c:axId val="607931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929704"/>
        <c:crosses val="autoZero"/>
        <c:auto val="1"/>
        <c:lblAlgn val="ctr"/>
        <c:lblOffset val="100"/>
        <c:noMultiLvlLbl val="0"/>
      </c:catAx>
      <c:valAx>
        <c:axId val="607929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931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[logistic_express_performance.xlsx]Sheet2!PivotTable14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Sheet2!$B$19:$B$20</c:f>
              <c:strCache>
                <c:ptCount val="1"/>
                <c:pt idx="0">
                  <c:v>Late</c:v>
                </c:pt>
              </c:strCache>
            </c:strRef>
          </c:tx>
          <c:spPr>
            <a:solidFill>
              <a:schemeClr val="accent1"/>
            </a:solidFill>
            <a:ln>
              <a:noFill/>
            </a:ln>
            <a:effectLst/>
          </c:spPr>
          <c:invertIfNegative val="0"/>
          <c:cat>
            <c:strRef>
              <c:f>Sheet2!$A$21:$A$23</c:f>
              <c:strCache>
                <c:ptCount val="2"/>
                <c:pt idx="0">
                  <c:v>driver</c:v>
                </c:pt>
                <c:pt idx="1">
                  <c:v>rider</c:v>
                </c:pt>
              </c:strCache>
            </c:strRef>
          </c:cat>
          <c:val>
            <c:numRef>
              <c:f>Sheet2!$B$21:$B$23</c:f>
              <c:numCache>
                <c:formatCode>General</c:formatCode>
                <c:ptCount val="2"/>
                <c:pt idx="0">
                  <c:v>177</c:v>
                </c:pt>
                <c:pt idx="1">
                  <c:v>413</c:v>
                </c:pt>
              </c:numCache>
            </c:numRef>
          </c:val>
          <c:extLst>
            <c:ext xmlns:c16="http://schemas.microsoft.com/office/drawing/2014/chart" uri="{C3380CC4-5D6E-409C-BE32-E72D297353CC}">
              <c16:uniqueId val="{00000000-8E0B-48C9-92CB-0029ABC45CAC}"/>
            </c:ext>
          </c:extLst>
        </c:ser>
        <c:ser>
          <c:idx val="1"/>
          <c:order val="1"/>
          <c:tx>
            <c:strRef>
              <c:f>Sheet2!$C$19:$C$20</c:f>
              <c:strCache>
                <c:ptCount val="1"/>
                <c:pt idx="0">
                  <c:v>On Time</c:v>
                </c:pt>
              </c:strCache>
            </c:strRef>
          </c:tx>
          <c:spPr>
            <a:solidFill>
              <a:schemeClr val="accent2"/>
            </a:solidFill>
            <a:ln>
              <a:noFill/>
            </a:ln>
            <a:effectLst/>
          </c:spPr>
          <c:invertIfNegative val="0"/>
          <c:cat>
            <c:strRef>
              <c:f>Sheet2!$A$21:$A$23</c:f>
              <c:strCache>
                <c:ptCount val="2"/>
                <c:pt idx="0">
                  <c:v>driver</c:v>
                </c:pt>
                <c:pt idx="1">
                  <c:v>rider</c:v>
                </c:pt>
              </c:strCache>
            </c:strRef>
          </c:cat>
          <c:val>
            <c:numRef>
              <c:f>Sheet2!$C$21:$C$23</c:f>
              <c:numCache>
                <c:formatCode>General</c:formatCode>
                <c:ptCount val="2"/>
                <c:pt idx="0">
                  <c:v>339</c:v>
                </c:pt>
                <c:pt idx="1">
                  <c:v>271</c:v>
                </c:pt>
              </c:numCache>
            </c:numRef>
          </c:val>
          <c:extLst>
            <c:ext xmlns:c16="http://schemas.microsoft.com/office/drawing/2014/chart" uri="{C3380CC4-5D6E-409C-BE32-E72D297353CC}">
              <c16:uniqueId val="{00000001-8E0B-48C9-92CB-0029ABC45CAC}"/>
            </c:ext>
          </c:extLst>
        </c:ser>
        <c:dLbls>
          <c:showLegendKey val="0"/>
          <c:showVal val="0"/>
          <c:showCatName val="0"/>
          <c:showSerName val="0"/>
          <c:showPercent val="0"/>
          <c:showBubbleSize val="0"/>
        </c:dLbls>
        <c:gapWidth val="219"/>
        <c:overlap val="-27"/>
        <c:axId val="759678064"/>
        <c:axId val="759680032"/>
      </c:barChart>
      <c:catAx>
        <c:axId val="75967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680032"/>
        <c:crosses val="autoZero"/>
        <c:auto val="1"/>
        <c:lblAlgn val="ctr"/>
        <c:lblOffset val="100"/>
        <c:noMultiLvlLbl val="0"/>
      </c:catAx>
      <c:valAx>
        <c:axId val="75968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67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[logistic_express_performance.xlsx]Sheet2!PivotTable15</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Sheet2!$B$27:$B$28</c:f>
              <c:strCache>
                <c:ptCount val="1"/>
                <c:pt idx="0">
                  <c:v>Late</c:v>
                </c:pt>
              </c:strCache>
            </c:strRef>
          </c:tx>
          <c:spPr>
            <a:solidFill>
              <a:schemeClr val="accent1"/>
            </a:solidFill>
            <a:ln>
              <a:noFill/>
            </a:ln>
            <a:effectLst/>
          </c:spPr>
          <c:invertIfNegative val="0"/>
          <c:cat>
            <c:strRef>
              <c:f>Sheet2!$A$29:$A$32</c:f>
              <c:strCache>
                <c:ptCount val="3"/>
                <c:pt idx="0">
                  <c:v>ECO</c:v>
                </c:pt>
                <c:pt idx="1">
                  <c:v>NED</c:v>
                </c:pt>
                <c:pt idx="2">
                  <c:v>STD</c:v>
                </c:pt>
              </c:strCache>
            </c:strRef>
          </c:cat>
          <c:val>
            <c:numRef>
              <c:f>Sheet2!$B$29:$B$32</c:f>
              <c:numCache>
                <c:formatCode>General</c:formatCode>
                <c:ptCount val="3"/>
                <c:pt idx="0">
                  <c:v>95</c:v>
                </c:pt>
                <c:pt idx="1">
                  <c:v>144</c:v>
                </c:pt>
                <c:pt idx="2">
                  <c:v>351</c:v>
                </c:pt>
              </c:numCache>
            </c:numRef>
          </c:val>
          <c:extLst>
            <c:ext xmlns:c16="http://schemas.microsoft.com/office/drawing/2014/chart" uri="{C3380CC4-5D6E-409C-BE32-E72D297353CC}">
              <c16:uniqueId val="{00000000-DAC5-4718-A122-BAB005089C65}"/>
            </c:ext>
          </c:extLst>
        </c:ser>
        <c:ser>
          <c:idx val="1"/>
          <c:order val="1"/>
          <c:tx>
            <c:strRef>
              <c:f>Sheet2!$C$27:$C$28</c:f>
              <c:strCache>
                <c:ptCount val="1"/>
                <c:pt idx="0">
                  <c:v>On Time</c:v>
                </c:pt>
              </c:strCache>
            </c:strRef>
          </c:tx>
          <c:spPr>
            <a:solidFill>
              <a:schemeClr val="accent2"/>
            </a:solidFill>
            <a:ln>
              <a:noFill/>
            </a:ln>
            <a:effectLst/>
          </c:spPr>
          <c:invertIfNegative val="0"/>
          <c:cat>
            <c:strRef>
              <c:f>Sheet2!$A$29:$A$32</c:f>
              <c:strCache>
                <c:ptCount val="3"/>
                <c:pt idx="0">
                  <c:v>ECO</c:v>
                </c:pt>
                <c:pt idx="1">
                  <c:v>NED</c:v>
                </c:pt>
                <c:pt idx="2">
                  <c:v>STD</c:v>
                </c:pt>
              </c:strCache>
            </c:strRef>
          </c:cat>
          <c:val>
            <c:numRef>
              <c:f>Sheet2!$C$29:$C$32</c:f>
              <c:numCache>
                <c:formatCode>General</c:formatCode>
                <c:ptCount val="3"/>
                <c:pt idx="0">
                  <c:v>220</c:v>
                </c:pt>
                <c:pt idx="1">
                  <c:v>127</c:v>
                </c:pt>
                <c:pt idx="2">
                  <c:v>263</c:v>
                </c:pt>
              </c:numCache>
            </c:numRef>
          </c:val>
          <c:extLst>
            <c:ext xmlns:c16="http://schemas.microsoft.com/office/drawing/2014/chart" uri="{C3380CC4-5D6E-409C-BE32-E72D297353CC}">
              <c16:uniqueId val="{00000001-DAC5-4718-A122-BAB005089C65}"/>
            </c:ext>
          </c:extLst>
        </c:ser>
        <c:dLbls>
          <c:showLegendKey val="0"/>
          <c:showVal val="0"/>
          <c:showCatName val="0"/>
          <c:showSerName val="0"/>
          <c:showPercent val="0"/>
          <c:showBubbleSize val="0"/>
        </c:dLbls>
        <c:gapWidth val="219"/>
        <c:overlap val="-27"/>
        <c:axId val="615997792"/>
        <c:axId val="615998120"/>
      </c:barChart>
      <c:catAx>
        <c:axId val="61599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998120"/>
        <c:crosses val="autoZero"/>
        <c:auto val="1"/>
        <c:lblAlgn val="ctr"/>
        <c:lblOffset val="100"/>
        <c:noMultiLvlLbl val="0"/>
      </c:catAx>
      <c:valAx>
        <c:axId val="615998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99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[logistic_express_performance.xlsx]Sheet1!PivotTable9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Sheet1!$B$15</c:f>
              <c:strCache>
                <c:ptCount val="1"/>
                <c:pt idx="0">
                  <c:v>Total</c:v>
                </c:pt>
              </c:strCache>
            </c:strRef>
          </c:tx>
          <c:spPr>
            <a:solidFill>
              <a:schemeClr val="accent1"/>
            </a:solidFill>
            <a:ln>
              <a:noFill/>
            </a:ln>
            <a:effectLst/>
          </c:spPr>
          <c:invertIfNegative val="0"/>
          <c:cat>
            <c:strRef>
              <c:f>Sheet1!$A$16:$A$18</c:f>
              <c:strCache>
                <c:ptCount val="2"/>
                <c:pt idx="0">
                  <c:v>Corporate</c:v>
                </c:pt>
                <c:pt idx="1">
                  <c:v>Retail</c:v>
                </c:pt>
              </c:strCache>
            </c:strRef>
          </c:cat>
          <c:val>
            <c:numRef>
              <c:f>Sheet1!$B$16:$B$18</c:f>
              <c:numCache>
                <c:formatCode>General</c:formatCode>
                <c:ptCount val="2"/>
                <c:pt idx="0">
                  <c:v>619</c:v>
                </c:pt>
                <c:pt idx="1">
                  <c:v>581</c:v>
                </c:pt>
              </c:numCache>
            </c:numRef>
          </c:val>
          <c:extLst>
            <c:ext xmlns:c16="http://schemas.microsoft.com/office/drawing/2014/chart" uri="{C3380CC4-5D6E-409C-BE32-E72D297353CC}">
              <c16:uniqueId val="{00000000-7AD2-4B09-A51C-4ECEEDF0C9AE}"/>
            </c:ext>
          </c:extLst>
        </c:ser>
        <c:dLbls>
          <c:showLegendKey val="0"/>
          <c:showVal val="0"/>
          <c:showCatName val="0"/>
          <c:showSerName val="0"/>
          <c:showPercent val="0"/>
          <c:showBubbleSize val="0"/>
        </c:dLbls>
        <c:gapWidth val="182"/>
        <c:axId val="582170000"/>
        <c:axId val="582170328"/>
      </c:barChart>
      <c:catAx>
        <c:axId val="582170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170328"/>
        <c:crosses val="autoZero"/>
        <c:auto val="1"/>
        <c:lblAlgn val="ctr"/>
        <c:lblOffset val="100"/>
        <c:noMultiLvlLbl val="0"/>
      </c:catAx>
      <c:valAx>
        <c:axId val="582170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170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[logistic_express_performance.xlsx]Sheet1!PivotTable10</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Sheet1!$B$25</c:f>
              <c:strCache>
                <c:ptCount val="1"/>
                <c:pt idx="0">
                  <c:v>Total</c:v>
                </c:pt>
              </c:strCache>
            </c:strRef>
          </c:tx>
          <c:spPr>
            <a:solidFill>
              <a:schemeClr val="accent1"/>
            </a:solidFill>
            <a:ln>
              <a:noFill/>
            </a:ln>
            <a:effectLst/>
          </c:spPr>
          <c:invertIfNegative val="0"/>
          <c:cat>
            <c:strRef>
              <c:f>Sheet1!$A$26:$A$29</c:f>
              <c:strCache>
                <c:ptCount val="3"/>
                <c:pt idx="0">
                  <c:v>NED</c:v>
                </c:pt>
                <c:pt idx="1">
                  <c:v>ECO</c:v>
                </c:pt>
                <c:pt idx="2">
                  <c:v>STD</c:v>
                </c:pt>
              </c:strCache>
            </c:strRef>
          </c:cat>
          <c:val>
            <c:numRef>
              <c:f>Sheet1!$B$26:$B$29</c:f>
              <c:numCache>
                <c:formatCode>General</c:formatCode>
                <c:ptCount val="3"/>
                <c:pt idx="0">
                  <c:v>271</c:v>
                </c:pt>
                <c:pt idx="1">
                  <c:v>315</c:v>
                </c:pt>
                <c:pt idx="2">
                  <c:v>614</c:v>
                </c:pt>
              </c:numCache>
            </c:numRef>
          </c:val>
          <c:extLst>
            <c:ext xmlns:c16="http://schemas.microsoft.com/office/drawing/2014/chart" uri="{C3380CC4-5D6E-409C-BE32-E72D297353CC}">
              <c16:uniqueId val="{00000000-FA6B-4972-B4F3-3D063F456EB6}"/>
            </c:ext>
          </c:extLst>
        </c:ser>
        <c:dLbls>
          <c:showLegendKey val="0"/>
          <c:showVal val="0"/>
          <c:showCatName val="0"/>
          <c:showSerName val="0"/>
          <c:showPercent val="0"/>
          <c:showBubbleSize val="0"/>
        </c:dLbls>
        <c:gapWidth val="182"/>
        <c:axId val="605509392"/>
        <c:axId val="605508408"/>
      </c:barChart>
      <c:catAx>
        <c:axId val="605509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508408"/>
        <c:crosses val="autoZero"/>
        <c:auto val="1"/>
        <c:lblAlgn val="ctr"/>
        <c:lblOffset val="100"/>
        <c:noMultiLvlLbl val="0"/>
      </c:catAx>
      <c:valAx>
        <c:axId val="605508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50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[logistic_express_performance.xlsx]Sheet1!PivotTable12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Sheet1!$B$49</c:f>
              <c:strCache>
                <c:ptCount val="1"/>
                <c:pt idx="0">
                  <c:v>Total</c:v>
                </c:pt>
              </c:strCache>
            </c:strRef>
          </c:tx>
          <c:spPr>
            <a:ln w="28575" cap="rnd">
              <a:solidFill>
                <a:schemeClr val="accent1"/>
              </a:solidFill>
              <a:round/>
            </a:ln>
            <a:effectLst/>
          </c:spPr>
          <c:marker>
            <c:symbol val="none"/>
          </c:marker>
          <c:cat>
            <c:multiLvlStrRef>
              <c:f>Sheet1!$A$50:$A$76</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Sheet1!$B$50:$B$76</c:f>
              <c:numCache>
                <c:formatCode>General</c:formatCode>
                <c:ptCount val="24"/>
                <c:pt idx="0">
                  <c:v>51</c:v>
                </c:pt>
                <c:pt idx="1">
                  <c:v>48</c:v>
                </c:pt>
                <c:pt idx="2">
                  <c:v>59</c:v>
                </c:pt>
                <c:pt idx="3">
                  <c:v>46</c:v>
                </c:pt>
                <c:pt idx="4">
                  <c:v>45</c:v>
                </c:pt>
                <c:pt idx="5">
                  <c:v>40</c:v>
                </c:pt>
                <c:pt idx="6">
                  <c:v>67</c:v>
                </c:pt>
                <c:pt idx="7">
                  <c:v>52</c:v>
                </c:pt>
                <c:pt idx="8">
                  <c:v>46</c:v>
                </c:pt>
                <c:pt idx="9">
                  <c:v>55</c:v>
                </c:pt>
                <c:pt idx="10">
                  <c:v>50</c:v>
                </c:pt>
                <c:pt idx="11">
                  <c:v>47</c:v>
                </c:pt>
                <c:pt idx="12">
                  <c:v>60</c:v>
                </c:pt>
                <c:pt idx="13">
                  <c:v>34</c:v>
                </c:pt>
                <c:pt idx="14">
                  <c:v>54</c:v>
                </c:pt>
                <c:pt idx="15">
                  <c:v>65</c:v>
                </c:pt>
                <c:pt idx="16">
                  <c:v>53</c:v>
                </c:pt>
                <c:pt idx="17">
                  <c:v>41</c:v>
                </c:pt>
                <c:pt idx="18">
                  <c:v>46</c:v>
                </c:pt>
                <c:pt idx="19">
                  <c:v>44</c:v>
                </c:pt>
                <c:pt idx="20">
                  <c:v>51</c:v>
                </c:pt>
                <c:pt idx="21">
                  <c:v>50</c:v>
                </c:pt>
                <c:pt idx="22">
                  <c:v>43</c:v>
                </c:pt>
                <c:pt idx="23">
                  <c:v>53</c:v>
                </c:pt>
              </c:numCache>
            </c:numRef>
          </c:val>
          <c:smooth val="0"/>
          <c:extLst>
            <c:ext xmlns:c16="http://schemas.microsoft.com/office/drawing/2014/chart" uri="{C3380CC4-5D6E-409C-BE32-E72D297353CC}">
              <c16:uniqueId val="{00000000-FAA9-48E1-97F2-C7279C3F0424}"/>
            </c:ext>
          </c:extLst>
        </c:ser>
        <c:dLbls>
          <c:showLegendKey val="0"/>
          <c:showVal val="0"/>
          <c:showCatName val="0"/>
          <c:showSerName val="0"/>
          <c:showPercent val="0"/>
          <c:showBubbleSize val="0"/>
        </c:dLbls>
        <c:smooth val="0"/>
        <c:axId val="582797768"/>
        <c:axId val="582798096"/>
      </c:lineChart>
      <c:catAx>
        <c:axId val="582797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798096"/>
        <c:crosses val="autoZero"/>
        <c:auto val="1"/>
        <c:lblAlgn val="ctr"/>
        <c:lblOffset val="100"/>
        <c:noMultiLvlLbl val="0"/>
      </c:catAx>
      <c:valAx>
        <c:axId val="58279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797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[logistic_express_performance.xlsx]Sheet1!PivotTable9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Sheet1!$B$15</c:f>
              <c:strCache>
                <c:ptCount val="1"/>
                <c:pt idx="0">
                  <c:v>Total</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Sheet1!$A$16:$A$18</c:f>
              <c:strCache>
                <c:ptCount val="2"/>
                <c:pt idx="0">
                  <c:v>Corporate</c:v>
                </c:pt>
                <c:pt idx="1">
                  <c:v>Retail</c:v>
                </c:pt>
              </c:strCache>
            </c:strRef>
          </c:cat>
          <c:val>
            <c:numRef>
              <c:f>Sheet1!$B$16:$B$18</c:f>
              <c:numCache>
                <c:formatCode>General</c:formatCode>
                <c:ptCount val="2"/>
                <c:pt idx="0">
                  <c:v>619</c:v>
                </c:pt>
                <c:pt idx="1">
                  <c:v>581</c:v>
                </c:pt>
              </c:numCache>
            </c:numRef>
          </c:val>
          <c:extLst>
            <c:ext xmlns:c16="http://schemas.microsoft.com/office/drawing/2014/chart" uri="{C3380CC4-5D6E-409C-BE32-E72D297353CC}">
              <c16:uniqueId val="{00000000-70FC-4834-A6B3-A492DCD56AAA}"/>
            </c:ext>
          </c:extLst>
        </c:ser>
        <c:dLbls>
          <c:dLblPos val="outEnd"/>
          <c:showLegendKey val="0"/>
          <c:showVal val="1"/>
          <c:showCatName val="0"/>
          <c:showSerName val="0"/>
          <c:showPercent val="0"/>
          <c:showBubbleSize val="0"/>
        </c:dLbls>
        <c:gapWidth val="182"/>
        <c:axId val="582170000"/>
        <c:axId val="582170328"/>
      </c:barChart>
      <c:catAx>
        <c:axId val="5821700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582170328"/>
        <c:crosses val="autoZero"/>
        <c:auto val="1"/>
        <c:lblAlgn val="ctr"/>
        <c:lblOffset val="100"/>
        <c:noMultiLvlLbl val="0"/>
      </c:catAx>
      <c:valAx>
        <c:axId val="582170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582170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[logistic_express_performance.xlsx]Sheet1!PivotTable10</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Sheet1!$B$25</c:f>
              <c:strCache>
                <c:ptCount val="1"/>
                <c:pt idx="0">
                  <c:v>Total</c:v>
                </c:pt>
              </c:strCache>
            </c:strRef>
          </c:tx>
          <c:spPr>
            <a:solidFill>
              <a:schemeClr val="tx2"/>
            </a:solidFill>
            <a:ln>
              <a:noFill/>
            </a:ln>
            <a:effectLst/>
          </c:spPr>
          <c:invertIfNegative val="0"/>
          <c:dLbls>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Sheet1!$A$26:$A$29</c:f>
              <c:strCache>
                <c:ptCount val="3"/>
                <c:pt idx="0">
                  <c:v>NED</c:v>
                </c:pt>
                <c:pt idx="1">
                  <c:v>ECO</c:v>
                </c:pt>
                <c:pt idx="2">
                  <c:v>STD</c:v>
                </c:pt>
              </c:strCache>
            </c:strRef>
          </c:cat>
          <c:val>
            <c:numRef>
              <c:f>Sheet1!$B$26:$B$29</c:f>
              <c:numCache>
                <c:formatCode>General</c:formatCode>
                <c:ptCount val="3"/>
                <c:pt idx="0">
                  <c:v>271</c:v>
                </c:pt>
                <c:pt idx="1">
                  <c:v>315</c:v>
                </c:pt>
                <c:pt idx="2">
                  <c:v>614</c:v>
                </c:pt>
              </c:numCache>
            </c:numRef>
          </c:val>
          <c:extLst>
            <c:ext xmlns:c16="http://schemas.microsoft.com/office/drawing/2014/chart" uri="{C3380CC4-5D6E-409C-BE32-E72D297353CC}">
              <c16:uniqueId val="{00000000-E8C5-4035-AFC4-E485D52A5399}"/>
            </c:ext>
          </c:extLst>
        </c:ser>
        <c:dLbls>
          <c:dLblPos val="outEnd"/>
          <c:showLegendKey val="0"/>
          <c:showVal val="1"/>
          <c:showCatName val="0"/>
          <c:showSerName val="0"/>
          <c:showPercent val="0"/>
          <c:showBubbleSize val="0"/>
        </c:dLbls>
        <c:gapWidth val="182"/>
        <c:axId val="605509392"/>
        <c:axId val="605508408"/>
      </c:barChart>
      <c:catAx>
        <c:axId val="605509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605508408"/>
        <c:crosses val="autoZero"/>
        <c:auto val="1"/>
        <c:lblAlgn val="ctr"/>
        <c:lblOffset val="100"/>
        <c:noMultiLvlLbl val="0"/>
      </c:catAx>
      <c:valAx>
        <c:axId val="605508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605509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[logistic_express_performance.xlsx]Sheet1!PivotTable12</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13"/>
          <c:spPr>
            <a:pattFill prst="pct5">
              <a:fgClr>
                <a:sysClr val="window" lastClr="FFFFFF"/>
              </a:fgClr>
              <a:bgClr>
                <a:schemeClr val="bg1"/>
              </a:bgClr>
            </a:pattFill>
            <a:ln w="9525">
              <a:solidFill>
                <a:schemeClr val="accent1"/>
              </a:solidFill>
            </a:ln>
            <a:effectLst/>
          </c:spPr>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Sheet1!$B$49</c:f>
              <c:strCache>
                <c:ptCount val="1"/>
                <c:pt idx="0">
                  <c:v>Total</c:v>
                </c:pt>
              </c:strCache>
            </c:strRef>
          </c:tx>
          <c:spPr>
            <a:ln w="28575" cap="rnd">
              <a:solidFill>
                <a:schemeClr val="accent1"/>
              </a:solidFill>
              <a:round/>
            </a:ln>
            <a:effectLst/>
          </c:spPr>
          <c:marker>
            <c:symbol val="circle"/>
            <c:size val="13"/>
            <c:spPr>
              <a:pattFill prst="pct5">
                <a:fgClr>
                  <a:sysClr val="window" lastClr="FFFFFF"/>
                </a:fgClr>
                <a:bgClr>
                  <a:schemeClr val="bg1"/>
                </a:bgClr>
              </a:pattFill>
              <a:ln w="9525">
                <a:solidFill>
                  <a:schemeClr val="accent1"/>
                </a:solidFill>
              </a:ln>
              <a:effectLst/>
            </c:spPr>
          </c:marker>
          <c:dLbls>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Sheet1!$A$50:$A$76</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Sheet1!$B$50:$B$76</c:f>
              <c:numCache>
                <c:formatCode>General</c:formatCode>
                <c:ptCount val="24"/>
                <c:pt idx="0">
                  <c:v>51</c:v>
                </c:pt>
                <c:pt idx="1">
                  <c:v>48</c:v>
                </c:pt>
                <c:pt idx="2">
                  <c:v>59</c:v>
                </c:pt>
                <c:pt idx="3">
                  <c:v>46</c:v>
                </c:pt>
                <c:pt idx="4">
                  <c:v>45</c:v>
                </c:pt>
                <c:pt idx="5">
                  <c:v>40</c:v>
                </c:pt>
                <c:pt idx="6">
                  <c:v>67</c:v>
                </c:pt>
                <c:pt idx="7">
                  <c:v>52</c:v>
                </c:pt>
                <c:pt idx="8">
                  <c:v>46</c:v>
                </c:pt>
                <c:pt idx="9">
                  <c:v>55</c:v>
                </c:pt>
                <c:pt idx="10">
                  <c:v>50</c:v>
                </c:pt>
                <c:pt idx="11">
                  <c:v>47</c:v>
                </c:pt>
                <c:pt idx="12">
                  <c:v>60</c:v>
                </c:pt>
                <c:pt idx="13">
                  <c:v>34</c:v>
                </c:pt>
                <c:pt idx="14">
                  <c:v>54</c:v>
                </c:pt>
                <c:pt idx="15">
                  <c:v>65</c:v>
                </c:pt>
                <c:pt idx="16">
                  <c:v>53</c:v>
                </c:pt>
                <c:pt idx="17">
                  <c:v>41</c:v>
                </c:pt>
                <c:pt idx="18">
                  <c:v>46</c:v>
                </c:pt>
                <c:pt idx="19">
                  <c:v>44</c:v>
                </c:pt>
                <c:pt idx="20">
                  <c:v>51</c:v>
                </c:pt>
                <c:pt idx="21">
                  <c:v>50</c:v>
                </c:pt>
                <c:pt idx="22">
                  <c:v>43</c:v>
                </c:pt>
                <c:pt idx="23">
                  <c:v>53</c:v>
                </c:pt>
              </c:numCache>
            </c:numRef>
          </c:val>
          <c:smooth val="0"/>
          <c:extLst>
            <c:ext xmlns:c16="http://schemas.microsoft.com/office/drawing/2014/chart" uri="{C3380CC4-5D6E-409C-BE32-E72D297353CC}">
              <c16:uniqueId val="{00000000-1702-4AA1-9161-586E03092FBC}"/>
            </c:ext>
          </c:extLst>
        </c:ser>
        <c:dLbls>
          <c:dLblPos val="t"/>
          <c:showLegendKey val="0"/>
          <c:showVal val="1"/>
          <c:showCatName val="0"/>
          <c:showSerName val="0"/>
          <c:showPercent val="0"/>
          <c:showBubbleSize val="0"/>
        </c:dLbls>
        <c:marker val="1"/>
        <c:smooth val="0"/>
        <c:axId val="582797768"/>
        <c:axId val="582798096"/>
      </c:lineChart>
      <c:catAx>
        <c:axId val="582797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582798096"/>
        <c:crosses val="autoZero"/>
        <c:auto val="1"/>
        <c:lblAlgn val="ctr"/>
        <c:lblOffset val="100"/>
        <c:noMultiLvlLbl val="0"/>
      </c:catAx>
      <c:valAx>
        <c:axId val="58279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582797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[logistic_express_performance.xlsx]Sheet2!PivotTable13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Late</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Sheet2!$A$5:$A$15</c:f>
              <c:strCache>
                <c:ptCount val="10"/>
                <c:pt idx="0">
                  <c:v>Jawa Timur</c:v>
                </c:pt>
                <c:pt idx="1">
                  <c:v>Kalimantan Timur</c:v>
                </c:pt>
                <c:pt idx="2">
                  <c:v>Sulawesi Selatan</c:v>
                </c:pt>
                <c:pt idx="3">
                  <c:v>Jawa Tengah</c:v>
                </c:pt>
                <c:pt idx="4">
                  <c:v>Jawa Barat</c:v>
                </c:pt>
                <c:pt idx="5">
                  <c:v>DKI Jakarta</c:v>
                </c:pt>
                <c:pt idx="6">
                  <c:v>Banten</c:v>
                </c:pt>
                <c:pt idx="7">
                  <c:v>Bali</c:v>
                </c:pt>
                <c:pt idx="8">
                  <c:v>Sumatera Utara</c:v>
                </c:pt>
                <c:pt idx="9">
                  <c:v>Sumatera Selatan</c:v>
                </c:pt>
              </c:strCache>
            </c:strRef>
          </c:cat>
          <c:val>
            <c:numRef>
              <c:f>Sheet2!$B$5:$B$15</c:f>
              <c:numCache>
                <c:formatCode>General</c:formatCode>
                <c:ptCount val="10"/>
                <c:pt idx="0">
                  <c:v>47</c:v>
                </c:pt>
                <c:pt idx="1">
                  <c:v>52</c:v>
                </c:pt>
                <c:pt idx="2">
                  <c:v>53</c:v>
                </c:pt>
                <c:pt idx="3">
                  <c:v>55</c:v>
                </c:pt>
                <c:pt idx="4">
                  <c:v>57</c:v>
                </c:pt>
                <c:pt idx="5">
                  <c:v>58</c:v>
                </c:pt>
                <c:pt idx="6">
                  <c:v>62</c:v>
                </c:pt>
                <c:pt idx="7">
                  <c:v>63</c:v>
                </c:pt>
                <c:pt idx="8">
                  <c:v>70</c:v>
                </c:pt>
                <c:pt idx="9">
                  <c:v>73</c:v>
                </c:pt>
              </c:numCache>
            </c:numRef>
          </c:val>
          <c:extLst>
            <c:ext xmlns:c16="http://schemas.microsoft.com/office/drawing/2014/chart" uri="{C3380CC4-5D6E-409C-BE32-E72D297353CC}">
              <c16:uniqueId val="{00000000-F852-4B23-BEAA-F20E65149A56}"/>
            </c:ext>
          </c:extLst>
        </c:ser>
        <c:ser>
          <c:idx val="1"/>
          <c:order val="1"/>
          <c:tx>
            <c:strRef>
              <c:f>Sheet2!$C$3:$C$4</c:f>
              <c:strCache>
                <c:ptCount val="1"/>
                <c:pt idx="0">
                  <c:v>On Time</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Sheet2!$A$5:$A$15</c:f>
              <c:strCache>
                <c:ptCount val="10"/>
                <c:pt idx="0">
                  <c:v>Jawa Timur</c:v>
                </c:pt>
                <c:pt idx="1">
                  <c:v>Kalimantan Timur</c:v>
                </c:pt>
                <c:pt idx="2">
                  <c:v>Sulawesi Selatan</c:v>
                </c:pt>
                <c:pt idx="3">
                  <c:v>Jawa Tengah</c:v>
                </c:pt>
                <c:pt idx="4">
                  <c:v>Jawa Barat</c:v>
                </c:pt>
                <c:pt idx="5">
                  <c:v>DKI Jakarta</c:v>
                </c:pt>
                <c:pt idx="6">
                  <c:v>Banten</c:v>
                </c:pt>
                <c:pt idx="7">
                  <c:v>Bali</c:v>
                </c:pt>
                <c:pt idx="8">
                  <c:v>Sumatera Utara</c:v>
                </c:pt>
                <c:pt idx="9">
                  <c:v>Sumatera Selatan</c:v>
                </c:pt>
              </c:strCache>
            </c:strRef>
          </c:cat>
          <c:val>
            <c:numRef>
              <c:f>Sheet2!$C$5:$C$15</c:f>
              <c:numCache>
                <c:formatCode>General</c:formatCode>
                <c:ptCount val="10"/>
                <c:pt idx="0">
                  <c:v>73</c:v>
                </c:pt>
                <c:pt idx="1">
                  <c:v>68</c:v>
                </c:pt>
                <c:pt idx="2">
                  <c:v>67</c:v>
                </c:pt>
                <c:pt idx="3">
                  <c:v>65</c:v>
                </c:pt>
                <c:pt idx="4">
                  <c:v>63</c:v>
                </c:pt>
                <c:pt idx="5">
                  <c:v>62</c:v>
                </c:pt>
                <c:pt idx="6">
                  <c:v>58</c:v>
                </c:pt>
                <c:pt idx="7">
                  <c:v>57</c:v>
                </c:pt>
                <c:pt idx="8">
                  <c:v>50</c:v>
                </c:pt>
                <c:pt idx="9">
                  <c:v>47</c:v>
                </c:pt>
              </c:numCache>
            </c:numRef>
          </c:val>
          <c:extLst>
            <c:ext xmlns:c16="http://schemas.microsoft.com/office/drawing/2014/chart" uri="{C3380CC4-5D6E-409C-BE32-E72D297353CC}">
              <c16:uniqueId val="{00000001-F852-4B23-BEAA-F20E65149A56}"/>
            </c:ext>
          </c:extLst>
        </c:ser>
        <c:dLbls>
          <c:dLblPos val="outEnd"/>
          <c:showLegendKey val="0"/>
          <c:showVal val="1"/>
          <c:showCatName val="0"/>
          <c:showSerName val="0"/>
          <c:showPercent val="0"/>
          <c:showBubbleSize val="0"/>
        </c:dLbls>
        <c:gapWidth val="219"/>
        <c:overlap val="-27"/>
        <c:axId val="607931016"/>
        <c:axId val="607929704"/>
      </c:barChart>
      <c:catAx>
        <c:axId val="607931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07929704"/>
        <c:crosses val="autoZero"/>
        <c:auto val="1"/>
        <c:lblAlgn val="ctr"/>
        <c:lblOffset val="100"/>
        <c:noMultiLvlLbl val="0"/>
      </c:catAx>
      <c:valAx>
        <c:axId val="607929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607931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[logistic_express_performance.xlsx]Sheet2!PivotTable14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Sheet2!$B$19:$B$20</c:f>
              <c:strCache>
                <c:ptCount val="1"/>
                <c:pt idx="0">
                  <c:v>Late</c:v>
                </c:pt>
              </c:strCache>
            </c:strRef>
          </c:tx>
          <c:spPr>
            <a:solidFill>
              <a:srgbClr val="C00000"/>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Sheet2!$A$21:$A$23</c:f>
              <c:strCache>
                <c:ptCount val="2"/>
                <c:pt idx="0">
                  <c:v>driver</c:v>
                </c:pt>
                <c:pt idx="1">
                  <c:v>rider</c:v>
                </c:pt>
              </c:strCache>
            </c:strRef>
          </c:cat>
          <c:val>
            <c:numRef>
              <c:f>Sheet2!$B$21:$B$23</c:f>
              <c:numCache>
                <c:formatCode>General</c:formatCode>
                <c:ptCount val="2"/>
                <c:pt idx="0">
                  <c:v>177</c:v>
                </c:pt>
                <c:pt idx="1">
                  <c:v>413</c:v>
                </c:pt>
              </c:numCache>
            </c:numRef>
          </c:val>
          <c:extLst>
            <c:ext xmlns:c16="http://schemas.microsoft.com/office/drawing/2014/chart" uri="{C3380CC4-5D6E-409C-BE32-E72D297353CC}">
              <c16:uniqueId val="{00000000-1FAD-44EF-A279-7701E8B64CEA}"/>
            </c:ext>
          </c:extLst>
        </c:ser>
        <c:ser>
          <c:idx val="1"/>
          <c:order val="1"/>
          <c:tx>
            <c:strRef>
              <c:f>Sheet2!$C$19:$C$20</c:f>
              <c:strCache>
                <c:ptCount val="1"/>
                <c:pt idx="0">
                  <c:v>On Time</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Sheet2!$A$21:$A$23</c:f>
              <c:strCache>
                <c:ptCount val="2"/>
                <c:pt idx="0">
                  <c:v>driver</c:v>
                </c:pt>
                <c:pt idx="1">
                  <c:v>rider</c:v>
                </c:pt>
              </c:strCache>
            </c:strRef>
          </c:cat>
          <c:val>
            <c:numRef>
              <c:f>Sheet2!$C$21:$C$23</c:f>
              <c:numCache>
                <c:formatCode>General</c:formatCode>
                <c:ptCount val="2"/>
                <c:pt idx="0">
                  <c:v>339</c:v>
                </c:pt>
                <c:pt idx="1">
                  <c:v>271</c:v>
                </c:pt>
              </c:numCache>
            </c:numRef>
          </c:val>
          <c:extLst>
            <c:ext xmlns:c16="http://schemas.microsoft.com/office/drawing/2014/chart" uri="{C3380CC4-5D6E-409C-BE32-E72D297353CC}">
              <c16:uniqueId val="{00000001-1FAD-44EF-A279-7701E8B64CEA}"/>
            </c:ext>
          </c:extLst>
        </c:ser>
        <c:dLbls>
          <c:dLblPos val="outEnd"/>
          <c:showLegendKey val="0"/>
          <c:showVal val="1"/>
          <c:showCatName val="0"/>
          <c:showSerName val="0"/>
          <c:showPercent val="0"/>
          <c:showBubbleSize val="0"/>
        </c:dLbls>
        <c:gapWidth val="219"/>
        <c:overlap val="-27"/>
        <c:axId val="759678064"/>
        <c:axId val="759680032"/>
      </c:barChart>
      <c:catAx>
        <c:axId val="75967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759680032"/>
        <c:crosses val="autoZero"/>
        <c:auto val="1"/>
        <c:lblAlgn val="ctr"/>
        <c:lblOffset val="100"/>
        <c:noMultiLvlLbl val="0"/>
      </c:catAx>
      <c:valAx>
        <c:axId val="75968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75967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[logistic_express_performance.xlsx]Sheet2!PivotTable15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Sheet2!$B$27:$B$28</c:f>
              <c:strCache>
                <c:ptCount val="1"/>
                <c:pt idx="0">
                  <c:v>Late</c:v>
                </c:pt>
              </c:strCache>
            </c:strRef>
          </c:tx>
          <c:spPr>
            <a:solidFill>
              <a:srgbClr val="C00000"/>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Sheet2!$A$29:$A$32</c:f>
              <c:strCache>
                <c:ptCount val="3"/>
                <c:pt idx="0">
                  <c:v>ECO</c:v>
                </c:pt>
                <c:pt idx="1">
                  <c:v>NED</c:v>
                </c:pt>
                <c:pt idx="2">
                  <c:v>STD</c:v>
                </c:pt>
              </c:strCache>
            </c:strRef>
          </c:cat>
          <c:val>
            <c:numRef>
              <c:f>Sheet2!$B$29:$B$32</c:f>
              <c:numCache>
                <c:formatCode>General</c:formatCode>
                <c:ptCount val="3"/>
                <c:pt idx="0">
                  <c:v>95</c:v>
                </c:pt>
                <c:pt idx="1">
                  <c:v>144</c:v>
                </c:pt>
                <c:pt idx="2">
                  <c:v>351</c:v>
                </c:pt>
              </c:numCache>
            </c:numRef>
          </c:val>
          <c:extLst>
            <c:ext xmlns:c16="http://schemas.microsoft.com/office/drawing/2014/chart" uri="{C3380CC4-5D6E-409C-BE32-E72D297353CC}">
              <c16:uniqueId val="{00000000-3F92-4E67-817A-A066E1059D01}"/>
            </c:ext>
          </c:extLst>
        </c:ser>
        <c:ser>
          <c:idx val="1"/>
          <c:order val="1"/>
          <c:tx>
            <c:strRef>
              <c:f>Sheet2!$C$27:$C$28</c:f>
              <c:strCache>
                <c:ptCount val="1"/>
                <c:pt idx="0">
                  <c:v>On Time</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Sheet2!$A$29:$A$32</c:f>
              <c:strCache>
                <c:ptCount val="3"/>
                <c:pt idx="0">
                  <c:v>ECO</c:v>
                </c:pt>
                <c:pt idx="1">
                  <c:v>NED</c:v>
                </c:pt>
                <c:pt idx="2">
                  <c:v>STD</c:v>
                </c:pt>
              </c:strCache>
            </c:strRef>
          </c:cat>
          <c:val>
            <c:numRef>
              <c:f>Sheet2!$C$29:$C$32</c:f>
              <c:numCache>
                <c:formatCode>General</c:formatCode>
                <c:ptCount val="3"/>
                <c:pt idx="0">
                  <c:v>220</c:v>
                </c:pt>
                <c:pt idx="1">
                  <c:v>127</c:v>
                </c:pt>
                <c:pt idx="2">
                  <c:v>263</c:v>
                </c:pt>
              </c:numCache>
            </c:numRef>
          </c:val>
          <c:extLst>
            <c:ext xmlns:c16="http://schemas.microsoft.com/office/drawing/2014/chart" uri="{C3380CC4-5D6E-409C-BE32-E72D297353CC}">
              <c16:uniqueId val="{00000001-3F92-4E67-817A-A066E1059D01}"/>
            </c:ext>
          </c:extLst>
        </c:ser>
        <c:dLbls>
          <c:dLblPos val="outEnd"/>
          <c:showLegendKey val="0"/>
          <c:showVal val="1"/>
          <c:showCatName val="0"/>
          <c:showSerName val="0"/>
          <c:showPercent val="0"/>
          <c:showBubbleSize val="0"/>
        </c:dLbls>
        <c:gapWidth val="219"/>
        <c:overlap val="-27"/>
        <c:axId val="615997792"/>
        <c:axId val="615998120"/>
      </c:barChart>
      <c:catAx>
        <c:axId val="61599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615998120"/>
        <c:crosses val="autoZero"/>
        <c:auto val="1"/>
        <c:lblAlgn val="ctr"/>
        <c:lblOffset val="100"/>
        <c:noMultiLvlLbl val="0"/>
      </c:catAx>
      <c:valAx>
        <c:axId val="615998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61599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title pos="t" align="ctr" overlay="0"/>
    <cx:plotArea>
      <cx:plotAreaRegion>
        <cx:series layoutId="regionMap" uniqueId="{FAD0B050-CEB1-40CB-9B92-DBCA0AD667BE}">
          <cx:tx>
            <cx:txData>
              <cx:f>_xlchart.v5.3</cx:f>
              <cx:v>Total Shipment</cx:v>
            </cx:txData>
          </cx:tx>
          <cx:dataId val="0"/>
          <cx:layoutPr>
            <cx:geography cultureLanguage="en-US" cultureRegion="US" attribution="Powered by Bing">
              <cx:geoCache provider="{E9337A44-BEBE-4D9F-B70C-5C5E7DAFC167}">
                <cx:binary>1Hxpk9tWsuVfUejzQL77xe1ov4gBSKIWqSRrsSx/QVSXZOz7jl8/B5LVjwTZhVcaz0TY0dHuFkUm
crmZJ0/mxT8fxn88pF/u62djlubNPx7Gn5+HbVv+46efmofwS3bfvMiih7poij/aFw9F9lPxxx/R
w5efPtf3Q5QHPzFCxU8P4X3dfhmf/9c/8WvBl+Jl8XDfRkX+S/elnt5+abq0bR757OJHz+4/Z1G+
i5q2jh5a+vPzm/vh/plzX9+3z599yduond5P5Zefn5/8vefPflr/2pnkZykeru0+47uWemHbhhpC
zZ//2M+fpUUe/Pk5JfqFEkRoJuh3qXf3Gb758UvTPru57++///Glh/n6KPefP9dfmgb6fP33yVdP
nh0qOhZjz589FF3eLoYLYMOfn1/nn4v8SxNBVNQU7rcP3WJ5/uvdV4V/OjX7f/1z9QcwwepPjjyz
ttfWR2eOce7z9kv+mB2e7BQhJLcJI386Ra+col5QrqXUBt76FgrfnLL9JJc98v17K3c47/+O7njX
pfcDwuXZuy8I9Pu/0jEch0EoTQ2C9PiUUPPCCE1tw/mpQ94VXRs++/5E3z/7nx+V9fdXDnp3Zy0S
/2bn5V2X3bdf6vv/Bw5iL4xt20xwTb79g6x17CgiXmipbEnhwOOD893OeLD6BzLa6utrL72z8Bh/
Myd9rTbvv+TBffjdVJfC9omZTb/ghKOWMHnZP5S8IEQIqsXKQS68Vd+nP1hxTr+9cs/N3zLLffNP
lHX1X+oeZbTmRv3pHbLOc+yFMFRQZVZ5bn//w2jg6Ktrx1z/HcvP7vYaUZoAED6aSJ54cFDxtRRE
Ev6na+CAk8QGIMc01fSsApVfHiIcnIf7Mmrx72+g6lnxx//kIS+jhXfbP7n25O3f0ZPOfRr9hYfL
fsHgIWYM/xPVrVxI5QsKKH6e+7ae47KXvn1r5Qjnf/8dHfFvwPChRfvz17mEweCMS2p/735Omx9j
XnCbMqq/50NU8WPQcFfUX8HdD4KG1ddXnnr34W8IGm5xYjJ0Q/f5s/d/bWkiL7RtC1Qm8700rU+P
egFcYYzSaJaOvfS1vvz3g33/8BKYuXyQzn5g5anb678DCP/P8PObsb7Z4+RvPZVLIADfBOiB2t99
JE6LFBUvKKWcSPZnCvzujG/d61Gf/5+f6bKPjr56osL/B/LgPxML/yZedmhD918ZmyNu4fFPv6oJ
Jmn11T8j+6Kzvtns+vPPz2HkI98tP3FyIo6MtfrOF8A4fF3QFyCEOGe2LYHEqXn+DA01PjESH1BC
lS2kJhww/vmzfMmCPz+XLwzRDNWNEK4IeCP4vlm6X5BMFL+HwMCHgmgjbdAW3/V7U6RTUOT/Nsaf
//9Z3mVviihvGwh9/qz89rcW3bStwY0QoRixQb0RZGh8/nD/FmQc/jL9X7K2hS87Iw9Z1rb2TtGg
Cx02myG9HUpaZofGCsl4N9Ahyq6qkGSWa7dpMLtHNrvwGJRceA40moYYgDINnU+fI9QkHku/E4ee
p5p5YVIM+R1RfTI6JqrIH1OeRZVT+W36MHODB5JTVOxIWoXvHn8StX4QLblEV8VQqGAZG6D92CAj
C0xTjY04sKp4sMAqPaQyGT5ZeUv3nYnHDcXP7A9xaK+huLIptTVi4Ficz2yrbZNRHMJWs7sk1uI2
ZNUcOQMJ+Z1Fxt64SWLN/9I5lVdK+PYvj+uLSDoNgOUBOLCuAE0mtV7scRQADQtTVYlBHESTmoNJ
u/StCJrM+wEpQgppc0EWVHYqRfO8s6eBwqppXXwsVOrvg7SNXz0uZTHWSTCDjkAzzGzOYE0iUbyO
dSkQvEEwVPxQDE1zM5BmcjuSKncc2855XNS52RQVSkEXKRmz9SpMGhNPc2EEOwxtmtzKulG3UUyi
949LOVcItloIFqFsm3KznJoj5+QDLU1fW/1h0HG7VwXRN60lesfvkvTT46LOFDKcCiQVzbnCf9RK
VBUEiZXKxjokU6ZdUiSZS8ZSb5jtTCED1ygFoGjA/SHmTxXis5mkLLR/aKbIKvZ1WCWRMzd2EbpT
ZNPPT9VJUpxgTpVCv2fYovOR+YI4sk2vqH+Iu1yEbl8FxeDyoW0/PF0O+knNIItQnKdTOf1YF6rr
av9QmjD7xSYpc7RIyMf/Oykr29VaVoEoG//QWVV3XSRyOvRVnD3RQ6gDerGaQjIiUvCVlCqMOeuT
fDjorJxeBX3Su90s8l+DsC6vH1doHQwQZSMVgEK0MRMh9vL5kXviPMiSuG6HQ+NnzBkDK62cmnTk
N20jX2zoxdeZdpEmqCRQi0ptq1UwZJluw5C04yGfecQPTVjEvhNq6d8mvO/yX4WqSbxb/kvcxFno
s1vRlLK/64a0zlwedpTv7GYeiBP5pBuduJnLj0L0Xe+quMy7XzFuKap3jZ2Y0NFtojsno0k1OUIO
5bznOi1/KTIrsne1MGV73VY6+kRZ3gyeaAWx3a7u6vEwZDPNb6OyNP51RhrlzaE0nVfqgWbXg7La
bnCSntTV1cSS/FdG+vqlonXeOmnLrfH2qS5ihHPMRhSSj5RiFdld57M4yMhwyPyYO9XI+U5UkX0Y
47TdcNDyU8fJe5nQcK2RvVH/JQSeRsNk2WEeMDEckopat30L1f2+mg95XltvSGkXtxZamrdP1g8I
DNWCM47R3LoucU6rsQib6aASi+yjoCt6hwifXumuzMINDc/jnSHFfiVrDSQufOBxvDdBk4cw8XiY
srFzR38Yrxc7OLyL7d2T9WK2JIYtmXYpuCtRCaMqqILpMFkm9OIySz6pYcyuhrThvz8uakkIK79x
ISEENcNmZF04iB/0vC/H8WDJeNiZKTU35aDnqyjP2MuCWONH09ld4bAptp6cQBhHppJLL2sDK69A
Y9yXqbazfDzUWUySHS/iMnXtpppmtzfZ0O8f1/TcfzgKS0GGvswg058atbJNzYquJ4e8Ldmeh+qX
eg75LkvybEPSkotObcq5jfoIRIb2AAnyVJKyoyhRvpkPrJOfm1b6h9aakiefbQiBIkjBaukCVuEI
EK5aMxXkUERl6FS1aq9MF3ZuQDr9RJBpI4kci1qd7aJRZRBNGTmUPRXOaIelNxqqnhwOkAJ0oSjc
ZGu1grKoy5lNWns+zFNWOVy2nZeGZen4oSo2bHfBQQKzFYr+DCQxYvDUQU1pxTOtInKgRvJ93qnJ
KUUlN07xuheB2ZbxAGGoxCjKfIXJTG21pEG+PLA4zgunVwNnTl6S6F81nZo9n2Yr2hB5IcYX4seg
TjJGcLJOFUM1USSrFDnYDfsQWFF7q9Pwd6ab+unOQtsJFIjRO0X8rQTJbGqCJO/IQeXR9L6fgu6m
n9vQm3Q4bZymCzoBYBCEBs4steXqNAk+xMk8s+kggtg3V0GoS+aNsq21U3Duj1ePp4nlyVeHF30c
U1ShN7AxZTg1YdbZVpEVcgZOM6Nb1dWndijURt94ITROhKxyUYxqGnF7Roag4ZA4pqjorgpH1+qm
+T2vk3wjLuhlrYxAH4Ko1Gsj5k05V7Vm86HmTZ06fp4Ow96X/Tw6FQ1V5/Isl7Y7pR3D2Sul0m4k
wjJxta7Sdz4lya2IumLYEzjK/30SdfnpqXYHSlJA4EuHKc26lZ54ENklwNahiYfQi5ryN8VHvmH3
czPg1xdmQBOMH5BvTp1bW0FZxDIZD8Im1e+Zr/33+KNoQ8q5d5FaAIck5u825K2kUCsFlgyt4TDp
NHLGebyLp/Kzn81/6JBs1G9+URhwB4XxlFBfPz+C4XQSVULCYDjUuR30+yJineUmWVzMdyPrxOz0
YVYMXlk2WXFVTKUqXo5ZX72qSW2xN0GRlOldpmujWrezeN3fBklR1Y6V+6Zxxy6YMkfVUmT7jkic
A5PZ5XgdI1qmK57Po9y1ikTMq7ks3yVEtK8JqAGauVYZmvdJlQB0OOGQ5uNN3EZzvptJEvWfWa1K
y3aypKof0GCU3ImQSXsHoCd+K7sgYU/OIgJ0K6yE9GhLwRYzHpkpaKauSLUApLJFuueBH7tdJIzL
BNkSdR5kwH1o+lFalm2yNblQVtpCcamGgyny0Zumnu0qGckNOHrGudkAa4QJjayojUAhO9WIFSIO
yo73h0bH/8qGefzMhiY7qMBYbjTN5cugm4qXTVvMrsVG9jon+eZDnOdmRdGQCViU4inIKtIHzbsk
KKv+kI5R6gSx6T6GveZOq/zo7qn5ATQnKE4J0nVRd5WXE2WqLGvy/qBE1zmkAOieAzNtJMoLCqFu
ouwLDRlfd2OOw0Tw2srjCgqhc8qdWM7s7Tyjd2JxxW4eV+iyKAmAr4ESjFw+P4pIYiVNG5QNRMV9
+jZIo95ZOtlPxBriH9FKMYYMoVBKv1aHI1G2poNVRmV/qJqo8Qo1Zb+VTMo7FdAs2YjL80YQflJS
GVsBBBu+nI4jWWSMbd/IDrKM2Uc0OnSJ/c60/msZssLRqfA3BF6y45L4tI2uCI3Myo6z1t1k1CKw
IMEOqTfd50SMVzmauSfbEfwa2EIQzCghmq3KdhWJasop6w9t6MeOnVaxk8lQ77NynA+PR4eBmU5h
iM3ATwIRg1rBMsPy+ZEZTa27sKxGdiDNrC1nkHVV7Ueg4sohXVVZDupbwZ2YTdHdRGebucwW8/RE
StYGjlSS4JDbWOrD85w+xdwKYTEbT8GrmQaOb82zY09tex3qod8w7hIYa43BZmPrBgcc7cMqcNSY
Bu2QE37QLbTJeEodYoXJ/nG7nkeLzaCLBGOFaqCXqc2xXfMmTRsrKtnBTPV706X1VZijSGtpAu9x
SZf0MWLJJCDjJM7dqaRJtmFZjy07jDTt3qSqkW6Q2tFGnFyQYjPkKfDYAuMgsaprNOe2JaPaOgjG
czcoJfMWpvjJHaDhIMoJBpoU3bpc1ZpIF3y2hibwMOjJOmTDLGdOYBVDsWG0c/cYroC+EXLYJgep
fWo0mZUmCWUQek1eRDeqFvG+w3/dqtlXG3njPFFBFHoYDM6wZAe0dipKJBX3J2sOPF7lTLjl1AEd
WE0K7hIr4/TXbqBd5E0i21Ty3GfL8G+p2gacM6ikU8nWmPhGqCjyYmC22AnzKhrRGE7FU2MDKBT4
EwEIl4ElW2mYhChxyZyxQ9FY436aiXS0b/cbaPdMGxRkMLKMIiui11UrKT3r/Ug3YDvyUdluK4bR
HdDfb7TsZ/kQg1z0BxrTrmXUth4OAVKaMM7JeGiapO1di7bUdhRpSe4OWdwn1yA3jfWlZSJXbpmy
jjqjNHMYPzVqlqn9V3TAmeYYCp/6ri/b2u+TFM8hspcY88rdINWr1NA3Q552O2WaYkPiBfsKpCyi
hLHFgrVWEsEutJMCWcFHu/L6yR4O7ciDl0/MVgpVBnv2oAKXI6FXUlTe01yRXHldVpFdriuciGHI
NyJysc5JjocUBAlOHRSRNlvVk6iA/TIzS6/sptCpI1u7A6s/52lh7R7X55IkDboAfBLYJODxU6sN
WUWzfMIsWmfsswIm+VhoXKiI58DeiMzFMmudkN+pxviSontdZeDKCmtmmpR7YSGIk45FtBulxvwt
i6d3mSXVLSdT9XIsiyczI7CmvfQaGHkj+a8xQtk1cT8WBfdYo1I0NoF91U9Zvuvi1t8w56LEmZJa
aeC5RUW5UnK02cw7AlHhQJNXkxmIW2Cm9CG0qvRGzX3y8Lj7zoIeTR/4UwqTouwouXJfOw+5iGXF
PZtb7U71Tbbnoyw2UtdXIn2lFhIw2AzMTjHFX/aljtFAE4y9zzj4pNa36thVZaLJfrKrrnb6PJu4
Mw15CPSVliY9kKCSd7Ocqo9zJIrsWmcZsx1k2DlyKVYBHoqhygJ3EqQonJElsnst06bf2jm4ENkL
hEE6RL+P3M5On1lyvxcYwzLPysbWK/003Ic+CW5lI+ynph54gZOvp3UZKq+b5snECMB5YJ5vdSm2
C6b2SlkJuX7c15cUAlUJvhxJQWCN5VQhzZKGUbsSIH1o7nRBZpxcgqSK+ii++gFRS3rDqWGUrbNc
g444i2gpPNOzfJfypHTyiFveYIantqswHY4JBAkAaHBNp0qFfV2PPsuElxZqvqlEJNwkpdkGLrtk
OiwggQUAAARuXkmJkyxElrW4J6ahd5JB244kob8zYWptpLmvfML6rACcA5qjLyZyPSmamq4ZTBML
Ly5UexgGZfbtPNG9CGizZ3TMb62EFy9VM8fv46KeXpfhUOy0hbRncTk7aMzE07MSBgUoxLAxIM5y
UeL4+NqWmQIfMMvDVlX0WshRfUqtarxCmQncfLbajSJ5IQsugwkYWjGkW7ICbjlLaZUEkfRoYohb
z/ldp61dF9FiF0fR58dj9VIKxAUE+A/TAyyrrFKg6Uxn9VYgvRDzNwzZQ/62jY2/odKlCDILdkNP
hNsm6xMRJUM+ByARvUjW2V0/y2ZXgiG+svqAboi6oJBZ1r45xSIx/teq+Acm78uphyidtsrLrBSx
k3O10UGcwXplY2qK8Q4Sl5EIitOYEGWcSmtENskTXe8KPYx7EUbZ+5lnxXURivI2VsXWbPECBlhm
LgvbCwCMLulUqIy1TYo6Ud6YzHG5i7uu/FeHR2kcMox1fR2ndtI748T8e6Lj+dPjkXLBh2jJsHAK
0grbhsuO4vExKORox2MmgN1YC1a/DMt3mbKEF+qw2j8uavmpVRIwWHfEroxECsA20KmosahnbD9A
UXjTlvummjPlJi1G/7cFVnWYYxJfjE4ds+6NLYZm9KqyT4LD409x0dw2ohUdB/obe/n8iBwJi7xo
i4kqT01lkjhx6nfpLknn8BWh/lA4ta66twDp5U6POd8QfsnacCdHAGNqDobrVDiWGKvY0qX2+pY1
XlOXwxWxlDpYfI43rH3pxByLWsVy0/ctuLpGe11eK5fMI3NoIIrd49a8JMUGrcXBHgBGrhvhaJh7
nmMI5Gk/nq4ETc01i5lxf0AKMAT+kUvkrHSJzJA3dgqfmUxM1w2Pf1toq43Df1GVIyGL744CY+Cz
rqdyVJ4MuTgQOb4jsx1seOVShsH1VlSBZfVW6VUV4BN2TMWy25MM7Uvkb9+ZkuolWLHQCYboXnRJ
txFyl9QyaH9tFF9sYa5PHYvtqK5zNGfYA44+gttPXg6YluUbcO9SZONKzrJAi+nkGcWeW2HE4yiF
mEiPNwpdtFPNvnUIScE2NDoXtVxeAKYEzWOIWMdckPNMTwQxl0cAE8tG7y4Db+XMc/b58bi7KAl4
BcMYwDGQSqchMYbtOGaJJb2IDdVe5Za1m2ild22Vbw0PFH7qNDlCKYFlJEA/APR1N5FyOscjKrk3
Dar5MOKsueFM/V3XUXbwVRtd/4BqkIRESMGVrbe/06K2Z5RSJOOEtG+XCeEOi+zDXY+N4I2YP4/A
r5Msgn0krDPg0uqpFTXayizNCoRGnIZXpCot16QF2T2u0EUphoGuwiYZOTtZei5J3cxQKA6S6aoj
Wf+qGoZ0Y/ByXsPAceCuk1raZiCE1fmNY8KbhbH16My5Y4eauO0Q9F4eR8MhHXruDmNTu009sKuB
gmx6XMlLUYJRzLctDTBwixGOcpRuLTC1ekCOSgfq5lgndEjTVa/8yK88e0r8DeB+XiwNDhmzqSKo
JTZdFcuizooCzZD0pF1jXWgsSJFiKz9IPtc9eKsdVivsX7AR6N81mDps5ZTzZLlIx8IcVhoksPpK
OsWNCdu0A46fkVN/nRhVD9fjUInM8+tQpru2M+qznhq0Yo/b+UIwLSN+XMJBg4TFglWdTtJGcYHO
w2Mst3dGlf6OjMnWrP9CeqE47xp5eQEja5ZfxAkuXqSh9BqoisDBzgjLBXVZ2+YbgXNJFMdICHdN
cDSYXJ3BPixqkkoGheJBl44u0vzazGZ+F05lulFIL8paIB4YzGVbYiUrSjI0gnWmvNDns5taSfoy
GlDyymjcujxyURSWD7Hig21iROjpecitctmNLpVX1WTcFZKhka0ArzT4jY2QuHQUOG7FgU8FDBFm
Cdajo1fr2DSM10A6rZ5esWBgO+YH3O0HW3wQIi+vqozPTlRu5pxLwQi2GGgAfCR6oJU9J+L7rJ+A
m2cRyX1dVJkXK1Jt6HdJCtAwVilBF+OtKStTpqXOogmTDo/287CvhsbeDUOyNXC9KMWAGDLgobAg
taqo6Cq6sEql9NI6jl7XQmSvLNrzd08/vhKHF9wJRltYpTn11WCHQiBVCy+wAlzRIEO0UwmpN5Lj
heBTaEcRDhgdf3tnyXFE5F3JTUFk7LFEhy46mMjV2PJFCMxPNhtKGuCHAg6RYKX5KgQwRo0wXW5i
zxSp75ghjA88H7eI2jPnQIoQKHAUYAepdyUFEJ+hoOnQQ1KqrgY9xTsz28kGu3VmNkhZgOgySsU+
2fqaVdAwktd6Cj0Arz51xtRvH4YqsHdpRJonD4YXYbgph6YTRfuMdemHpME1KyyFVX5UPGTdwrL3
4bg12TknuLAZAathHsiA4oDtTyOu8FVvkjaJvHFhhT9Udqxp6UxRNcW/WtwE9S6z2rj6oywDLR06
FWPuGtnyal8Vahyv5OwT6xCPvYpeT9KU1W+Pn4jl5uIpvgTLB3iJ/IE6g1nQqqKRIWtTq0GwVmOW
7zMeD/kXPuma74wee1q7YSV78mHGkaoPZWlN8bspJxF/2+ZjP7g9VXkbbhSl881CvewpAC5h9QzB
RZdQOcqpVRybzNhx5GFNNxp3XVulvSMK35/egjC01dvIbvqH2s8k/ZhacV/9VkpdCjdgkY5eYn00
DvZWSH11M0fAhbdUF+XWkvsZ4sMz4sn4ssQAmma9O2RVdhcWkkReULdJsY/8gPauLftydHOsbuRv
aJ5J6YCoiHpcI4C1djociNltOHBBlicNAppr0LUo4VhzwA76KqcxXPmo6qxPvCIp2nqXR4hqx+a+
n37yg27U7+nIioHjzWBRHKYOy7lM74uCVP+qcmyF0v3jz3OGRPE4YHORDhR2YQBfTl2XRMTiiV0k
HpNThjm0obk7zz59TaNgetW2frkRLOfJCcPbpfICUWD0vSaqsPTR2aWN2mcsGbzOWpo+INKfzGcs
I2LcUMMiF04JpmMrtUiI+XOYZiBOWeswk+VuGZP28LjxvuLmlTM1tpzEcvEWpJ+9ElPEs9BtTmIP
GBCsYqoiPTlV12fT7IioZsGVnPRguzL1qbwFFVam1wIH5aHLyzl/PWaMz1eF3ZvSDbS2cCWJhV22
Yy3vq31sUQHXDzHJhNPzVtdbWOH8TGDaCxthoQP0LzrsUytNuvOVLOvMi1RQGNfQYIqcIPMlcX27
xL0WkKi631ssDao9NlqZcikfhbUREueVBH0rNosw+QGVhwH/6WMYUM9iAq71OjnVV0PdPFQmiG9w
UWurE7kQ7VhmWiamClw3ePxTSS3p5xj3CRIv7VX2Abc9w11JsuRDwia1m7vc2giQC8GO19BIha5H
IOTXRPScZFVZz0HixSQM37STL+e9iumcPv0Ugxtapva4+ok7UCu9MH+OgyGWmSexR7KfiFKhE8fJ
9HKM2/n3Pk22WMlzl8FVEqcLyGlpnxfFjzK+1fKc+WIuvKqj6d3IJ2svU4wMctO0T44OzARxrxx3
1zBgx8zgVNTADIJ0jguvU1G4V5Mtcd+0kLjo18f5U6EgNhOwXQH2gdu4FLK+tVMFdR/YWVR4s503
zqS6aN9K3Gxs0UhuFIJLFjwWtZzNIwtmljVPsk5gwTnXbs6G0dEDK3HkiNyw4HnUQyvc0cAJB2A3
bJXjxxHtQqHqwktkWrmdTG8S2te44WhRJ0n0tCHuPOgXcXhVAq67AEOZVTCKJgOHU5WFF7fxfBs3
uE2ADrXZgJ/nu8+Lr47ErLJGNwNTjHhjJu4h1eGuGWL/3h6nfjeLoHJSDOVcDsQ2OIGKpxvT5+3v
Q5baG7pe8iLmIGiOwTKgh1jpOiW0szBzRMDMUfc6nbAFP1mkv6oFLTfO+CVRWODD2ygwdMDyKT8N
mCkssKjpJ0vTGL/BhdfaozXWrPvRNofHy9qleMHSIsPLY3AfA93KqaSKoCsGaZZ6c6Uqp7T9xE3n
5sYiWOknfvn5cWmX9MK2NToIjK8hcWVC02KIpMos86xesh2JJnpF8DqMq7Zn4YYJL0XmsahVyCRt
oH1VhEu965D6J6yhZru+6VO1kUcuWRBrrBL7tig3ak2daFobltlB5uGub/AeREP9R4vXcxyY1Yy3
NO7VhscW0HiKQ/AuNLw2YVlLxnh1bcPZigNc+YANy5QUOwtr8tc69+s3jSHBF0C8+TXv+v4Gr0ST
G0TqRZNiIoHFDYQf1qxOY2XkUTx2FqKyNp1+yccILxwZBwj6Adctb1nBFVXsXGPufipnzi0ZSrxZ
xJvChrtC+9hDbeNpw45LAKztCGwOqhSt33KN6VRKXRYgYDMNKQDNO95I9X7CyX9LaU1BPTT0Nivt
LnIePwGXbIjVI6BUYCDMrVfnjctJ4taySj1qYYWyxiBzX6OFfv+4lEvnDAMJDPrRswOsrnRLE4H3
AiTQLY/75l4O6ZjehwEWld6AbY+S3ePSll9bWxKru2C6BO7bIFucWhIngFRRaKfeoFj6AW+lSK8S
I+uD7xfNR5bFzHtc3oUTgGvgGPcvJDdG/yuUQLMus+ogTj3sc5PsXZVNRfnRik2Mniat58zJemsW
100/5+F9W8blVpG94ETs3oBax5Uc9OZrEAtABKps6lKvsCd1Q+KmvBN5saXmJSnY+kLviMYG0bLi
3fCGj0RE8Zx52Cy4F7gli7ftWE/eJ8cKwXJRatmPx6r3eqeQJ3izjiwYMnKZ8NLlvs1u0Gb5xcaZ
vhCRkAMpYCtBaKz3TgoOiiXEcrWXkCZ1Rzax2yRixmmiKrl+PDwu2k3gBSzoM7AksQZ2aHItHTZD
5gWaY60sLgrc38cbU4rg6gcEYSETSRi32nDl9zTuxykvbRHjlDVF5e+tIA9e4Rpg/8vTpeCaJJA3
4ADet7TKugCw6YSFU2RdrNO4bRiXh5zrrVnmJaMt9wpwFwNJEcjxVBfQBk3OCapK1GfhnQywK4/V
vGFoNvLfhVyx0K8Ul1IFBpnroUaFqyw0tkjugXlvdhkRVb+LhChDNxhLdDKTwLxsA7hd0g1vjMD0
GYNnKLeyoGgqe0hKoMfGYgR3HKNhn0SJODzdT/j5BbBh1I13AJ1acJQRNsnQxnqkB9djMbQSQ063
5k8XSEFcNMTAWWByjyJJV2JmjndtdUGbe7gx9HLS2eRawmAhbnjHgva91Ta3XS9uCi6v5mlK3JrH
ZsOFF82JuonIB9+Ml2ScKho3Y8OzeM49zrN238/oM9rQKjcO16WEAfgLjhZXzjGGXj4/7plmuyMm
TXMvhcKHsiubu7LCRL9Q8daW6CWFcLQwfQC2R1u9OseSjTEIhDr34qFUTlcr7Yxh8ORxHjKtwBYh
3qwgUSXXpGTNuime+gqR3yS2dEPuR+1dEUydf2tNMv/y9GgUNnA2Ui7E2avzPCUkAdeaozEDPnPK
PqpfljmfNirxRSf9t5Q1UsPmStlQgfavEkV/mCkb96kcI1d141bNvQDXKF7AvAw58Mo3sb73jPvq
IP9EWnis1/QOr5drRwevpvKdpvRtpwCP/g7HYmtYeUkqttIxSDe4MoSXiJ1GYTrxZI4SK/dKjquT
+3Zs4+Z90afzr2rOzO8TyLbaGTtCqx/I+ujKllteYJQAMk4FQ0xiwWnwX5x2boQ1id7ppG63bkVd
in3syfCFPMWlv7UHTZjM7ahx5amuommXJkGzx2WabiMDX8xaSBccTQvqGAbNp+pgwzixNO8Lz4oz
+qYTSb73M165lWnUeysLJneMBnKdltbwSYTgKoq5n7zWbvXGk1x06NGDrNInD0mFHer/w9mZLblt
NFH6iRCBfbkFyAapllpyy5Jl3SBk+Tf2fcfTz1fyTEwDRBBBh3XnkJJVyMrKyjznJMWsfB6+IT+X
u5IjvaZS80eXjpU7xdPXxw8ihTO0+VWyLEgj65UTDIYEByp9vaqj09hCejfa+ggZvfcZgdEIzibv
UHKftZUgjmqzUvBT6usTfKj0Tzlz4v9w2t8a2fikCbjSRAas9A01Ds6jPreewjPq0lhK/fhTE0ao
g3gPpDm8cvOZwO3HsakQWDRTcr5Q/kldTQ2SgyC50wJEseWNGeEtby6ZUK+DSkHj0B/68YeymF5h
q58dOf5uye25lsL3Xdt/jKbODdTuJdPGUyH9U5pH7+q9KEqNWlzmorO2vepMaVZNSSnJT+YxeE6c
obwqQ1q964GDHuyr2LfNU00RMrXgscH2M21gvWC5Lw2JBlHuZ1r3j6wNkpvIw1Uppq8JWnIHZ23X
GHURWuBwIiiOr40p5mQXURMV/mLVbeI6UynV11GylsIbklgdLklKXvYf8gbyS2D0Jq9RU90ke1Yz
2F1TzaLusyyeBZnZa/M5PIejPB6ch71DJ25zqHoy4LItPSDqMrXSB1oq+VS1sIaWsm88wyrG6Ol+
DNlzEIC6ItuimUhffL2RswnpKzOSwp/IGX5r9VE7Z11ZerM2NwffbHdNwBlBagq89TZQB7WlRvAe
Cr/rrNDVilB6MpbMOKiZ7S2Iu40LHZ40lf7NC76JnG6Y1Lbw0cYr/GGaIi8e+ubc5tJykK3umwJP
ALaJ2sQN+q+cu6xcqgL4XV3obliDV/fCoaYTq046nbD7n2pn/9g0UXoRYjBs5PpTyWkdRZrdF76e
BsT8WZ09e9SXgyfuzqJ4EaIYByIe9sM2PCrjAvUHOA69JtOJXaMfy+ra9qWmenIzpUcHWfzoTdSg
mQD4gzIxRYItNWUaIiOPlyHxlzTMpA8U4+3QjcK0qTyzDrTspawcM7vUqWU2Fy2I7PbgpO2tV/Bw
gUSDdqHbsN7V0IA+mqha4sv53H/qmnm6xpJlX1Qyr68Pf0AeAr8qFUKVdqsOWiiTpEqQSvzaUPLo
WhdG+QexIzpCle8sCYyLpgJB4R3HaJj1kkajzTUrVTK/myHGWFTefbsxNS9B2vXgCOz4JKaEFIhg
V9ISXZvKlNnM4kzP/Ek1WNGAsmDpTA9j8UHz4Y8keALnfcNTzFWz1KcGK0lW5d6QaoYHvLQ7Pf55
EIuCaEcF8FZkTe+nRvResQLs8iecr9wz0sD6576VvY8Di5gLBB1N3tobf0t6s5c7iSptkDvJZzrj
tuZmatNfM2kODzJ9sfubw0XSRm6IHRrH2z71TD7Xj2Oc+YPRVu+jouGNW/IlEVQZgnOn8DSE6n6o
sLqzRFNwpsjFmbwB6XbtFOMvmE+c0vjJktFrkyrxCm0EOqFN48E322vfofAgvhhNSRoXIlF4k2bV
WlG0QxJkPDKUvyQlAnZSmT+Govlmj7nlLvTwXhRPP7hkdtxeQKAh00FBgYiy+YhOX8dJP0+U54rB
elpMST2bWmM9nlEJJc1/5wiijrs5XA5KszId1syPrSV15aUs3NFZrvFIAU3Lg/9wlgFegcKkW4fX
bIvCVm8NYHjV1Jcju/xk5aYeezmltul8/wTsbR4++QtYg/zStuo4goyydSictDjD3gVkWF4BhnQH
cf3IyqZKIaHbE4LUzny5KrWLHQTps2am46NERJpkolb2C1QIOn3zifKorfLWKAi1FW/ptJ0rNzb6
9sDL9w7UWyubm38wJ366khEz+gCR4RjxtGQa87MaLvrDAZ1QQQ2EFjFddyr36/M0zEUsW5mpQc2d
qNyHtfW1QC3i56MuwNOI7FbQ/+DTbKUvqqGLwnlsVT/McYFk0dpznMRHSs87wYE+H+QZoaUAxsTa
LKZo+jEdpVjxQ1l3C2n+ZGbF09w1nRvLlZ+qyQfUuS+tmfvANL37SxSBZx17TQBqQtESPByPhq3/
hVEJdBo+dSbZVv+Udlr6VUP1WUfNQS/eBXkaHmlK3bo8guqMEAAUTIOT8s7626l6z/MrxKTdO90l
z9PpnC9Rd5Ag/tKUWa+MmhU3MgsDsnvj87aThL2jxrXv1AnoUEdkZV4W9m3qR2FeRCeATFnjT0A6
Er+DwNqctLQPGtcYtSxxxyqUZleOpqx7V2aKJl2ioUxlV+/UtLno40w+BEGgddzYSofmOYnl+kdc
zuU/gzJX+SmUJv5+ritB65L/NrMXNUUUuTmli9TLAzVrn5wiadJzW2rpz8oA8vvx/re9FXug2Api
iW9LOgJob3Pr9KRuPeU7Sj106xIvKs0yvEq10UFI6bowPKUAQ0evXsb4Y6dVZeeN47L8HqSIhZ5I
C0JQocqYJadEK9Lu1NZ9r7mUIEPlORhKK/bUXOv0A4+8jSLiR9MhJhuAc7pFkelSqcVh4FBRnWXr
uY3G2C2GIXqSlT49MHXriZjCPcgABIdgW/ozOgDMRaeVvqXV1Snrl95rhrw5uB/3rdCroAstBOQ3
/p6VSNFNjVT6ZtZVPr2N7iUKKvnhiMhaNMZJCBltquybb+0MA4+52C79DDmJ97NjmOi5psGj8mjC
o8QgJp1yMti7zVq0pJKdZmEtRUrFsiwLphQsxYIo3HAk4XebFWIKthgBnucO7Yd1mMjsuqj7paz8
uMuaD8MkK5/bJunPoTHOfqMEmhfHbXGQiop/dBM0BLxDdK+4V4BPr41WeT2rICIqfxgn9bPJ5Xxp
2zJELzR03FCW2qe+pAfpWJJxOTisIhnbmhbNJErtgP8A5q1N147VSgGENV8Nsqy6pG2Zhh7tb2op
Y1e333QjMP7MI07MZRzkLka6NkjM87TIteW1tCDMgwTo9mrgDQ8XCogBEqLUx9c/qNOtaKIRV4K8
miDG5k4Azl0pui8UyrKnscqm7/e34MjgJl2VFYYYJAXOJVvpb/1QGB/DYBxeZSOdX8LgiDeya01A
H1FMwM+2uniVGhhN07O8KC26V2D0/W86clC/D3J/DrKxP/i+e1EAyQn8WXSyb/hlyqJHRRER1uyh
DP5ogUp5I7qwP+9v4V7wJCkSKtycUrr/628mJ7NmBzJhRqFLeI6nVPqcTlr7YZ6k8Nt9U3v7B4de
Jq1Ey5MH6dpUEFc6mEobUwgC/O00dnFh9JLjsuG2b09hfgCB3FsavTx0SChqcpttzoeDwOxch3Xp
V7mZfagCS/VQ0dLOipwYB7nD3tIEtobiKUkZDOL10qQ4GCTDpvYe0dXowVguzoRMmOVMLvNtrPCd
XEpOcnBb7zkI9WjSFYHYRm5hbTQKJDXtctp7uTa0rdsgUVw9j7I8F78//uFIMgipmgEKfstmk/J5
nPs0r3xbCnIvNcPwdyOSs5OEBsxZUrLlYGF7u4kKN9c5RHGabJsPlyxLHQwqB62hlurldIlqr1DM
8pQDRXyHWvB8RGy6tchtjl8iXIqCgLnF5EbzMs2odeCazBhzg9qZXViIP1G9/9LDDzrIIvasaTRm
cU708VBEW3+4ZqqjThtblOoWtUg8q0EienBm629DSu0vUyKZn+5/wNuTgHeIhiUoFcRPtievCsqK
nUwaX2sl/ay3cvvaVmNziuB0f7lvam9tcFfEyBvazvAF12sztVYnJBuVX4GO+hxkU5e6QSDrjMfg
RrxazMM5Guhzew6gWIJtE4Q0MAlbdcW6WSw5rvl4CG/FZ2PS09MyLdpBurS3h9S1qNWBe6coKP7/
m4IMmTyUQUa4+SGs+cGXxmn+kdeSvZwCTUsOPtjekpDrJXcSuEfa6GtjhZFnw0D304+KwPKCqJxO
DaqfD+eZQL3eWNmcM8tEgiuRytrXEOY4FXqsnZIpzQ427jYtwwqkSj6RquEUwmPebNykL3FTTxPe
rtXJNZ1V5Y9eifXzaDTlb7OkNCOgn2A6iCG7OwjjiF6oGJK7BZpFI/xwKStqP2RmUe0qg4GCvxFC
czvdd/g9vxDUpv9naBP6Sy3UUr3Laz/vguxd2RrSuUfE8avTHWrN3eaa7CQvAjIshrMg+LbeSatP
TcMYzMo3ZiXKz+jSK96ktPqpUCR6M7rd2099pqe+NeTLQTay+xWF7KzocwkM8Nq2OYAm1sKkRo3E
uOaa/L+QCSHINXV+3SRPcTj+uL+tu9/vjb3NCeh7y1niGntmUPUn3Y5nN1WDI2rmrhXqChZkUZsa
4SaBHApkkgqLjzcMTYHQRN2D4NOUp/tr2XMRUAx8MLBSdHbFr3hzAqx4UbWs0iu/KPrwQreQUAW9
8nND9e3zfVN7C3prahOlGE9QzrmJi/R5mBieBnKj9/JaD37/D3aYzflL65vPtKkPKkZjgWPqaz/j
Yf4nAMvU9KQxiI4GBexdJ6QeguEkWtP25qqU+mlIcp0QJZf1/JPZHxm1u8ymzmLWli81s3YUrvY+
FhkFXSbougj9bMJVqJhjNqi4BED2iPkNjXHRy3B6VlvVeL2/iTuLE/qU5MSMHyOCbBZnxYEGX2Rq
/FKvOujS8tC+r3oUck70mbufdRl0j/daxSgppOyYFyMUZDYhpJfjjB4RuL08n8wfxcz0CtfWpeJo
EthOiZJ0CsSeyBl5Cm0f45bcE4n0qfCltHdelcqMz40d18+6XAfvwRrYX9O2Tp70ybR9YHfOV2OW
4keHMZIXUwrgbUyFg3fU9nETatoMvhXYpZkB6Yx6qXyahzCKXSmwpodfGytbW8mrIjATq4wVdnbU
JG92UpM8siu9pYHUeN9vdlxUPKHonAjUMWDzdTzRCvTO0qgtfUaRdZfG6NqrGsbBlyCqkoNV7cQT
mB6ijU18JCXfBEitXPpsSWbYhTE8NdUKyteJGZAPdxuEtun/t7K5XGKIrRYDwgVdMjEvk1VO3wpp
sA+O2+5a8EVaQaD2Icett21arFTTU9ZiWMPo1nagnXurGg+S+z3PNxAQoUYunhM4/9qMnvNpKhWn
Y3Li77MhNb+pNHfpPURub47v6mZ8GhW4zIopeYvWdAcX9c4qMQ9WiTQfZPr2smnavJk7VGJ9KRvi
Vgi1OCc966v6YJ07wYuMDrKFeFMoQIfWyxw75uTYLcg28F+R79hLfc5a2XZBjmvXoMkeZzgx14Qn
DNJh7Cnp/sbeQJEZHaMC3LaS/pgSR36V58U63T9ae7v31srm48kBNPLGDAo/GoLq3I/V4HV588/j
RmBQKUI5GCzUFhvSZ5NklKFV+GodqO8LeTDPOMORhtfeUgQVDMobQmGYW29YzXjAJCsI9QpIlOch
66L3Rj+ZBwmHuDDWRUjgXDS6xOOLYvJWsTRYFjOmoAi2HqLEX2mSDN8UNXO+D11YN68MRZAaFMVT
+5nMdnT8+xu554No9gPxomPBq3PjE4E+WMaY5JSwHe25WILQq4rpRVX7b2VLpnDf2N5+MoYGUjKW
oKFtgpRlFAnQPFCpcZ5Wz3lo6u+KVkmOtOx3gjvVa1Ir8gIqqdtmF8ypoYoG+NxKEc3fx0bSvVrO
0lMkx87jbyTKRkIvhSoZRY9NMuA4Q5+2Ms5eLmH+HfqPcs3hmp7v79vegoR4EHA/VsXLZe2HUm5k
eZJp+GGnSu+DsWEeQD5oL4yRCw9i0t4nomQELxU4mZAyWZuqK4UyooYpvS7zU86k2dOSHmaIooSx
dXm+DiwvUimkfTYljihgcnsUOAUkM3s8TU7sDZrlMrf4o2k1/+NVzcibkL4Xk0IfhzJQ6MMFkFJT
RO1os5cODF0lqvhiVYv8XqMM6ncJNfCDM727jW+sbLYxXKRoyRoWmE1GwuDMWI+f9SQPD6r3u/tI
eghMU4Sn7XSnokai3aig+EdFNQIvkOdGyMiHT3HUT590KYpemADSvsucgbxRN3v7wDN3Ypco51Nd
Z0c1atJrd+nMXpmjCAIXmnfOhzJUkvMgS/JvczOaH4oY1XjbKi2fv+yE7sOHAkwKhW3orAa56Sb1
j2KGTrYS8NTOsZoXFdLYt1yZjO8l1OvH4xbREQQzqHB6u1soWyMZdd1JMZhRx2QCcK+WL3Kiml/u
L2jHZ1ZWNrGEUZcRk1QAwS5Vkz6Hch0aF9OpmiNd4107BF/ilRCL+zUE+81b2unjoU1rVpOPRudq
kD4aN52j+UjXfydq8TRjpLbMJwLstTlpVSWX9kSjx++78pzNlX62x+SPqi4fRw3R5v0lLo5EAgMW
NhunqIuCM2AojgrnOWrrj4HiWAcJ9t5qmA6LZAdMIAGHXnu6TRoQ9wuUVU3mKHVV/9FczOiU98n8
930/EAnSJjjCaYY/LYrAPP42wbEcmOVXtgqW6sELethGnlbK2jntu673MsUumI6LotT1vtk9t6A2
K3CMYnjhtgbMhLCeWBIL9YfJdG2lSk86EgOP3y8mT0rilSDZ0cpab2O2OGkuWaDXjSRPvFpTx6fY
OswA9tZCOQo8rYriD6WIjZUebIpWd7lvo8fgWnVffhq1MD0osO1EX8op1Ebh1TPlabuWzsyqCkwH
VpxseC/NnWyceXDa38K0L70wqu0vKFClnhGFUu7adaIcbOaOT1LYZsQEQDNwttvoKzWLwoscQPuy
wDXIezhwyHZMz3PNAPiHvWNlapMnloaTaEkEARTun3WyG+uHxg3+n4yAUVK5zkS8XX+2PterrKNb
hIpyVoNlb38Mcmhe/sNKLMpSIJUYabFNACqlVfOR8aN+IUcAlUZuC4Us/3zfyt6nYTCQkKMVY+O3
TRwt11DnSNivNgsZy+zEneQNRta9Z4ra+OW+rR1vF/MO6DyLgRE3z5RYq/V2VHgud11NX9ER9DI5
rD7/Bys00ZHsBsALWmP9cWppbirAGDjbyMAWV9HrzE9nefnrvpmdQwXwj9c3EEDIO1tarNzpU5XE
A7lu0s2fljky+9pt0hHCqo7EUOvmctTPJ6dvGVWYRlH/PPTBGE8HR2tvT4mEdD0Yrg6yfBNBKkYZ
R+UY5P4yhX/NSay82EqcH3SP9tZKx5QwCGMTtNxmS/NWBt+ocXE5vRa5CALaiLQNXw2j+y1Stfda
MnwYOtTlUmU5QCnvuSc3GQeN9YG62VyZIyTqQclzjnNlWCeeY/I57Eow4HV6pBy2u8hfgG96LuCi
N4uE4L9UigkfKzC6v+sM8d3Wap4sJ/i2WMuTFE8ox2h/5np2cCrEEjbX6K+eBA0D3reUotf+2vVB
WKcppLOgaOvcq41w+VOr1faz3UiN9Tnq5MR8iiHpNGeKCfNycDns7jDXKCho6i03omKIgUhxlDo5
avq2yRRDTRo8WcmGswECRXXvH5qdV7yYJg5jkd4WyckmcDIoKq0tjVxYiWXjxIQ1rYFzNGhuqPO0
t1LDOKpO750PcTxE4UDMr9981TnQ1SUbcd2pFHINs2QMpzyQte5gZbt2eKyhpiwu9K02GxS0Xpol
O/cHxSkYODIsng1W8fEarQUGjBcQr2wU8zer0ftKYzmAfcsY+p5kVNX7MJmOlDD31iLOHMkw9zVP
37VH6ksblWqHS5SSnCJiW4W+rafW631f2HO8t1bEr3iT3qdmS5t90JC/bJ3k77JCfMJxwvB7Fozy
4+8ixNYpH0EjURg1uTFl5FJfUcfl4/StcxrrKjwtAHaf7i9od9vI4vBrXrM3LG45sLOyMNg2Orrp
3wh5Ba5Z2tr/7lvZO0J0MmD684dq3ObjUPWIGPJLuAA48x2C5asytI6XNdLgJtMREmInxUevkVKY
IZKqG9UOGAGynaFn4c9D+xLZVfBBys35Ny5E8zNMAUAe2tFAgD23oO6B9glTB6jgb1w8HytLQrS8
8Olo1R4yQoZbRcriCcTxwZndWx0VCdBwzCkiw9qUTSMlHepQUrlc4r7/HCtNkbmdaoTnNliCPzom
zp1RE3n4dOGC0H0cnhZYhu+z9vslGaZotNriYtlt9VFLc8tjFntzvu8mN86IFV7NaEVSvxQY2bUV
SkqNzAzX/NLb2pS9qNXYLZ8sM8iOpgbefC8MCcV/TOi0B7boC2kAA97GWXaBRNfAU9UjBsY6pZuk
7dHtsbMmAb2ADAEWlmxn4/ptLKljYtrZJQl6x2ZOhJw8NZOmPnrCKJL+Ypuj4IwM35YQQzcJvHsd
pRdcJ3pXjEbwJ+KhrRcaDOLzUsWsTve/1e0WUpkSYtvitUcc2vph307G1NfJxYii5tWR5PFnUI/9
FfaDc4DRvpWaoPkMrEmIq5Gz8mxf+0VhzN0QJU1yUSaYvkyRHJ8HxmZ/HGa5/7MpNfssS73z7Axj
+1ww2+pStkX8KQSmdLDo249JqBQy5ijl8C23PYshN9rAyHMWjZD3Oxkl6qc4SZQDKzdHXAiDw/Ll
KkGYm+nd6+UijG4MXWXHl0ZWJSRCJvt1dIbZC+Ol/6uZ5PlTOS7yw7VbYZU+KlhxCoY3kwdspEio
HczxRe7n5nOvydNrQ5X503232dtB7DDjDAT2bf1FQufTzgw9vtSIoXlp3fVuTdHiYAdv7hvWIvIn
pOQ44LDs1ztom3mlhKMRX5inmH9qtIgJT4UT6RmQ93r8n6EDEb2/rl/Dr1YZMSaFhCOCW2hh4qhr
k3E+9CjgVsllUVMl/upITTq4ptJo2keJyvFysZdKyz0Nmd/F663B/jHpZhOc6KfIwVmu0qZ7Vun7
S77GJ9a9Ju/61F2CYcrcnqio9hTskzL/KPd2wtiJUZ0L6XOgO13wojD8cnzOEOcz3yldKsXnJIiH
5np/ibcnngyOFonYT0qB20jGc7xZZC2SfMlkLKSHukz6w6mLEMitlbR/3jd288AQeQ8HTLyFmdC1
feJHo1aFPG0SlEiq6slauup5Kezmo122w3s9C+S/Z4Bg1Iydwb9v+dZDDaAnDKjGOLjsLR7QHBWG
/plyfFGkzD6bbQEAhCnfj17jNEq4UpHSYCcFnXXtLkZq16bSmpzx0Fm6Zx6JavoEu6mtXcD9TJwC
V9Gnl9rMQNI9uEDeTLQ1OIOcP3Hm16ZzLeTfDqTw4khmILvpIKmnDO3iI6TBjb8gkg/GVmRg0Lth
rq3txJMUm0azxBdtSO1PlIuYdtbFtvrUDR0YovuLujnxvxT5ofdzS1A03DpnLdT8Kq2PL9Kk/GRs
KLSuWXkZHenjIjUHvrm3MMaG85YhgdCwtl5Y4yx9KZVmdCnVoDl3WWBeCM31cwD68SA9v7kKKH0K
EpQQjaR/vYU1BiWy4YyMIJDNiZJ8aMfYMF7HVLV/FNYQRV7TS+HiFp2VH/Red9ZI/QLuFU9DAMNb
wyCW1Xxi6uZlaAfFMxvi9NDZqTfZ05EUxc2BY41iCg3fDfw+RI/Ndk5jROuBo2AnSN8xRapxA2UM
Drx+b0H4PS942ryiAra2gtqcbiPlnlzgpkbnLJRYiyYn5yUtj9D6twti0+Cp83Yj8aMRuzY1SstS
OrMeXqp8Gs7LbCuvmdMcQRxvF0T2bwGdIExRl9x2gHKzDpfGjlQ/69L0r8zm3e5oVfIlbOj43j9c
t16IKaQThFwHLeVftMw3r96CPK+SEVLnajJ+z5vwXdXHr0WhfK/n4qVtqofPly4AXSL6Ex5vmH9y
THUXVoPiV1FnX4KeeVWJoVbvMsRnD8LGzibiEABzSBRwc1N8yjcrawD+RcD/FV8urN8ZsrNcwZqn
riJ10cG1smMJvgFtGfEKICxunKKHmQUvWVH8bM41JoxXvWdWpuwz5eBoIMNtLOTBgQeipcsngwq2
XlTRzNlo2ojXluHQeT0kGCVLf9qJdGroAhz4xo6zE24FvYGcWIGVvzZmaqEqtwDK/Fa2tI9yPCTv
O5mB0fc9cNcKD3Qov2J64RYIrYCjreD0KH7XmvNLjEbOWY6So1fu7jcCAU3qKFRptoATtKEZKg6/
yHcK+EMunF1KfbUTxD/r2myPOqv71oQgGhAr7pPNzkV2CPmrshSUFkfLU0aleVqYOfSUVY9ryfEE
JWcjsUHYlkrxxs1bTS+kGFiKb0eN8RzXRXIp5uZhdWNhRTyMEEwVM283de82duzUSQy2b1DGa1vo
/VOw1M3BC+I2GOFm4IMhtQIW4PW5drgoqCc7jFIVdpIQOZRzOW+fFsvI36vBVCjukMM6cwOGNM8H
rn77wQwxWZUyO8Uw9Js360MDSYqTRkfEMAmd5xyRBrebHPtdtFQPi/9xRwE5ETgu0B9ckOtFStMU
WL0+wQtu6O8rdmd4ij0fzby+PVUC3oJDwOGhmLRFeQD5lKljO7Ofh9noWnFXuVk+H6my71mhDSI+
lcpE0K2VKsoXFNKjBRpPNHo88NVT1dlHtaObBwMEcOAWCL4qYkTUFu8pVZLttNk0QZXQtWc7KMx/
9J4pDoVdxn82y2Kf2sgpvmVld8QBuHULIgY8daCm5Eu8j9bfSmaoV6TBe/HbcGou+RAupGVWfc6r
5GFEkAhO3FVEKHRCeCGtTWVBY40RVHi/taHEws01bJf+eHad27b2mGFhPYkfk3vdlCjfHg3BIOTI
0klG+Y8/a9u6Wi5ov8UmF5gS/B3Dm2IAWFf//bAVCnNkT5gSwM1NpLLkxBqCojeQnIpMFMnsfPjS
JZV+1PrY+WiAmwBWidISaLVNDp85eRLVeaj5RRvJZ9ivw6mZ5/wUg+05P7QkbkeBxgNpLaKHuFnW
Gyf15RzKeoROohUFiztrQxh6hTwfFaE35+xfO4wMZMCIOAvbGm3aEHpLwFRXbbYlT4ki/RzBojgI
gpvw+68VB84LZUZGId5IyJTLMkUJVpoi6X/C67IYjxSEQ3OSc3X+Z8jtVLvGs23kB4Z3l/fG8CYk
hlwvYILM6lqh5vY5oxTye0cT+eBdvmeF4YssTkwZhd27/lhlB/t6YgzTtbB4zBVd7lyiRpp/PO4S
b61s1iJZzNdp87y+Gnq/fIhK2/mUIKFxNCBskwj++lZgxKihAOAiQG3MqGNQLh2Tza9JNLw3u/Fz
wco8o+8Xd6rQ+3t8UdyMtKHJcIHMbKzZYRYsSZd3VxiP+nQCj1YxAG9e5CNC7Z4Lkt0SCbFFFWNz
dsFvdZpVph0ipy1AqkJCN4K2XznNv0V9PRQf5CAKqzMzrvT5cn+NOztqAOECVED7BfjTJgCX+pDq
VOH6a9sBT/IGGWjIkzXlyCs3XaAZf6V5NoLwum91Z8E4I5wJ1IVoQ2+V/EtTqReDK+WaJWHipoYZ
+BYZQuySKTLrTamTZ1vS2wfHLwv3AYLFsGJ6t2IkwuZhvkxNmI7ZgllVGpmiVTrxcx4t6uv91e0c
OQpteCftJT6pvDHjMEwvdeKouRpBG/Tu0pKTfIniOTzSQtk1BIiUAj6S1ZQb1mcb4adCH2KTsz1Y
sTuFSONJw/Tg2AWxa7TKaC8R9YmSmvgVb5+Uc8UsH4Q0r5pavp8kq78YyhL49/dsk+1gBHq+iCCc
Asr125Od9pYa1HNbXyejS5+tqv2rr2vqzYw/e7Yzdak+BWFgRKesUMsjbf3bMwAojwc6lQ04ItzT
6wWWjtp2VJ2qa1KN7WtVZcxak5RxRvLPsphPYIRt+WDX89d6BV5TQD7I7rbvdMPMZWvUWK9ekoh4
NcX81yqH+nKusnG+6tbQneh9dn/d3+a9pTLjkhQZMBvk5U1q10hdDKVEba4KjevGl6cZ5Giuk4Yh
+JDFqtsXpT4fnIfb0w6ghScO148ouWzXCnFUsUO0v69zMjUvldP3ym8FwgTZB8lB38qFJSbFl6pc
nOaP+8u9PSCiZAvWUbgvlavNAQGPYk7tkJfXsAvy54CJVHQwqgeZUuJbQlwFM0Qbm9fHdoQ39MDG
nMexvPb1lPqSWtefxq4+atXtfDpBj+V6YFAp8WXz6cAZ20WSZeVVRi/s2cwL5x8mAw4nnpUFc9CU
/MHJqP8uC3iDTC2O5/y2YmrrGbh8VS2vTTimaKP1zNONmTh8/xNt8tb/a4WXDjVZjt72DQoxxdC7
FDnx0pxLrwzN3lUDIHtaGRyVkXa9AbqKQJgTZbZxuZEDRYMYww6ORv9k92Nx1bLpKGvYXRCtGnjG
IIpvvJ0LNVIAT5TXICEfCuNmOQ36ML6OTdw+3d+7XZfg+wiaO6W4bamqTgyrhRJTXtVoXEY3Dxr1
iQHCCC8os2G9V4JKfayK/u/XoqpNIRPhRbD661CphiV5KsOYrpOWWt8NRLjdUrbi19yxjiZ27X0t
4iN+AaWOC26TFDHlgcFV8oxjqMpwRunKPEUAutz7W7j3tWADQOEn+xITENYLagVZZNLD6gr7t/+S
ZI35OoRO+y6s5SP2+Z4pcPEcKI4qEM5NeWyQOrNuMkxFPLm9sE3789wVxmnui+ggq9vbu7emxP9/
c2XzNltqWn7l1dGSujxR6TaTU0UieHCd7NkBAcKR4galGLL5RkqhLMqkhOXVzLXpKY0M02901F4f
/0agJYAa0VMRxcz1asoaIHNdJ0wcKKoqeA+nuNA9BYJD8DwWTDX8Dy6B4KBA0uDk1i/Zyjebl8hj
ZxfWguPNfXXSQye6JGqdu7OaZgcHeG//yBH/ZR+K3uJ6ZTA3EPNoiens2nIqtXxxm6qrTw/vn+iK
cg2Ksg5azWsrXdk52Kk5tJ00Gkwx6buviPeqwwcqOkp4YG3ntgeCRIJN7RQtne3MwiQxwkItHGJr
YMmXJEd+M1Rndw5tN2VUvJfqYXrg7jdxkIYs7GsBIhOsx20lJ5ZgTCAMV1ytXJI/mclLVXmVvHSn
EaH08/3N3LVFe4p7hEYVpcz1Zg66WkmNjcvbS0TWJGV9Uz2VRcNXa8NE+9RI1ngQdG+8hEcED0PS
U9oFAq+wNlllRqQHNHCu8hzPHzIqw17G0I/f7i/sJjyRKIh2Du1ECiHYWVuRgknP7C7DSmmEntp0
+ktZzsUlcer5IGzsmRJUdnhVYExgV6xNxWMpF3aBcv00haVL8bt5qkRo75I4fAy6/ksqUoACGFLE
eeaOXJuSi0EtGBYbXus8My6BJDsvam9l75vOlB9NNkUBn1tf9HRo+243UKvkqLRmI7yGicUwV6n+
WqTz0SzEG/cTkzxIZYHig26ldrdeT1ZkgRW3g3VRjeUlV5R3cTDaLqNLfh+k4MH+ADGd5hANKt7K
TH2hE7I2FoD3KDSmeFwT0vuz2QVR5tpBEpxq/tqDnKFfxsRICnLof3FHa2O60oVitkxxTYxEPRXR
4riLVhwBJX8V59/AmoQZ7iseswABRPl3c5nAYx5LB3zr1Va7YHCzom8rL+rjXL9kht2W7zr0S6Zn
AL7Zqam43dxijKOXOlI64wBHfvMtxWOXgMXwZLDCBK/1io1FzKOxbbZ3LhwGYQeOfAH3Z/xpJ830
oUU4Zj642m4tEpSp2oqMUSiZbm6CSraCrqi77Bp3ZvOttZTgPfzfPH1n96mVn4DPxMqByZvghVgR
vE5RfnSQi9uyYZ2us42m0rNrA4PazeNc8exJPyIK3kQU5JPhoIPmAm8L0mnjqVGLE0+BMVzHmW4M
mUrvIsrReOViHEkS/7pN1h7Emx1dKV5h4lm0XZGdcRrCtu6uUR9OH3RlZo5P/X84O68eyY1kC/8i
AvTmleW62OOkMdLohZBWo6T3/tffL1sL3CmyUEQtIAgLCNtRmYzMDHPOiagVWFSTd17GAEBXs3rf
YJropdKL4h15m/PnKCzHj0MzfpJcgUdTS0NBG6Er8JUbhi5kDgCkdd5ci6JrvoMj1P3G69IdZ91+
R3JowBlvYYQOAOrWWdVWC5fJE+21H8w+Ok22oTD8CTmDZ4M9mUaTm0lBW/rv65ByCWMGo0Ztd3UV
rfuYl1Z2no02/c7QXP34+MXbLokWHvgqqoEsjG7y7ZKgBYzZqAzFtUwQS/btRbF+bXV1+vLYzNY3
iVzBE9BCdhiisgYWz1ltEOgtmOls80AEg0Z9T4YbL4gDPza1Od+UBliJFGQGX0zifruieXFreJDl
cq3FWPtRNQg/TYz0SLOyYeZ8+f2xuc3KQIuB5uXdo3MCUm0VC7VmDYjLM/prujDXOKs6DYVLZHd4
3PcgxHdMEeBB6ZC3NoLgK/ere6G6szUP17IX89FhpR/6XKtfyyp8umgk0dD0j6nEkwaQ7N5uYtQW
NmJ4iX7tcxQJkHerYGHZ+U5gIn/wzS1CXwsiFD00G+TiBpqx2JVX1Vqmkw124hyNocMw1DT+czAZ
PWYVlf4ur7lRd06X/CIbqxTiaCpLWaZ1bmNMhqfM3qRf1cEIT03UNKelc+OzV2fjB23phlenMPMP
jZ2Ff6PrsVew2Jw4Cjwg46Q6OR09dd3uNcsqgXThzVelsdUjgv4TIoPt0wkcVsg/0JUFB4XPrHJ6
EJlulmqcgraYiuM82P9Yba0fR1vbq8mt10N4RKIoZfCRJJcg21tXCSH2Z+nUqgHMHOXjyDkPKsPc
a+GtXeXNCpVFZIWkstD6wZkIa3MvdpcgVN1Kwlu/NOb4iw68we8i6w9QzOfH53p9jUiDROcUawma
eU9Xh42RDMnsIL0fZLk9+cKJ7OM8RY5vGtm3tog+P7Z2ZxMl6UInf2OC10ZysKmtynbSegp6qP1H
s1HCQxd39c7VKD/Fz55PuIO8D414CrRcxuv+uCIjauB3YyDSovzbKjXzWE7LcJnqMHsJ69b4PUuS
4tyVuyH7PcsM0KKSJFsceP+tk3RGWOeWk4yBqSX1cWqX9qjXbXvk58xnN3fKT+2Enk1YN97Xxzu7
vjTlmomLaNygFSWJ5beWm2yqFmMchyDtCvUEFF85MLhB9YtwefZ+ZqYWbTVGXvF+ka6uI8spBoai
90UX9NVif0HqAOZ3rUVfKmfaY/i9/a3bT0nJiQK4lOCXCeTqgva6TI3iQeuDybATlXmoSx4FidLa
w1cexyw+RuaYJ1/csRHiZR6MaPHbKU/cD9rgRdrBU0EJBQRVQjnNmTqJo2Uyo2jnpt3uvUGVWSLU
eLS2FJ/RNMdRn6Y+gEcF7oPRgdXHIXHLs9dne1Che7bIC4FJ4MT0cVcbYg1lnLRMxA3i3C4PPaW0
d2M+Rpylavr62KW2hxVHBpLOOHne/o2EZioirYBxjkulVfvZczv965wlT85po10EfJXxIqizSALK
GrSghnnZusJug6H3wkOc2dlB2Ga384k2ueCbGRBOJH1YoS57ez70Qg8BGDM+ZjGN8k+Veab/TAIJ
za5LulNa2fNrxESQM/1o9VR3bnS1otF9ebyhd74dNLc3pSBaY7D7b39DHlrLlLhqG6SJWnywwip5
3+jdRCkrn3YEBO6YIqAhXIOPyNW+riPFdp5Ubjl7QTYsaaAnQGlqS+kvdvc0tgWOBK4vVSYo8rDB
0o1+qqHqS961Q5i7gZpVmi+aNjkLUYU779Q6mpFWeN654WSDmktuZcUxAQYRxgeR04szc5pdIElJ
+YKodnhu2yH9ahLwBF6ex+dqttPL40+3vdgpqUJsk7kgefq6r7nkxcDou9AJavCA7+feflcTcV/J
bZYz0UJ9XgZN+2jAczg+Nrx9n/l4kt4rZaYg5658Rg+71rKWxA1MJ/s9qtFIR8M2Rdwym/1WqHvx
x/bMc9iRl+cWk+3/9dOJwE+Tkn06gRKnSHiKfgxaHpzT40W9zbq7vdapDuA1UhmPksG6KkhtvwbI
o+iBbjCdDrRhZA0BcaraHx1QzFzc3hT9aG2j1JA+rt3yY+F2RnPN86aMQUny8tAy73TtY5o3TnwF
oR7+Nsa1rfuzO/XKS9uU4fslK9GC9mFJWMLPwAUIH8JLuyd0vfUNUMPEMsiw81SR0966JhXJmSzI
0gI6PrBM5rBTDQZ2Tdn4UaPiMp4LpbUAGNQKJSfXnitth2O69RFydJoX+CdTeshxb3/AGC4dctdC
DzKNMdU+I1g796so3Pk3d3Kc5RCxL/3OBbNxFGzJuVAwwWyJ5lzdpwqBAazWLgmaJZsuqRfF5xYQ
xMtjR7lnhexWYipJcTeCjbMZlhYdoDQwKyUKr2ZY99UBqYQ523kf7hiCEQy3BudnOWsELgSwTkuX
MQ0yt4I9pxbdqRZN9OXp5UjhH0BQeItk+d9+qCZuOmWK4iwAlwEl1prrQxKjc/jYyubup+YHGYmS
MX8G3Ilc608XctXEljmNYRyUI4pMdlLp70sdeQxDz54cZUgMIk1RGJP4LohJq6ZWm6VMIbeTJABN
tByVegoPDKFxnqwrvlmRuA7wFhQW1zJubdFEJV2aOMBYTWqiZWV9SKeo3Lv9NtkXy+GFlgheqhx8
p9udK9whK7y8iINhbNxfunQxT1lSW5fJVMX70VHqC61R7cnqgFwdbWmgXVLsl4Tl1igV8HpKGPoW
RMx4/RMax/xn5g7Ru8gZks+1YY+fEhuxzcc+In3g5gIm/ZLVIz6ahHysi6iqNcymlppJkOtKfg7r
WAXVy+35vBXofxAAQQCCQTJul+YtLkVZM04DJ4mNkynQugw1cw9ce8ff8XPCSPDd9HHXT2QURWk/
504a1Po4JhdGhJnL2UjbSBxyL9+Fr90zR3WP2joDbXi7VsfLQQ7ENZSxCupGhME48eS7rRadARsV
O5fs5mWhzMsly1cCAktyvrpky3mo2q6u6iD0jLE6egAxso8QIuz8AHZZZ1Rt7FU64dbSDxdhVAgA
Pv6A27UyWATgGjUrGeWtG7xDpVu9Cw8mMAZrObLTf6s83YdoWPbO+PboYYkNfROfpHOxuhqFaAr0
C7s6QFwlfF8piskwdsf5hVjcOKaT5b1YzhI/J90oUyi0NHi3oVaiBrEukUUDSGYr7koSt2W6QHhs
D/UEFnCo02LnwN3ZSZDDKBzD4KRjZq5OeZiqoaeFdhnUGsPDqbHoS3IY9bFtT1qnhspOvHpnO+m4
EipDjOLcrZ0UhADT6zziDduIxrMWdvM7ADbzJwfW4yd7ybRPzHzam3e2idHJSLnN5GQCAnUaQLfH
ndG5Q1qEbRI4pAQfUGszTs4wlVcodprwiyrqk89LXnviQ5UpVnvp8tzZ2ebtvUYSycwRONuykbn+
CTOUd2McXOWKZlrM8HLH9Xk89jqLd6zw5HFVe3LePcW624XWs07TJW7C61KL6BPsum/wWJPPj8/e
PSOy8yRr4Tyy6spIqi+dVVtZeC3iPDsXc9YdjBRx1sdWtn5pwIQAIioRByQ2q2+WcqVEulmIYNbQ
tFhQrQzKHFZnZCl72kZbU1yalI1kuk/CuIa+e7BiCssYyyCHEjYdbOYWIeRsKVaMHs+IDPfjlW29
kRQG12ecFErt4GFuP5KS1cNsN24WVGmmH/PMMIIsXYDWi2l6HzM47qw5kXOsWjGeRjE+Kc3NQSBb
5YmA/c2FTCXl1nyeyXdX6ZeAeVmZcixNA9iISbVj8Bk8Me+J6W29BXMUa+BHypGV6/w4g98ed065
BHk2my9R5blHRo/Ep8d7uv2EUIBoAwEVpSZEEHu7qI6YYczmaAlEaNMvaQyn9b0upw8UovG1V/27
a41h2XIHqXltivvdxMRvxZkDTa3bi2UPTPmp8dKWGU3fHi9su328ccw3YwAyuBg69bcL8+JiREh/
GiiDG7WgDp4k8INMEOGP7WyXJN9S0yNs5rlBJ2plpwCjR6Y2BEY4qD5DFMuXDH2Cc9ere1Ol7i2J
FI3M9K2+v1bi8VpmPC3gRwJH6fMX1Sv6s1AQvX28ILkxt4Gk/PskgKacYrJ516pJmQzYK1rgqIDp
UQ4zCoZ0RUzmRtt8nIYzwbr6JPuYsyVB0cTKIDtIptYdQqeItCl0Ky1IQWocE4ZlH0QTO4feS5+c
bf5mip4uJQrKL4BTVx7f5PmiLnmsBcZEH3cesvwcMZZ751xtv5W8Dwld39YExPzWLSy9mtECNtRg
oFJ6aoSGplc1741Tu2sFCCKTT2Uwty7uRLGGVI9w1cBJw/4819biG12zp8W0Le7IrZIaOxKnQd9x
tZh5WdCAGSY1WJxGTGf824z/mbJcL16LSe+Mi0NFxvzUKfNQH5rGQiNnUJD8OXH1ROPHTO3r6KUq
qt59EakFLjOywkhRfDWvWwveZp6537S5SPOTiuw6/4ehYFZJ0kZEplZbeXtTq+5tm6RNa4ziQk95
LaqTTHrTEBrOlNyT6ZsOz/5V4vP3TtL2aoBBRPUNIBaPBtXbWx8QBKlZN/dz4IRKcVYLT7aNUvdg
iPpJkVecWpKVCFwAQUPSXmd/fJYwZhgnF6tZgiWvRshnqE75Rt20nx7fD3c2jzo0vibbOOB5Vxer
Wemxk7fJHKgEgYd5rnXfGVxxfGzlzt6BFqCeyLxW+Hvr8xNns0DrZZ6Crmzql7lBsCSu8uhQzt3e
AIetKVQC2D+6i0ROG2lty1S8vkzCOuBq0D9kmar9kXiT8QrXRtnB4dwzRamZ+AUFnTsB0xxPnjMZ
TdAStr8wjaU8dIOFKnXl7gBCt+kCci+wH7FFu4cQ4tb3GH0R6Unf1IGuA63yU5Ertq80g1L7oBDL
/DxMWlSegRwn3tMvopz4SW5EIxFs+VoTsuxK1+o58kFdztoVfGJ3ahXNOecx7aDHXrJ9q5gxCt5I
ViKg6q05gYJhbGZU2U3QFEr+0jqZ99JpRXHI+3w4DL1q76TvW9+nz8R7T/RHVZau6e2uUum1xr40
8yAavfwK9ts8CWX48nhRWyfBCN+M3iKtUl7hWyNjmudmXSx5UMxq9N0To3OcYapcqSeMp+dNkZDI
1j3ykxuALfjnWCW3ygOaVv0hymrLz5pQHIsyiv4HU2C8YTuSxVLxW60qlTpyYzjmQW9bP4yl0V9g
lYmjqDpzJwHaOgXBGCBvWtn0zjfiW96slxnziOtgpBP6V+6YRRkwwqOfz6rWJhEdCiqFO9fVPZs4
PLmjRFyA8L39ZgDfzCphpkIglqj/gtJae0xyIz6LpIr/YBqzt2Pvjo/IzAC3pz+ACM2qTCusUlUX
paiCyTMzxc/1yll8s1brlMxLrf557CZ3VodGO2Uj/qEnvo5xh2mkW05zICDLR+Xa1DO/drVv4aRc
p2Wqzo+t3Vkb6Hx5e7GwLQ7OjkezMhA1o0/FqKxz1Rdac2JcQCNegGF2e/NG75xpIIS048iWqTSs
G6tu3y5elcVgS9xs+qIKUtixaorPjxd1ZwtpiCNu8ja/cpOOjLOJTEsX9nQ7S++s2XFEEFRZlw4M
8zVl/ujTrzRgHClaBRaTaQHrbo5ZxFSHejEEgAtcXxjWHFiVaHfeszt7JyVygU9B3AC+uHJ7ZyxK
Q4ekGUzJAA4u99prQrPq5fHebd8yqAb8dS4oGUetMTgJjQI9VtIhUECxflOXeTiaS2pfutApjwxz
b98rs6E9e9XjE5LSzDZyhaApdXuiCzVO7Bh5x2BsNONzrBvRp6Z2vj9e2Wb/MAL1Ww5lIw7le90a
EbMbd0WkDIGYwSbMSZIfijTaE8e9Z4U8mHiXSgJR4qoJkuvG7CnE5oGbltmxy83BN71lr4S2Obby
EKGTRi8fHUlabrdrQU3H6UtUxejYz85H5oYyBsCpk49jkYvnvw31EBDGlEPl678ylURKX+dpMwbK
qLR6oHp5Nx0j5ho9S2vg+iHfobzL96cYsy4LdqYy8uWLMeCYmZ8dZah9gym7X5/2gjfqDtESuQKl
mNudg9HAiPsGV7MmMXcUrPv+2tm2Fe9k9hs/kDM2abuCY6YVhvT5rZ2+D4eOp2QKYnz7SPI4vcuj
qnn2+sYKt9wbipm2q7taDVxmb6CzrwbanMWHZWwjvxy87FR1u9KGG5eTpjikBO1g+jlAtwtKhNHP
s5apgY18WO7nbjgQ5PKBCHgjijCnx99pU3+04NLQjuLfhLfUPW/NTQvTr62YlYFyTM5q2yt/DGNv
funyODpHBCXAOrXpaBjhjwYp3Otj63cWS3xBHVxO7COZlF/35ybwpBQTuBQ1iCPNfLVLx2NwWBEf
YiOudx6PzYXLQi26l1KcAizXmnmf2FbSO7ADApXK4GEu+o+ja54UPR1PjpO/W/JyTyJ565qSbMiB
ljxeoGmrVDk2ytyYQUMETdNPtW8r2n+g6XnPgovl+FAPSJohNQ8hOq59czaShGOgBopRgTQcHE52
qQ4nrXLanUdr+7mQppJEHcBasoW5SsASlBJSpjprgVoU4Y+xm8ZTUTnlwah6dafffMcUSbJUJGf3
JEbg1jO8YliU3G3CIJzKuPZjdbJOKoR1PxTe/KwMC1soM3IaMRIdQ83u1hjDHLn+vSQkMVfif+zC
yANDr58cw0f3l/eeMw10CZwYddVbK00GoTEPUydI47E49ZUuxaebcidT2Po5NAEAFRLDh5evp5e7
oE6jUE3tQKnj8pzGIu18e0zdE4yS+Br243SgYPB0GZdZAjTo4UIQbvK/V75eCNGlPDtOYFTG6OM9
5UUxq3lnbZuAk3eELpA0QE2VDb3dwcHUwEuHuhEYtaGfbKOOfkkieifCUJx3rjDKZ99kWWkHpC3B
kCQLazmbSPYhiQraV6NmcDncyRJRkjD77clLkPdRIpVBzfPGQOC6XVUYFqPClE2spCL8o5vNwvfy
Znw39cu4s4G3VxLniasPhBI5llSb3QDnaDeG6Clp/blypxwzIOkMf9JGZY8Vent8/zVECP0211By
clZfaixCsoNlHM6NpxVnMQ1gAYY6fsfAor1m6n1TZCG0KiRaf3V4DZFE9DLm4Tx2xmkyjPZjqXXD
r/2yB6C+t3m8kCC8JYya1sjtdxItHI+0dVlTRxV/9JLOz2djT+REvu//36r4d+dIDeBhEgvyLK+W
EzHKh7FLWGk7U7yKybTOSmy0B0Bh9iEDdvCLXSrTa6f2O9ncbSTwZph8mIcK9wAeuHbDmtlBic4M
krPQDOUCojoiMOwq9aLaU3NMklp9ATOonRlA6x3tzNwbYnTnO8oAWHbQeNA23YWawZ7JsmC/K5TC
V8c0PbRxMQd5USU7YccKsP/ftdJ1pfUpm9ZrHdVKMRsjzqrxPBcolISh7l2Uohkuhinao41evN9r
y/wqZ4zLYZXOKdaYoDC7neNb2lS+9DnSKcWSOl8eXwV3XAzOKAVG2eeWeeGti0VpAz1iSNiDrtBO
i3BLfxiK8PjYylsLZeVjmKH0QWkHcav1p9ai1E7doh/PZgMaqAD28cGEK86Y7jY8pqOR+iJr7ctk
td1BaZkwJjw9OSVO0/36+JfcXuj/fgduBypaQFskGuJ2vVOqdK3Ii/HshJHtZ56rvNYwpcDohd15
qJTn+OP/2rMRdCdXQN3WXmP0BDqD6UjB+mzHCUglQSOu18qKllyxJ8uwdWdJLSP4owTvAsJYneN2
WTSE8g2WZo3LRyNLva95maWnBHGvficJum+LRiNcFyrj6yYqopRzEk3ueE7MmlyrRfHBB4XBFDCn
G74+/mQrtrHcQxYmZwkjfUolft0rGWkCayKDKWS3S1i9ZkMj+g8zdNzxHEVOZ/w2p679SV1CL/at
EaixVWhWfRCKt1QHIxLIpfl6WhKn7OzC9vAAJiMwQIDe5bVeIzdMECGVMTvjObSy9Bc3Y1hd5HnP
aV/8u3wQYOALwCTShF9918zMlabzsLIUeR8YdqH7lep1O0f07looAshXAFjvWo8wdcRgA6ifzsvs
/YPMc3bwzCnZiQbekLy39wBvJhIHkpcoeVKr49fwplSKVs9nb0z6CsXKMKoPJrpnnT8ZracckL2D
b1e2o1udTDVM80tWGaK5hGiKta/aPOv5sVej1PxELFrPh5Qx0821tSnB+7M2tHu1pTuOjrSPZBm8
kfPWYeawLHrUVCj75JP727ygu25G43dgm3uTNe7sP0ELMm2QGwkB1/0KYwQnYLrhROhSKn6Vt+kh
D6c9K9vrT06UouSNMA1cqTVyctTqyW7TZj6P8pw0CxA/NX81BBq2Vmfs4O9leLL62IR/wDMJaCXU
dVVYEAybqGYoROdcyfKD07t64beusZwsa05eUwacndN2iL8/vi7e8upbs+RV5CNIR9C6gF18e8UP
iZd2PV38c92V4T8h5OL2YprJkPilV2vedx6f8RuCOZnzWsZjL3zkiVPt7LVa7J1iW5h/K8DQzUOf
zYWcXZEZ4YekcdyEiVRm2520drGFr8lJwj/cXl/e0WDKvnVLnXaBWSYCvWirYNZFrebuq54zcd2v
GsUoL3Go29+WJFRafxrHSP+YV9XS0t5fYAnIMUTVi97PNlMbw2q0g36qZqGdjCnNf6jIp4WXMDeq
itNhxXOzczK37ueCCKNU8dZQJaC63bREXwYbSqQBa2cpXiLgiAeS4efg1fIqIxGAKcS4G5Jee93L
j8w0mRx9ds5arqYfSrhDQalWe+yIbUBL0AzpSqfrB6TIlGv9qcbT1Y2WOZ3jnEulyj+Z+aScR0XM
HyKGth+bZoi+h7B4jiZ8mZ2q3R3LcNopQ5Jty7xqVRkpEbko3cF2z6Y2vNiTGftzZfzFgLErgl0f
ptCu/DB8siKJzCoMFwkkl1N5qO2vZ0NohatPhd1Y5zFr9OMyTvM5rjV157Fb34RYkYRHSZ+jfgdh
/3ZXBVeXoM9pnbWGcogiYvevrs89GtJW9FQW/LYgpoXYJtbkv+xV3jNXTZkM1F/OaspIDQQKh9/n
xF3+eHxRrO9CFkSxhxI7IQzKM+t4SfQMfZUchHPSNpZ96Jel+RKWYzr6dTt5f7pWpe7Jed/ZQzn6
BxERaiUUtVZX05jB9pztzCZgQKywj5vkPHLNnAC47EGn7pmCrgZ5lMIuaLBVfWSwi0ZzZkwNjtH7
yaIPh0SF6RUlyx6i9N5GStdDElES9NcxNXOCQe8snX2Opik7uCLV/xBVyyAFewo/jUvpHJ7+cPTA
uUHkSFiqMvL3/HS+lyKzKk1iIVJzFAdRIyRva+l8Qc61PRpki/+DPQIvmtKE1RQhV/Z0uAxZCHTs
XCex8w4rxXnOl+piO/18yjWl+PJ4fXc+Hek4sixSWESCV2/XZyY2Ibu0R95a/FbWGdLUWjF/b1xG
0T02tclLOQRS5UMq4YIKZhr6rS0NSc6hq7Pw7ExD8zsTlcKyQPO3z7vfe7fK3F87020sJK/CUn+J
tBYxqAr+7Hi1NDG/ljwZAzpzWaQe9SIxG1k3bcqdH7l+m6iDkaHiQzTGPKrAq/vcpHBU1abinGNr
yY5mP3fHfGx/PN6Je0ZoT0F8IEAijVo9gGjq0SJDcPNsJswNgCGp+LPd7dVa5F/5OTaRS5G1Fhou
smC6tjKLKkvQe/XO2Ty21zFrmZcY9eppsvrh01yG4moujnpyel18dgatPT27SN5EalNvk5Ekvv32
a6dJVQ1Zn4hLMpKDpsLQznaV/vXYyB2fwjvly0vzg/tn/f5WS+aWpTeJS8wkamIdSEjwTOl2xsem
X7w/tbBRzcswdp72a2guapiQDlvdfIQEju60KF2FesSYeN27qdb7H05vjM8NKJNPDAMVJIYaHCZU
kPWdxajxMOlNEV3aabQvRpJbl77Jq6dkC/9rhZ2AwsZZpSx5u991aJZGvGTRJeri+qC2WUQpPCqf
/qqsBfoMEQdkTcrDt1Zo4M/OXJbRxXBLw7enpDiM1A13bsHtAQFRTDgvxaLQM1uDi3MA7hVSMNEl
pyDOv2r3MBldsdOF2VihVgIzx4ZqyHfZyDcNkxcKs2ywonnxqQX/e0iY/fPsWvjL4EkZ7gxGTLax
bnfMNcKoShIluiiZHaL85il/1N1c/vn4IKzmh/L538zQKqPSTtalrh6ORTHsqW8ZZKAOuf3P4k3W
8lV3osryCTjEpzr0siZQBmVR3yWV6f5Q57S1RyIRxk77WReP8bGbQFL+NZQMQzwLT0s/V4kJzW3I
neG9ENPSBUZUjIm/WIsVXQYw2PFhrhLR+qpRoGSnqqL/pXV7WNCPF7d5pFgbamiSswu9eyO8LCuT
dkjKxNpqBAJNs3xNi2QJlDLdo0veM0XLXQ4kZlY1MLvbr6WmCSPdoMNcrMxmPkLOSKOYNoqfePEe
D2Gdskq1NcYVyKdX6v6sn5oicexxbD249HX+0slpNdZg/cV1/Otc2J96hkE8vYtvtVcpus94qHVC
pKCpWLlmm1ysxK79hdnYiB6GDACibXt+bOrOySLglMAfYk+i0NUuJh4ao0laJ5cq1bOLpzbj0UqN
5+YxvLm8jDrpIzAAUgon3X6rxjTJiPUuuSjQaA/owhdHR2vDHee7uxbyHcoYcNqovd1aMaZuHpSE
8lRM9ncaR208JDY6qo93bJ3N4QyyNUEkRsZKWWwVG1lICtZxrCWXweEaqs3CfG2yXIPaYypt5+tW
O/yYNSu7msjff39s+94KsUvliVoNAourq6PMR5E6DbbJfuqjN+rzUUEF+ink2b9fiwyIhITMDmNy
B36KpMt6LGtVcZi0gnD1sYzgBi4LU6f+h7VIZUrQNjQZ1ulclhliGXI1uaS5pR6cxYGzsKjes68g
USxtJIggFIsJslZ3etr03aBFWXrRFyV68fKeDLzNvj5eitz2m/gNSg/NdP4Bt08DYWVkjE1jHpY6
u3R1jwbsQjWmM6x89kEFxWenarS/Hxvc3n1UZZB2Zl4cvRO6VbdfyMmHEEIIxSMr6oaPSz8bx0pJ
6r/tNNu5ijZLIwiiYAKIjlYjiC3pkT/5woi60Kg2enrRJqVVX82x1xK/EIjOv5g6/eJ3UzHAM3m8
vHtGaSAQH9GSQbp6tTzRqzDyIi4ltxbTcVbH8eIyDhJ6M1RIv+Mr/Oexwc1+skrQiHJGM3oGpKy3
qzTKzAlDCLeXbNIr7xRGDsijMnLcS2cWxt7U2HvLI/7FH3m7uEBWyyOQFbGjzlhD6MxHxL/7WrWh
+xdXtPE+VOwnJ2RwoFneW6eYy5fYdt0r6GzYKwKRtUveTPV7JdS0XxRg6H9WDUm5JvK9kcL3Fggt
giycpoFU+rrdzo4KcrqAB7oU85zUcFeVwTh2nUhe8tEJf5nqMbs++wEpDZFbEIlyIEAT3loUYZYp
GrpKl7BY6Aoj5hukbhx/VOa5PD82tV0cpjyIqgisUCpfN8ZbAY0rm4zi4vChoGCo1TfLiWlbpIMI
ixdtrqpny7DQIiQzkW4XpS9YH+vVUXmKzbwD9NnPgtqJ9xW4XLuTlWzPAGV50ECufD5Zl/zvP530
1G30KaaPdJk0EmpfqcL408Bj92UxxfLP4z3cvGMsCIwO/CMuze2QH0hBdTbHeXmhsWMempTL+9jU
nrKnI/AmWn1zM0tDEqYNThtvXO+cqUSDjvdVF+FlyefRjtv2EC5uPL0QDiMGN49e6pduXLdB4cat
+MBVJ75WTuzOgF/q+mNvp0b/12An1GfDTFhMG1ehMvllZlnhxyop4GllUTN9A5VjlQdInGIJoOQt
RjCD7LbR+B8a69TXmvZH6fZ9VPgUACav8h1zLJ+tpEtHIeljbi4xnRwOePsNvWJZ5qx184sy0TUb
0lB7XyXx8vXx19tEQCsr8oT85ClAnXS9SI2cr+clSM5a7qHMeyas5Hl6cpMuY1+j6ktRV9nlsWV5
caw/Jxc1qCFYcrKMcGu5AkrRikyin5ly+wJHfDqFel8ftKmyf0VXZH6pNRF/ceEMvxeDhhv/D/Yh
zBEAMklyI3xUmWJU0KYt5CzJHK2tPPkjUtLpkFdK9qFq9ehgMTXufacM3reYZ//ZNJgCBbwaHg5I
65SmVw9HD4LEXoqUIxqm7tU2huVjnxJmPF7kipIqnwsAOJKGD7hIIttX37f1MhpwjANiYrVXdVd1
yTrLj+O5Na40WqvZt1NdGf4T9YYifLV0lvxKVlprQaW3tuqX2ujCMFXsqEK1KVUSJlvoU36oCoiw
fus4E7ryWa3GhzEzYT63XjHbV/T2iuS1N9LG3nFX6fS3TiNfWd51bjfy+nUPlR1ipAIoGyrBQ+nP
WeYcMqX/gizNcnq8c9unQRa75X3GhaMj+XXrnk06Niai7uUFrWJL8714Vt6VhVlc6iqsfKPXsuem
9Lx9KsoIIDk5C9RA1+EZAgPuMiGTcJlLkZ2WJP7iNYp38PRoD2+xvbIJcXlhqT1DhzacVaI4QZnq
Sd7Ki4CUfxpGUz2r1bCHVd5eLRSRiI0AgLl437qdpC+Vu/SRUV06L/zOSz8czEE7cY+qB4St9INe
Kp/m2tyJHu58N+nqSEFAoqOSvPpuaSuqakQT9rKYc3wxE+TGmnooD+aSi9OwGNW3x35yZy9v7K2u
MaYkR4CHx+qSOq16XYyBWdbktYfHVu74PXLgxETQEQii197YuwRAyThLGYjai49tkzkzox1V44he
g7NzM9/ZQjq4XErILkp1UvljfnoTyqgoOyMvq0tZGqDWpvGfyRDf4qL4sXThX48Xdmf7uPxpXnEV
Qvdbx8+ogiphWhBlFZXaHATzQI+56e3FDlsrEOWojUgYnIt3r/J8BteYLvMn+kvmOa3Uye0UP7SH
8lm4EPslJ5YAGAU2RbSyyraHJE9dp8LOoLeaX9uL9mKLzDg+3rOtM1AReQP2StG2jQJhG4U2w5uW
7hLrsy4O4cSzeRosPTEv9pK7e2SArTvQ+JXVK3yPdtUaUdL1TdK35tRfnAiOku82blu8EDNk8QeG
36blp6rVmucYt/IylM19WmCsE5nFdR9DUZ3MbjWVIeeaXRzdJlYO2WJo1L77vTdyu50S2yW1P+lE
U4BcZTj0zyq11hT1EnbDeIjCOD5WudteOwhZO7JbGz8kmKPiTQZnoge0YZunOHsxURW/iKaejp2o
67PETO48+m+QpZtXkj9POgNC4k1Acq3p0mhhnzIlgdntY9H8ptlc8BetEHF7iNJRmKe+MJvf59DU
u/gQJs04vyu1sp1fjBT8qtj5Nds10xghviHpoXGxGU9p5vWoGL0wL16P6H/YOepldBnX8PhMvJG/
btcM6AznxEdNrv219oYzR6WtAt+6DLmVLqe2c0TzITGXuDjSo1JcP7ajrPP7MZmUV/Cgnkk4X2np
u5ai20LGN2m99lWNm8JWL8vs1APckG5Wfut6Fbq8S9HW/FzYgBROiMuM3uv/cXZly5Gr2PaLFCE0
61VDDp7tcrmGF0WNAoQQQgINX3+X6r4cZzqc4X7p6NMd3RgSwWbtNVDVQSAjevDrVd8NMx4DXT2u
RRN7vfc9ZWv8osEWFSzTRqg4pytpl2sA6DBAbpFi8tImHAJhG01KZUpGQ1wqpXpy6F0wGa+Ny0lT
Wqsic9emCsz6vrO8hplx0Nhi7amnfnftML74YgiGzNYh1fueD8RmSe9AMa4UAScgT9EIvEKk1jgU
NeA7CWVSoJJDEi+VeFxrOkYo86slKiuiq/GzgTNPXOAlxabbAcyDdAdBDRIi1jAedSml4Gkxx5Oz
AsqZl+lgAw8eO5Wg3mc/XVcXX81m198jHfKv6kDp/tq6sIL9UfmVcG9EorkodWVk9fv93/98l23a
NlTzKDTACztlX8+KzANHG3A/pIMqopHUOUJq1OH9UbZ74nSTwboIOxkSW7SWTop2bfqK4qSI9stE
1R8YkcsbriMF2x8lblbqk7KRPS/fH/TsfALzB3XUZhQeoJA/9SzhKV0c1QXoYcKR8DBFHdm3EKjm
dpGXXA/fXEWU1yidoGg7Q4tpEFgoBPARwYfH3khQ2+B/6Lr/w4S2thxoK+DnwFLkdX2xKEF71lTR
PrX1ZrARibIFU38nh8U+vb92b01okw5BDbjZfp7C33MzDkTJJNrHSCC86+EleVWFqfrosZ6gfAGe
ihYWwFX/lFnbu1oYp5ucvRXCg7TCqQpQ/chHlw3MPUisobHZ2J1nuBhNVqg4JhLvx6SLv6ClWRWs
D9PdHPSXgqrPthyGwjaAlREqM/QntpLgPxWgawdclGmX4J6aqp9e1S4cDnmEIWMBFg4XLojzwaAp
w9TQqAfkB27y68EStbbI83bSvYRcZG8jJ/kFb9YupyOyIi+MdbYfwIwAjLeh7QD88OZ9PZaOaica
WJTusfsVGMkDkKSuTy+xoN8eBtQl3EZQk5/6TSmVcJBP/XTfthP0thHvYFleJR/eEJgMjl9wOjeR
4alOmTkpzmNSpfspGF0wAjafLm5HU6im15eyvN+YEs5V4KTY3qA7nH5JUCYxF8A2pkR7lYFlbGBH
3Vy6xt8cBUQHNAzg/nrWCKZ+A0egrq72tguqpqg7Wf8CNrteSkU433P4abbnFJAf7LjT8lLMUQ/n
XB7tK86CjHvQqMhgHA+z2wQXONJvDIVqHfQr4C/Yd6f+p8gGmGB+GKT7QfOpRJ295IRVERI6jP7w
7o6waMjPAQUIAvXToSDThRVUPaR7NYxp5togzWtykZx3BtyhnIPqGST2zT8GnLnX31AfJwYOD7La
J0NSV1/50CXuvQr82gX1FT2ljK1WtQVo+81v6mxdtDX2nEuNl/NlBb0Y6mQciBuz89SeLlw6xyd8
ThHvjuNWMRPkSL5Oc8MvKvXPNyWewwDrNnkjnnWn7hMylLxx8Drfk3Zwx5JOjdsiG7rzL12/b8wJ
1mQYCG9vKERPX1qVDmsdu121D0075CIB2tSqFv3AaJmL9y/GN4bC2Y53ApqpwJhPecwDDvbABK6z
R2gbfMN679vkgtDZgpP18ZE26BHP+625CXXL6+3SiEYj6auvD4NBzAhJVVzCZDjeTdz58KMRxxL0
wviiMV6CSI7XQ9nK9tIQrz40wfCtScDznYfFKbf/1QWI5I0tsWFaeDBiOKhHTu4s6kjQvtlSH+pA
D7kOV5MH6VSX7/9IZy9v/GUoXsAjRNEJcuTJNcxnhufYROqD6rqdAyJeltLodzdaPFrkx9xP8OJG
swiU+m35oEXFxni9eKEvR0g5DD3QyiQZeLdA4c2cXoC9/+3hVyU0amecTehnoKmI59rJb+R4dAid
Tjv7wPGDdspsOrPmfnFhyvyweogAzgzXNgIgv/I+65B99MR1amTWDDDP3Qg0Uuw7GiH92B2RTfbD
CBkT0GdpUl0oHs++EVwQqEhQdm9sOHjbvF4RMtVwjqrr9gBDsS9KcrygZPtNIi7sArp3tpuw8DhT
gT9AOQps5+R3rjoL/Vej5GFOG1rE3RCV6eh3Fz7Es920jQJFPdpJ2Lloeb6ejl7IKrsQ2g9/8vSc
w9qhG7PVwnw/g2GQFVcr/shLLqLna4gSCDctCPG4m2AI93pQEymB9gRL8GKCT1AepRMwS9iBz+uO
BWN9yVTlTIaKhhlONXezN4exGWDg1+OlM0mpjNYYeqB2vWXtXF/pirR/3QUGoyWEdszAt9emiHzu
JI0Pacq6Kfcdhw47v4e458KL8eyyxOWEJxtOPpSBMO44KTjbiiFaAUST/cKqH+Oy7j3pXIV1/a2e
mxumoy9+H9+0/qUu8zkEhHFxZqCIhxJna22/Xodk8GXa1XWKdVCEZKSWfpawKsnN4JJDa2h6TdKB
XYvOmx+JcbyvVdCGz++fX2fP5e2PQHsLXDQQrUDHfP1H0M4GAbKmUlQKirk74CKJLhFU5IeHVsA3
OUtoNzw0tIUW6v2Rz78oQE0AguDLvvVvTh0rELDTQ4W0pPuG9KrNQhUv6Pmuof1fxsFhiQczzCrg
y3I6w6iDfeSYQtuu4591s5pH1x/aCyXkW7NBTQDIEHUd+qInZyb6o4wM2Fv7TsXxDRrxCGYXbCk+
vmYAGfDpoErFqXcyCgpVkXg13kYraja/nGRDpqIj83Sp83p+JuClB7U00Ek8JJD3+HrR5rBGc2FG
kY9XM8vBkVPXaWz6gov+khf5Wyu3JdvAeQ2ADaqq10MFaeMYJpoK3RnNvkbQXO7DpvN2H185iH22
HEIYgQJ2fT2KHHSFvDha7X3bLCXzuXswDo8u3BLn5zeW7T+jnCybAt9nwIOo2k8xk/dyDbsrRQNv
NzLHu0WfPS7fn9VbX+/m+4y6Y5O2n6awI/ApnYEGocImkTlGa/Kj6e2cg60CLf1yxTvwZN4f8Y1f
a3N82bQL/2CUk0MLGgD4UJC22td0GfaJq3lB53R9fH+UN7Yf1CYYKEJ3ATjeyZ4QfQU7GK6qvVMN
9R7nX3qYWuqW2B2Xws/fHAoNIYA1m5P2qfHWNE4oG3xT7eMm/LzIGchyzDVqHiku3DNvLl0IXvPG
XITI52QLBk6Dzga8wfcIatWZ8Ry/dAMTfnyjw+JhKw8hpMH5enKbCx1FS82ls0+F6aO8iurqJvA3
hdCHf6LN1RJFIk7WLaX19QeFK36SqaT1ARSM9t7h7XTNHZXmixnk9/eHeuOrQpME4i8U8yAUnMpE
fKFWLOhID0Z67vVYLclROs7wlIho/B7GWl/CCrfP9FUBjLBl1MD/5rcB6CebXOOehCVpQw/IRZ5V
NvV+QgtP0wBi+cjRv1DNVsmum0IqP/vNGOsMRgiD/m1io2WJzrbb80xVQ3sPLYg/PRiYfsAJDMqB
MJO6m2Qu43isszVRNgDbyVQ/KmRvjSUu2xn4GqzzVDFwr+aZ26xR8jPq42pTQROX3lWThwOGqMGM
+3oUzq8U1gQJLjYtux0ZRpqWvBlcKPpriGuge7WBmzXT5DS5P874CyZ/GkxeTzX/KmEejmTi1GVi
nzgCNO73f7k3tjy4xuDQQGi5CZG2//4/IKUGNTeA1xCYwBPtnmCByneQ6fwPt+JWmoMkhFciiuaT
rWhs3IGpt8CXvaNhCXSlzfsVUMf/MJf/jHJytkM+Ffl4utJDRfiPwJi5UMAxivcHeeM0ApABOyPQ
I4AwBNun8J8Fg92kpgD3sdUbO22idIV2aktK2q0fdQ8BGLnRcNG6xWEOnOhkKEQaLUErBALlkEFy
4CHeGFZxst8adxeW7nxW6IGj0tv+BejZ6YNSguUiWOSxA6c1K2PYv5TVnM47fwWv+aMLiLYtmIdb
2+Kfx8XrBRQQf0eJgG8rzGL9fO7jsEzrOHwcg4BdOAHPNzeGQhN347GAv3+m1q/E4PchWLYU3cMM
N3SfEZNeYtS/tXabxha6fYAm6H6/nlA/cit9Bs1pJRk6hjw1ubewLzBKuqSbPx9pwzJgFbtZaqHV
fnLpQpnawErQ7Q59PBGegw0CB08qyWQLt03dSy/q0+Hw+2z3O+Q26OqjADz5ntDkbmQk0mrfJguc
RxJPeM2B1aJGTKZr6HoBDjotlbbhoP/DExdtEyjBTs70UHm9G2ugaXCEALupZeqaWF8UQ8fMXieQ
mw6ucC/UMac3179B8TH/W1eQ1U6+MQdYHZxS4as1LIR+cmI7lEuog6OCgOEWVe4l/5htEv+9uDDe
PyHJBhIFmOrJSVjBXGGFENxBc5DBQ0oNf6RHXsSgH6ZEwNGCqF3Lp2PQNhceWW/8mHj7bCDlRvw7
s/uoelAV6m6tD9TzRYrUhrp9WkDYHsppjdSlo/iNZd14T6jmEb2DYvSkxulNUGky+vWB1MjUmxKJ
ip4NCIeqm3k32XSZLxxgp5/6tq4gPmHfgBdy7hoexZQ6WmLAuk/mLE00gj5FeylO9+1R/llRAkrE
S+L1p54kvWxhgl4fggXxgEgy0wWyHT+q9sBc/tFaMR0oBgDCvB6F+HjXhZKyQ4TMZ+j3AqmvEUNW
39AobKMMqSbhx1cPrluoRyFD3rgfJz+XuyAmtQ8GjDiO7T2yTA28MMklE7U3tuDW8gD6D0U3IPqT
1RMsnZMFHvUHRzRd6dI6vFscz9t7prkE+r5xlqBBiackzkp0N04Fio4G5bZpXNxnveqfKAVZQ+GA
LH2qK5EtCEXem7APLygGzj9u/HJwWkBbdCuETz/ucFlTr3NXflgSt7N7NlrPXgd1SNhugnP4cDVF
RvwaK4YcsYZoExfzCGXtB289BGmDf7VhNmDyAA092T4TcyIy0rY5jCHrPk00WT4ZM6qnj13jGGVb
VzSdE7wAgd6/3qQ9nOBCRgJ2cPvBXENbu+bwRPDuWCXjCxXD+VeHodBjhCng5tRxWqMOUP6PnRez
wyzn313n9kUHeGj//nzeGgQHMtCnTYGBa+/1fNxw5I5GxOgBdj7ywYkd2IdFcv3x/ijn5yIaijiG
t5N4kwOffAIAWPoAKCp0PypkD66o4xcn3OINa0oQX+LV64Ut+daAAE/R4EZmCcC1k5Ih0FEz+9PS
oGQI+Y0nanLVUx5cIXlj3Ml46Y/vT/CNZcTxCBu/zb0BEteTbVEv4CPWzigOoZJ6502GHj1GpgvL
+OYoaH5sYjg03k7bLNydid8iXu2gEqtyxltOM3fSzdcLkzlDwrHL0bEEHQpnvbv1dl7vCuPNftD7
AFOaWUp9t4bCVrvUYco+K8Q8/3EAmznXY9/x41xpLz30mPd65Csky3htj7VfOiMEJzfTEMT9Y2sW
T+gMJSt8JVgU6aikTU3T/TaMKhfOJoHC26a/LPa5zT2ppj6DOCjp996gdZC7dkWaQ9fUvfzqVqMX
FDUMqaJPVTjh3oPMo4+LcQWx+Vj7ntU3ZKWwuK7MSukT3L2i5mctK8Wz2gTEaTPbOt5w7flrTOH1
VYESA9+NZNnzIXHGT1D0EL8Ie1fBGqfqR/d75dXLUmpvWoaStiwWYKPBOSpvoPt5tClhUBh7joH5
KnhteJjzqgtiiobTbDwogVVNlowKPbGD7OI++cNr5dtipkSTG1hhrGE+qMjKYmp9OtwuJlrcfSO6
1n2kCVJdCpnO7nRNpZuKfYMzNi6s7GBnkzph6z83UdqlWYT9HeToBNU0m0bEOpls4Ai9uNvsttyb
EPINmLGkHtL54GIkf8LQvzX3jVWJl02z24X5KLX6M8do9FyR1VnaR50k8LBBExHpNY5CtEyR8hnK
yzaC4qWYm3mNyzHhDGduUA3ytnfa2OwcJ3K8A95RU/tpqdE3Ola6isRRr004FdNmjvNphjuCdwMi
okDU2dA05BtM/uIJ+n2Qu5Y7jAIXOhcSBv3LQc8x+gHz8gqlh62lLGEhxGSGCOhOlAsc4inN0hmH
dQ32PDHTXRKixVcqOLkgZlSkNeKYNC5bCuZJGPEHMi6+C0PKaISZzbAsEGsL8IPHYhrIEN/yBQR5
CLVq5RWAW5rpQYRdnf6BcLhOH/teEfWY+taKzI2t30TZ2jpDe2giJ4h/DTQa+3JO/FH/1k7Y+UtW
tXTmJFc+cbpPYzym+AESNU7zVTcaf7gSfFzIjYacp9sLJ2V1WSnDK3psULl6L9AZe97vafZ5fBcN
tesj5I145vPsAZ/eaYfDnYeKmUxfFxAkx6NA75rhW3PNzMvN7kUd4eE/03yFVRD3srGm+JgyS3mH
Zpqnu/kvYLTJK3rUScOnzqkSf4degaSPzoaM79oBRM+Sgl3A8zqdfDzzpoXwXTeP9kUrortyTA2N
cuwZqzMk9uJUqlaFX8UO3dDsmt748juY5kjKVsEcO0fPEePjGkkY4GeBWJNqyrxksOn92g0yeZIG
5n8Pbj950BincnLZmuk1iQB+QlqDop1ZGd65Fu3fQxfRyXtpQzEthYcMhDSDOeX2/zTCDqUgjNPx
akbQCNupYAzdbIyXIdlbn8VpCYCwkp8Uyk0vGwaffVedGX3E4Zlh9HcwG6U/gRwgDnQlQ1MdVrIa
VVpVz9NXJxwpLxNXBCHYbdoEY95SO7UlMd4Qwz9hatSOglvF7wOvd3yaod1Y9wVMjCOe+SIZp58T
or3mo9fCQjAPYqmBA0jraVIwxjpSThVkpDA1alr9Yk1KxI9kcdmc25WmMGQEWyH+Q1qNFK5sbpOJ
7SUbSW794Rh6E3hJSb8kpR8O/YPPUWXkcoz6uuiiyKYFb2g95PCeHfpHjuj2a+CAU1N6cBuyyEKN
OLupFr2ybHXihoMYlprxMVmh886mVloHyraq/r4BuZRlkZ70muNirIa/3OHVsyGazVerNJUwoCol
VooiZi0NcoCbNtFZjY75CG+jZUaNnxnLxrbJcJZx95YwESxHEgjk6ESLx9zPulIzNkDVCrsWkWwc
uDGnELlbmZGgcaMHrKy3HrsUOvhPcMYIp59zb6KxkDYBtTobB9qbDL57MtrrtI38XJpxktCbRasf
Cyh8YIZb+B0b+A1fq1nBf0Dp7fj2ZATRGui5zQMTmtEs7qX4CQ84WzfQvutRFywe4Qa9hgp/22Bb
BRvJYe4jct1XDjXHNRARVlENWroc27YakyyGf2Ry5a5eR67Spu2eU5C77BUlyyAzlq70qu1n1zlw
rGq4U7Ppo2ziGKZopE++DmnQmHxGVBOa0QE1rFiR5hDdNrh0nTtWY0fMWe9C93mbBDr0rvp+tPVe
xjyJf/Km4usdYrTtgBur9/RwmPmSKJiuWxS7j1WUVvoemivvKe0agEdyDcYviQ3Irwq2zIijxs1U
5Qhxmm6G2rRfUUPQB2VN0GZaoQd3cJgbfYWs0L70Us5zDpR+DW6QWhSHV+geWpaxebZ/eb+Gf6pp
RkkYcNM3B4nUdhxLig4uAII0hHnQXRMH8/KiiYVKCeS6Otkl7VrjK/LpGsVYpqgyTyJcfHadjIQh
grzHfdwiDUfN0S0Yh7b5LeBKEPiwjPV1+0Kgn2hB5tdL3CGuT0aezfDFre1egdzZPlGXJmPWjNUa
7A185Lz1od/+4UV0vIEDiyNUYCj2LYr1XSq1sbkL85xfMqpCBOJZ0OgzPvDRuXV6f3wgA1D6Kydm
fb2VQ2GT8b72DCoLKd3CX03405lHBlMrznj4K0BkYJMjxoWqJ6cKlcjCCHzJW1NRNnhFiECZv2Ti
5Bnfk1O9SKtbVi7EY/xvgwfYnEvQvT/ab0UlmKIbvhECAWVDCvq6EkQF4eJCXOTBw61YqNCJcnSS
QJoTflRcKDvxf/UaI3o91EkNTXxGFgCA8tBi8W5nKuR3N5kuIf/nT2S8wGHMDOof3nDASV9PCKm7
XM2LbQ8MYptjGxo0RMgaPi2J7F9YNLoFn5vg8aNTQ+91E+zjkbWJoU7eP8q42sZcyoMmM6fF4Jlq
K/ncS1q1c6gBRi3ouW54Ikiwp1BDb5nrtV1AD3MbiO9W1HqAG/ScuMWyus7/8BSGoBYG1/DDA0Xv
5PfyILv216WihwQ2JA4+K79+7lBTL7kC/eoS+/psahstFXTlCDANHANOmaNyVSh7ieoOc4yjsHYS
8RNfpQ+bzHb99P6vdfZ4xO4AdgddIXxVNnb06y3SKFhOA3caD6bCLRk4bpOzdHqBRT+sgv0PazTg
WwiNMKS0EfATJOWeoFCRYnqeUg/DIX09p/M6bJYqsJ8PwYd9f2ZniwjoAtsC8BqwQvhHnrzr3GXg
SFMIQTFolrjE6yR6TifBrrpFjH8+PBTKQ7D0fMD2cDU92fIpFEexWTHUmGJHNCZhmREN23dcXbKt
fmNWG2YIijkcatCWP5mVM3fW0H4kBxJUyEcguM7ZJnqyIbtkk5WcnlE+ugvIzQE1aXP8PFU/EzLH
tURD4GCWgOgjeMTeD+kOscq8uuYvPvWqR1pjoqVYO9aW76/p2ft/Gx1NAnACQEeBscPrjdmSemQ+
xeg1Xr87PMFjXEnRJdrZW6OArgzIEmMgQ2dbg/+0+vAGUSGejN7BFWgGwLDTFC5cQS4ciacfGfBQ
ICXw4QZrFHjJKYkYR6LaNK7JwUqSHDu/X48iMH8MZPm7wMhLS3e6RyBK2dos2IwYDPZtJ5Ma4aAW
z7KtDqDBdLtuTZbC9bXe05Recok7XT8MBYrqv9ayDzT01GGczQZ8oQXQK2qDMBdgpB6N1vQC3Hm+
fpuFAY75zTEYVdQ24f/8SilMkFNnjpLDTKNvIyU3Qxt1GZ6Oj1O01hcGO5sS4s+3kxcHFU5F/MPr
wZiE33Llrf4BzAI1FeOiUYN2TPAf72/ws18pQNsXolksHx71Z9UGxVzSKiL8qBcNk0LOuzbfOA/P
1NLwwil/PhagSJxN+KRA8wNx6PWcwsS0UasCcYQI378acHHdwbzCuZ5AnL6wfNt3+d/KBlDxRgXG
eQusBWDkCTTdeMvUyNQRxx4xdqS0DfOin6yvgGisXhU/aAVZwL1nq4bfWNqJJ3dU1h4+urZocoDM
BlURBGfgq7ye77rxy2oCjw5/UBRO9tS8kBHsmIyH9FLYyPl+QewWfJ/wY6K3iJf267HwRAPRnNby
qFZkls5DFBbxzKLd+zM6c/XBuqKAAwcYwRAbyexkmAp/QuS1XnvsJjxUkaiMk7lYWtfyHEBL8jym
iMc6ArJAYls36Xm5SaB1Xe8rsfAAyEO9uod1SaLPZKIjHB4axHUUI8RdrKi8iiMYXQ9J/1I5fHIh
xaqbtClSGiPCVsYq7suwn5fuoGZ3nOGOZPrpGX6Nob1JV+QilYHuLuVN/D/y+noroSWwdfX/yUpg
cvV6Zb1R4CGSJvVReBKlzw5vv8nlRzds2QZFLX1iv4SBMuvz0K9z8HVWniQsw3/C/DuwHZqwiEII
au+YAD3mFmpaOudhNeO3QuTOSh5aykVzMICJgGOlSNgrO44E8GwC81P+sgLEnhwCAHe4h9yZzseO
onFbkpj3LLdeT6sCABN1nkdPJUhaVUvXlEvlO7bs8NDgUZYKd/pr0DkJik54LZ7ZTZ+EBzshAjnv
ap9MsN8wA79dZyHZTad6GIh1YYraKGlWn+ZqASMOYtlG1XdxDYPMMjTVpDMmXH+5DgWkP/AZZ+jU
38dDnLT3dGj96AEfWo9cxVpXbU6mpYYeIMHL/5q2sneeljBlwRXO1Li7Djiv22z1/eUHXu/KLamN
5XxHkOSQHMEDAPkqIxoa7kMIAwr9t1lnwBiARAMkRMi40nnVNE27o9DK82LFs4yUtdxijKhI4r/4
RjHrCTbH5ujytje7tV1EmiNYqfpJhYAppk8RCJQtiROKbFoihIkx403Jfqg88gNXgmyx2ZnUB3cN
jSrwvSNzvh/E6D5N3RI9O5NdxMMoqtApWdV0P6AqdP+y0aufFu5qGBLCqhfItLNlXYbNPA1wpRnZ
ZwYsNS3iKOqfeLzOD7pzDISc4ezcjMsYTjuJFFUKDyCUd5lnl17lcSuhLBdhHdO89axIbxoRh7/c
Fgh3iQaFIF+A0gTLTa3S6ifMRXlVkC5gY542KV0pTITiNckbGw7PMlIwNED4hda5q9u0LwiZJuC6
kGQyu0ceTApfdZe66pm66SKvYTI7Id+8Xlq7n3ooXK9pFfjfJx2s4mdU06Q9AJZTziEMFl882RQX
P2JlXM/Jhj5OH3S0Wn/NLXEo+QxxtPfctkvAdwJGUrLOOpQN1fdE9Qn/AzS2/cwZ5Wbvds0U3i81
WqmFGyiwNuTK8ZMsK9zsn6TmQ523TogAK8tmsuJl5HbwQnGUg/arJ8bkVlLZmLuOO+73dgWz6uDR
LuE2hxdmbB7SWcfq15RK/hIgGau+t7PsP03JQsgnCVcGjUZ/swCm4vMaHRPdKwj83XgSL2HaLGGx
DClBUCUw3L8zWtI2WzyDmMUa7ntulrqOO990wdD2N01s2TPsj1wG4gd2fubzpYqe56lNx7/Mq8Cr
nhfh0kzbSr5MAVPjXT1aEu0i17juPumbKLzqevCxb0C9lcEj7yp96wcqhDVpBL3+bVfRgRVkgDoT
YFIP7M5HB2J9UNAFN89oDuBrFECmSYbtRWNUSniS3YZ1ou6RHIDGSAhnDZ1TvyJpRuCR3ZbCaeB0
gEA/2KYByu6OU42o4tKrgOSWsQtVa84C2frZ6Lu8L4C/A+GnMUt+uU64NtcA9Wi4W1B80nxsU+8R
LmUiLFbajgJGId6IbIIkGQFGTfWgc3/aeJSAbJL7ORDofkTxElkELy4K2gjjdzZn3oDeUmCcwWbh
2AJjUnWk/SIBKR6hRXHS8OPk9W2ySZBgI9lH0XiIk4qJnFEHuTemYSG8jmKP01yjZfLbm5BSkmkY
KqBlDrSO5yGv108MtR0tfV+79zVBI7D0CevvIO3H6tpm1EckmPW/ogFc2zLwWfAA/4Sugev+2op8
md31V79SNOpD+CsdPR9GiSUd0wTQEwqDzFmQKVPGXKkS1v3rl9rUwrv2F6/y9zHw7j+No1sY7djO
hjiL/SoqHDrHX2bw/Pt8wbVEMtE14y2eQe03ozykUlGPW0C4Xv9I0Er7jTyB9ecoLf3qjegN5Dql
vZ8P8Rhh5Ugj2mLycD0ApIkBrjI3/NVoVn/jTTKl+ThCqo9MJ89OmbNCp1ygdZ3Q6wn3+R8cnr7K
wOqaSNYFM0H3DbpOUzDrqi+hWZMUcULrCr2MpF+S2Knags3wpCm5STjYrxbx9LAga9GepkH/GPRt
+mPydeflc6ja6wHdxhUqGNpfsdQzpJgFghGQPuKtQ0bSamJlyrX3E9ZeSLkASID1pKlTk6zhabpk
oQZoCsIuiCb7Cd2BCg/G2J9KT7MkzVGirGC4eJFVhYCE4rpCosmvdlotYCrGbYZVhbprQb7zb8Hc
Njg2ETFNPkYd2Lodnhj3YQOBQekLSDFzxuLkd+wp73McLK6T1djCaMJ5wLrM2g4anDZrcQD3zAHf
Nq3CsGDVZIdsRMI4cp1xeH+vTBz7gJzd5k86Tt63akIsUymG0XyxVqMBa1Wcfhb1En+KpREIZ7ar
uKlWAzJg0hujc9gNoISiQ4eukAMW0zfkwHn4txMM3It1QPRa0ddkvoWgehSFQXl6cLoUKwOFJ+7f
JNb4G+E2I1lh6hAXBiCsgeA+6+Ykww5xH/sgUr+HGnc32EHca/NK4vIp+8RZHvHLTV/GQYZORrhW
nzwkMPWZjoHhZlrX/i2v53gu037gsnBB2jJZB+444qigxfzSIXnRZnyCBnk7WtHSRdOlx8FguRIl
mKT0Tk8jTGlXqumTG/CR7vFuCI8eLncfIu24D7NhqiK6i1ojPwmlY/iyLwKdA+sh3xf+cyMOmpkD
L3vSbduWIMxUohCJDD/1MTqKGYpPX+TztIRPbHAmWGXDfDzZrU7QxXAUFv5XZ8UXgqkbxfJkcLsX
sUQjrBfh7Pq7W7pE5xDlWzQ/qhWiHGLQwb3Ww9L+cPDSCfGxkBTfbZUwt1ziwccKO/Pyw29dUmU0
6rqqBEe6cfdoY8IuZJ499PQaRnWTIW8P13KvgtbAuiZam5z0Ul2hy7A0mZ4EhVuPBYKbw6RxeIJ5
/oLmNujqt7A0Nw2A7bBPMuQ0uU0xrH3CcmXicNivBmtWNmvAdZ4GCLnMZ2dc/sI+Pvys4bn4tUX7
+EEGqR3QK7N6zHQarV0mO7vgtrVN/wewrvnjAj9LcWYP/ovqQS64cl3pentqrbrxhxX0degH/4+z
89iNG2nb9hEVwBy2ZAexFWzLtmy/G8JpmHORLPLov4vzb6a7BTX0D6BZjDEuVbHCE+7Aq7n2Fm0k
J3YyesBtXX0m8Gq/VkU9/LBjA9qbqZfTJxxxu/pANcv9XHaz/s3DfMANppkyYQCxhjA3rxbx2QVu
8DxhII4EeF8g4aErLcVbMDWV2FM/NR/WzHKHXWWvSPI301pL+lkri9T3Hc2L2HZitfVDu1NBfDx+
yPTaTzBUKYvnXJMeiuyqMvS7tSnnajfNQnUcD96+0Jwc44+xcAXu2n6dfzh+H39B3thvuNOJqQK5
GngFW6gRToE+6J1xJEOZRRo6yl6qu9z0ZHYcRc1pBJudjXftZBfz7xG1n+WRANwSu9xMJ/1LvCjE
kJltH991XTGuB1aprI6qShw+KN6SwPtHq49/AO9Ilw8EDnnzzbJFL/a1p6w+HP0+Vw8teLnhE9xn
p9s52kSW1hlWaTUBhqdc3sHY5NLbN5qRVWHaD2nyTbV5RzOd9+S3E/tr/ALXfqZlU8ei3ktNm+H7
TEUvIUnyjDwC67O6XWL0rvcSb6J0B7M1ZL2vPNkVpzFxyHlnZDXWgxMXhvdg0eCTP23pDWKveYXh
H3AZHJzfEOpGlkAXC2Cluh1LfKt7GcU5dIkfdo0l35OfJGKN1mWZjQhT0eVbz/7pv1ruqrdJUEB1
ah8ryLPOE6gQ6wtlKEPsWaTcSYNExfUYih5bugiRcH+4d4aOTAdF93qM+lmvi/tZ6KWHXuZcew+9
jTNo6E657RyyghYvz3VDuAn7I8lDLR9bdUcQ4c4UKNu23umkVvMvx7CF+YJk1wJ4gsTWe3AJQL92
DTyVrctZ81g2OtlHbjU1SZvAafo7PsZl8mUUm29SKEhfmrBqmqF5sWFR6yENlo43LsGld0ILV47z
vlWTaH4u1QglFcel1r+3yFbNJ5wvRXlsFyNVdOWsWjwhXoWrI1vRMtjyqacl/l5ljSqjmutyetJV
Rehnim727nEMn/1151WAwL/O+N0tuw4vvjIwYrux78HTZP0hr3x7vYNOZKPJSo2q/lMZGXbcmMOP
a5DYU6yHUF2s6lADWs933kwK+7m02mFBl2ZxnaeiaN1xtyqJdyNIhnX523YKpF+g6gVZPDXUVroH
Ael5p3pSebdvEq1/7gfRmEe6kS2ZjFcMpXZqU6CIT5SedX7Rte79gzCXPJ0DbD789uTUjd/cqC+9
UsrixgSKT8FFp+V6WQs0IfWhg1NF2ViP+zqJ45CD+5VC6BC9XXJ5bSQXYgEFMyhhVM/Oyw9m5mkj
9cgqmvUmfcS3/cfqZhQ8+uXb+wdCqgjiDNVuZEAvAHyZ5TW6xhUd0T6dwzjWMIynnhGm0KpulJEu
O4IUATUQszboR0akmnQ+J6UKouS6bCK/9u1H6CZ+WJTDC5K3KuJGMfeAPP55e3bX9THw6CwjfQSL
fsUV6pKAqiFRrSJET9zdaCYjN8dkvvtjkSvRdyTopV9Aj+58YoUmkALJ3TrCkiDD+GWW5SmlUrbs
TKQJbuzB61XcCvmw+7biD5ITF3swseGaJDXZ2FbL9HbCaVCC6PVxuEvWISHt6229RADIX95r17M5
KCFryg/YX/bkRXHa6plYocYmcrnP8qDqKUwHsvMMtX/7q11t/q3TyRlD02o7aVeUdN1yVg2ETLTE
yxJYMTAOL/brUFC4vTHUVXWfuimMsc2CAPjvVcHdXgCwumgSRotqjH+UqpywGhsH1zW940Zsp/d2
YzaREK5siu7w4diZ51tlQmVQ18a1iNa0M74YnLQXMAftL0+M+WdMqrMbZ+76AIAS0DaJZJoKPrzQ
8/HauOvNGLxsNA/CDJ3W9T63dV2/u53AKESxcBZo1RG9n4/i1HGzAqUpowzMKJHmgoduYMo2BcKI
yPwtWaHrSdF639SX4Si5yBdcLKLqlA98rswiM14xi039sf+fh6bqe3UxaEkjnQTWfVMO4HK8qORb
LVVe4Cw5eomouyfpwHtm0HKs+uIWlexqH24NGYxf0RDcrqvLu7GNYyl1zNYiUTXdrrD88Yuud8Nu
cjLzJfa9WyD+qyO2jUepibnRh4agdP7FpLNYck3GPHJ6Aopynecasd1ae5BVLX68fZyvPhdnC+on
TB3UPghrL3ZHYvZIX4hxjUYrm/eaX4uda1XWjXvxtVF0+O48Zagv6JeCyCk5YKZrBIgTioi/27hY
vqNUM7o3OvtX1y8itDAwABIgxoPk7sV7aas6M+bG1qJ4hiuTS7+LxhKOa1DVxRrkFPWTYM6S9e97
13CTr+CZobMFPMO+uHv9gjwOM4U+WqTfHzb327Bty+zG7XS9htszyQqCSgc+c7mGfENzLMHDcTsh
3z4oCl+DKG6BI14ZhfCJBeRmBxt0+YLVGXln4dVDZFli3C2jdEMABcPu7RW7/lDb08EwYC4pW1/e
tFXZFZT2uiHSeuWGeY+k6VzcJ0lx7wGuDcveuvUyX53hjXa0tVT1zdWQbXJ+ppzMovqvCAVFPi7P
Vd/Jo5+o/tC4sRnJoplvhB3X6+jS8YMMsW177t+LeAqSm9RXTZ+ifPCT0MXbOgBKOL57HbkkeKsA
KvBOEvWez4rFM9FccGWEekXyj5uZdDJRbkm6cJwwfr6jVeJ/0uvGuqWQvP3FZx24Lb7ZrgsCKyhH
l1L70xCPzaRKyIprs/yjmVO7l2m93muLXt0tNETR2S1y+0UnDTi+vXeuV3YbGg1Kdjw0p3/7of/p
+cumyvN1yOZI8wkby3pcIiOn6vn2KFd38DZB/1/XV94yumXnK5sWaW/IapqjrNdpKaLP9mB2dMH8
Yb31Yr42FNo08JvAQGEeebE1dQ8XCXruc2S0phVoSvX7xcvcsI+9W81i/5XPRjTAhuSBYYNup+Q/
a4dwR0OcnwO41sv8B1zCpKU95QgVojOF203crfEH3R3tn1OqpjLUEtnc0C+7Poi0/kFEASBieYGJ
nP8KssercEZOOZpTOAEHY0JQ+2epUY9zK1suH2Y6M90N/utrW8b7f1cNLG1YXudjmjIz5EilP/Is
6h7aCNkRgw333UceIAr67tCJEV2/CrQWShrxWDKKAB2/b5qenmQpP7+9L6/k3wi6QTWSyWwvgQXF
73wuLv29Gt2KKUrdFGJ2LQZusdhe5vWJKpQ1BpUp9Y/Isyw6F6tWxsHiOGjdlW4ihoNOgbs/xmUP
PSFt2lkGUvVpsQcrree3hDr4TS7vCMzsCWEwHELj72JfryLrLGD9U8RGnp9T3Rn+ls2U3Vj1V7Y0
p5TLALQiQdNl4oMVX+GkuPQh6GTXzge2dOKEhaaqbIditpPddda6/J4NdCEO2JEMWtjYXnyrJPDK
DgMNRvUB5VCAwvZF5KHnnXIlrRRy2do7FI7W3SNb2u/f/vjXz+bm8IyYEKk6MeIlIy3BzRN7k0xF
xBvVwIfVMj1UfWn4Qdqh5vGYxkLkj3Sji+XdERxKaCZzJAQm57ok6BcxyKclLlTk+r28p7r4yc+r
/v3nlOiGQNvayipkRed7uzaNZJ5z5lcOC8L+qV7tO8HN+/YqXt+3qMjyOHMFbpnXFWBG0QVPmgWm
niQY3EG8cfPARfPf3rtYz79XKReBLnDPwIA2+PgG3j2flIWXtSqwoYj0eqpRbCvJk7PFsE4x5MBb
OmdX7zKDQfgkkWWLICBysYJFHWN7m5hulHde+09GPbk+jnLwxJ02cdnvoCQJ91k2evFiIppnhikq
+WVY4aTQ0oiyix8pnFSSnCVJqw88B277cZmK9qswrF6GXVWkz3g5+SpY6HR3UKjk1Mp7QxZFHWbU
cH5M65x5O2qt1R/6fGUVlX5ZfjNTm5bTjIOC2CGKBfLfNpe5iXqkVmy61lqRfaFAbuGIQZOnPvSO
8pPvK8Sfv9YqS+M3ToBVGY31kkyfjNrjve8geo84forMel5xzezuR7IMoCIG4et+XONBhpZOrTSY
lDvd8pO5OoostEU8vpl4b9XGi/iuGsc5zTPTjoTUvqLDaXGdTkdRtNC+Smxd3ba/cdFdbVtG5Cal
3Mjn3Vj05/vIzmxvnWTnRHQOF/0wuAVC4gmsmSw012R6d5gFypwQERFpkKkmx/J8uMya+3IBuBGV
toeAQ0ubXlbx77eP4lUwwCBEkRi9bPkur+b5IDwMMp3wzI4E/pLhWOtDRj/NkA9WkXYftapwbpz9
q3uaAa1tGcnVOIuX2lHoN/itl05kiD42ElZMQx1NbuPGp3p1FBjeUL23gpJ18anmtPAho/la5E3F
9FGB+fq6zMktVspro6A1gFw10CabsuP54tHBSxsT1miUmkZ3l2v1GtCgv1X8uN52UOJ5cPB73oLt
S/1Rw09m9ltqR3Btjb2gjRSWek3D0zJvPW/XE4L78m8BlUImMOWLLefScuXwG3bUq63xoaBC5Qj3
3njJridENZj2AIkgqedVdWUT+0wMuXqRFaus/KL5BbZrtp63xR+Edaznt3f49Zy4/G3OrM0DwGtz
sRUm8L2z6jsv2sTSvwFWzF7KYrklufLqKGTUpmm6/FwqT9ZjN7RtPHvRqHvjSzel470uMvXy9lz+
PfNnER1FAdCkXMko+mKteHHpYXGrWTCT/YhWB1QreMgyOywoEHQhVC3TPLnm4v2VSi/+F4tuyo9p
oslfdYa+wgE0w6oDuyxj/fD2r/XKB4UIsAlibhLD/Jyfg7kqE6+LKzwACz11PioAI8NdZVfF+nUB
GfL37dFeWWqQp2hLcS1SIrnixQzJ1HazYjQns0POi31w0LnZvT3Ka3OCBYOVHU0mxA62P/9Pojam
Y6MV8eBHM068QL5yLVIwvgHyjTJ4e6jrlwzDDWpS0A9w8iYNPR9qixdot/NRbSuvjh4BWLCil3LK
eq0ORGJrf83s5iF8ZRUtikzUl8BjbwSB80Gbtmw0uGZxNAKlC1utrEJtnG+Jl14/L1hgbaZvgBEQ
cLjECadgrKRuxnGUQu98arKs+I08OwLZE3qIHfWfG8/ZK0tJOLnpf+u00qC5nc+qnVVs2UgpRDIZ
/UBoUPO1xMm/aNQcd77eG/fNPPW3bA9fW0t0FzG/xsUCbuDFB9TsYUrjOY+juuSl9rxZO/rGeov0
8+oosIhRkHJBmV9qzi5oJljWMsSRuZa/0ZSZ92nnvTuFxpMZXxQeG3pZNCG3X+I/277SercgNhfR
pDxjt1qGOJSlU9yIkl85XERQ6MJTEoAC5l0sWNrBDuRRE5GyjCzsDbs6VM6KbMla/3r32Tob6eJF
02wEFJKYkfwWMTMXtv99otkc4bHxKsA0A36lZSyG/dvDvjpBdjw6o9QjKHieL6NR4zab6ixjOWXx
L4oF+hDOY9+toTN3/c93DwblDJeWre0Op+IiDCEKxtqOcnxkEYJ8NPFBC/R6qXbjoNk3akev7EF6
m0QW1Mq47S+Ze2tmriAj3DjKVB8jmdHBN1fOe3X8eUcpfFNl4TGFKXhZUch8bLAGZYkI8XowgVoO
wtYZ1d27l81nJii6E15t5czzbyRF0TjJkiWn2BzKzSnX31dNbz40NCw+vj3U9TVI5487lgQCJjP7
/nyoccwmQILrEo0q/Z+l4r9+bj6vWoO5SVkc3x7reusxFp4Omx6strGKzscyOty9kmleIhh8JgAM
NOPRhveQhPHn3dtDXe8GhtoUsEmrkQO6bGwumZN5hW1QSSydOezBOu2yVb5XHfPfrpVGdQmlKwq0
l7CSpG2IrJbZiiqhy13jpr/l6jvgu1Rz4yG+ng9VHUqiLv9QLbvSLZsbQPk6uQlSHetHjPeKU+EP
6kaN5foD8c7TgSM1oYKEiNf5ByrcOEvxQzOiWKbWoR3wj/VXrw5Kfb3lJPvKhPBdg87LB6Jx6m5/
/p/bHDBH7Va9MiPkxDZZDw+ApCrcd8fzcAA3Ji9LRzThXuSQpTNNeFo6ToTlKj3Z0fuZls7jmlvT
jVv1ejrEvqRBcKFhBYF/OJ8Ocjer2bi5Gw2p/o+0k+zOKpR1I5i9DiEYZJsGLENC+cs+VZzMKG20
gxuhPFJPgdkKCB6Fs34jTRaAWJGJQF4BDNt7ZQA36XWsV4GPQK0iK7qIXWYp9KLvgd+ofujuUnd8
1sY2vjG76yUEZ0SETpGPmgJ8wPMljL0S5a5WEqq05Ay9UnEgOm28cQe9MgoJ6ybSC3bXpbR2Pgo3
U1pRXooja7Hr3WQ3dZgMQMTfvn4oU/D3nKdDG6mbKxwQKZVE4+IoaRAeurTN4qiUyvV3Ip9c/W6Y
9PQX6gryJemU9ae2Gk0czFRu3G9U+ztvczLzF+BVNujb0C0mo3w0MgpHz33ZiunL1qwXhziPR/PR
oONb7wu3rONPJKues5+1WJeHBKEcAbNCM8dHsAKtffDogaUwxCqKarrRACBP6mKY7+HkzMsR+Y8R
bpVf+cV+bRPX2mmyt8HfZs04nNDqLPUHe7GlUwZ50w7FHnrUuBxHpDvWO2fSy3iPQ6VlfbWEmF+y
ua9s6EjIa31qEdOy7mpTpPPO7WOQr9piVqXajWpy1rty1Us7MhVFl9Aeqp7W1pJ2w/OCmbQJK6Ub
/ukrNfSPTZPTMzR6mXydBSrZu0mL1+SDnE0cDiqIdf1u5SZegWSDjty5XW9/4dy3yZ1jCoOyP1JO
YUFMae1rF6T0B+Ua9afBYMaPyWyYxcFBIrq7G11rnfd+VirkVozS8qPJQgQq36GbXy5BUwtEc/R8
QX/FreT4dcqm5X95K9HQEetY2uGU63b5rEyaPBiKmjO8IOU4yRCU4MxwtULaVWHqafIQ8XIBGnGz
FXNG6C5TB+EGHavqE0Ss1H9MofNVdCN0oZ4oXabun6UTWvlzaJVK73WJEujRwrlK+264K9wWiV2d
OC2G43aBhsQG5b85tvP0MM/ZrO7o+HanjvroN3tohvxUdzaCa5CpRAVmxVLebpWzPh7yGu+S3YzA
lzrq1ggWv+ponZxyG6fZk9sA09zZaMd0YTMqKe6sDNWGXQqCqD7mJcHeSRi64gW0+CwPpN7L33Gx
R+PJVTqkHwGq5Wev2b1HfcB2+ru17Wu5d+shQcLHyNsJ7RRz/ZTFseOFAH3T7MmaKDg82Ougjydi
8jE/OjkKQrsUJAxaQTNGqTb0K4WcwdJaNcJvi1At2mBdMdyrShVxuFSWRDeiMdYq7MdYJME4mLna
KSe3oXTYQk7B2g1I1rQOPrabdtBYnoZYTCrI2sLs78we9NSuQFZ52POmlAt7pdW6kKBdgo8XeMdO
z66v+LwJ+DsVLpnnqXu/dxbzMGprYqGaNs5yP6dTMh2bxIY/EdT+YEwffRpCmBPNsSb2CH+37vcY
s9PhwZ8K73sqc+0zMmy+H2Zxm9YPyYS+QqCV6JUG0oQFFRZrz37aNOWq0HMmEQdrAhEhnJpU70JB
1hZTBHZUHmZUQ5bQKaEBEKxYmQrgkPsYNVKU+VAvIv9s6K34bCD5kn9MMBPTv/bzWqmPOvsFcWlM
2JeT0xXKDeqiG6ofcG2HcTcBVRM7ay6B7XZO4o0j7Em7XPpQYffcBFll4G+dmrP33XbjuTlmyupM
SCd0vH/JFHtPcNNQsnrqhrP1XMq0/N9ot3p7nHpzKUFKa9MLsOO8eF5cMHAfXDgB891A0aP/ggAS
3z8b/OalE1Oi7+AF+cDG9Rk/4g6Xgw+5xDn34COp9nOwlzJ+1HGPTPc551j9WiZ9xpit5rjfT2jG
wluF+Dc8jHIZgXCDUW1CcP3ldNxcSp29HGx9DjglLCFcnNT/wTUcF0cYZ2MfyM0w8m5xY0vexanr
Dwe/xFs+7FyMyv+hs9F6oZzHxEC7cEUwUsy+jkQdhcD1wZUY+n7KOgeKV7PMvfHJEXOyHsdk0uaD
WRjDtzV25fwhgUzT7TOtLdvdxKfEcr1b9H5fTe2qnrIiiaEW9gJ3ahSc5KDhJzIKazfOoka1z+4b
64GnNoauUtGWPKT2XKgTVgpWe1+qQc5RhQCX+OCPbWEFfTq7xkMxztBYBtNXQ+StsbE8EHTb5u/Y
sNVLqczJfLa7zne/Fq0n6m8xNU3ts16mYxGVo5YNQboqez1WRj085StU7IOTQ4T9itHbYHeh7BZb
7Jx4WmbefBXDRWaboPmHeqQHyQilmXanQQqqYCR4vdgkrcbkULcoEx+qLi7mUA1CGk8Ym6zrwZvb
tgllmyxsrBWO4tFrRwe/y3IZnO/cWLL5taJOK9yw0coadlEb19OBrpj84orFWsKx9WL3NAjaBVwP
yZpGHHD9k7M6jbYfVS+NO7/HhPknXKGyP6Q5NcgDXYVSN4O5EEn6MVvQ2AXQ3toljSZLrAdlk2kj
N0fSjwhZsv5IbejQQ2AssSh2ds+9CVegbroPPv3b4QSc3fwAr6Stf2mqT+IdbCMS24w44i/tK9Im
WXhrcwcgrMNvTGagiaHW1fYfK0tovqG/0fS7kruZlinMdXtgnVez/Mvr002PvvCEHyx9haGEqHI9
CxHklOJ+yHNofP5Cf2VvN0jfBUiSyjig/2dTFMGUkhDTFqsb+s1ifGntqkf7bWggc62r5z4l2uDk
0eKueb5fS0sgzl5pQ7vXeDu1o+MvxDV5o2GqnfCV5giaommH/E9e+VEgc7scPEVJc+d0qY9x3Zq2
nCSlj0crn8VLn2GM8dFdCl0Llmw1v8skkdmnXHgdx3JFmIXbDGmx4Wcn0P1KA/ZIPX1eJ+H6n33E
HWAL0T00917Z06xARh69NSQvnea4wur8hhmUBX2KXzLmuU9dE8/GRGAkvixi8/iqS/UVHTwAONy/
6wPiX5YWLW2eiZ2EJTb8yeaswRy7n+qfcKBi1GeBYf1SEJx+zfBT1v2abyCh2R0N7uME9g90P6Mv
Dhly4X/wF83U3oBEkz/bqZ/VD1VSdQbB4dQaTVDOMDF2W/KHt0S9NNlLrvKif6mRz4QWa0zIMih0
aaA/z+b8kV4jfuD1olbxeXEMWBVByjv21QaE3j0rEv5uV9GjzaHG9ctT4aay3I/FMjSP8zQl46Mr
tEndQVvUHmA04N6WujIvWWbRPw/aaNEhzqH9HJthiN3QA1mghXBzIYMQXfIbQRKvPyWILTafNGyU
naNnKfs3EubstnFI6/RDnDYKxzaBDNkDpbBpvSc6Xvu7NjYy9VR6eV+H6GYv7jHWRn385aJe97Fa
N51K7JKc+disejZ9NCdZ/eMN3qBHvSX1FzH51vjbj+PO2NfYuyyfPf5TF8x9nizflkpA7ce/PDt2
BKeRjoqDHaJKYs/Ebjl3ZTu2ozrIakWkYjAaiiRBJ9se75/WQyXzZCLqCbiig9YSgpaOeWzNuMn2
gybML4lHffGgcGoHOrB2FiY3iDJ6blAJCwbnaHk5V7YvGhmaXiLTH2Y6e+ZnL7Vl+zJINkOEnBxu
Rjb/XeySYdN0CMC4TNWD05dVi7BgXlGbZLPanxJrdPWnhg3XffGS1hj3XVwL61hz2wPDcBb7QFZo
IilQQHu5rytIqXjYWNl0X1h94T1AFZqau41P1P4tnS4u94P0hMN+LmFKTm6FjnGJrKY8Qr4Deonz
gyqDYTSM+gB+2DU+GKIT8b7O0hi1QOQVtfGhReJNKwKlJRViFSrJxD+lFxfyUEm10hwSUCQPOQQI
C6ndbOX0JNqmbkiLCQWsjiutCVWu4qex7azPSTfAeLP7TA2P+N7WTpQIXH/DRBPVNxT32HBl7zfa
IY6hRAYTXI/mOLfxqD6UaeJWaGNS0UPHZbKG8pPtKnhxgXTUpvheQ1d48KuiXz8ttiPZbkIZ07dK
q1GVzOE1pmGc5KsfQLQrtKBpXIy5Up5CZ/MNTX628xzXIXEb8OF49dPdbHINBYsuCbt43Jxbljlb
ffY8sfQp6JO+kluSL1/23uO6yu0q9n0qkGZyzHxkVJV0zMfFRHoD7YNPTZciViGqZUBq1nqvzQ2t
ErD71FQopmwMp4tCRyLl1LRmH0dARqqg8UT2BLsEyzzc0p/eTqL/rT1eTBX9FhomdJhRjLoU6xNe
Prud8OOoR8k2D5Sn5K8EGsbnBkKuG0ijLX42RbrOQcUb8+wXieaHayGy32//Iq8sOTUxnRqSY28N
t4s5o2mpNQADRYTUbBMot+gOfHR5QNumP0CXHiM/rfB+yIZ0B+Pz+e3Rt7/9YhVAJ1OCQS0Oh7pL
MgOyxx0Pa5mcOGFrd5D96sK0JKT5tqIripBPBS3rVv3ickzSGTDRG4sHhMIVJl8Ts7K4d+MI7jgZ
nxt3h9WT1pO1IOYgNX25UZXZajtnc2Q8KuuAknAs1MBe8Of/rQaS/nPa2VV1RmdCt1vrtyy5UHOl
hh22dfEjAfr0I3fkLSGmq5LnNrKn09nfJAapgJ+PnGPBNVAwoU6TN0VYpGL5AHkdIWek3X68/SGv
ynfbUPQoaKPSCKQhdz7UQM94rmc6gCAyl+/w8KvD1DvdoUIo5ZhK0jcAYuh/vD3qa0vLF6SRStmd
ZsLF5u0JlaSnaDMlevGt9Okv5am618fxt9mQzEKODQoHCYy3R31lWaHdUBHHzwkxyssy2zBqpSCz
ElHnSn0v45Y4sHRVEOMC8P8zFD0k6qKbluJlu3jOYe229iwit429PSo0MlggVVNPSG6ph14V9VzQ
pJSTfQ3EBtfvRfHQEa5VCjGiz91NqFdPaL+bq1bfOAyvjUIxmco4tDbqQBf7RDRaVXNM+GKURHY1
JLAQLNKtjsIru3EzggSdhi/y5o9zvhtRNMqV4eHgm9Ui/yrRZnhWrKR56i28Y8U8e5RkUPA17t7e
Ga/sx42mQtPEA8fDpXY+rr62KyC+JD9pmL/BI+3KUz4qVFRsCwHMWub7ROnzc5HK7sb5u96T1JY3
XA9GNpSYLzuE4BacfqEOckLUWoV9kaqvI7l3SMHoFsjrGg3DGacjhFQf8M7tajufZSwWhOxUUZ/M
zscWFQvTQv1M1JBkT4XWS6quUur2KQXnbt/p1Iq/LCQ8w6HzYolKh2OiEsFG1OTL26v/yhoYLgeT
XcXJBBBz/ns55tapQlT61GuYfdDVmpJgoBVJnkvYeHh7sOstxkUH2oGO1YZ7uDouw2xq9NOL0zqb
CL8MU+8HI1om9wpCIqIrppZWT21excuNPXZ9ggwqnRBE6dCC2rvc2ynpct9jm3iq205smh3kBUQt
7754GMWnZGnQEIaDuk3/P4+WWeRIqHh5eUIaQXwt6izem8s64rgQ37p4rg/NhuPj0Fus5gbuPx9q
wDwYQjJFSbtptVNe59axRWmGG2Lt0PvJkOMrYWVTwnj3XcTAlAgxJKPrxE6+GLg0BpjlVXkycjHu
Uamag7Zc4vf2HV1GQdUNOClhB/7i56O4k41UBwJDJyQinD9mhailZ67d99gb5XtBnv8OBUF0I3wR
wRrnQ2nkLRxchor93iCoodPgecWftzf+tirn4QwXK0KgHnxhXGguIXceClJ97618rqL0PqIibKw7
gAuUhYsCSG7rNfYtyutrW55kAHAMuBUu1u3P/7MZh0F3hmUuy1Ol1urHPJbrvZsjifP+iYHj2HqQ
tPD9y2iJhpbeNXVWntpJcw9YkZD6LAv/Goi8ranQ3j8eewI0JlUswEWXB3npvdarsrQ6ZRkuhuta
vgz0OgNZTJGv5/+8PblXDhmAM429zqO4eU2fL6E9OqNENI+t4e0qVzXHxio/GylpTmsa8X7y2oWq
WnfjFnnlwwHaRhmA9hN0APPipVj8RNYFmkmnQlTe93biMmRXqlth4PXFv+VscINgw4D0uIywO33I
i03l7GQWcGAnavmHtDaL+8FdbxJ6t0fkYvsTIxNTeBuGxbskUawrZR1tidtTh0jOGlSI1spAs5GN
p8Lv4lIy02b4ovXl8BEMZv9z7tpJRVqc4NjAzZ0POyggy+e6QDQsyObEN++W0TfL+74YTOPOs1eB
twxRp9hhQFGNezeTxbwbV9oKJ97RdhMJ54gdChJo1ws0dJTXI6/RZuU9jVL+Sj1f5ojN8kHCAqzI
sqeugGhlYXZNcmpqmbgh7cEKi8JMT5c9UhTk2SgZIwFINT0u7gTIEz20YfZ6YDxXAgqkovrmHiJw
cyMPfmWH+NwOGgk3KryouZ7vy9gbLPZIXp9s+jTfUf5Tn7CrueVW+m82ffHV6O/Td98QR2hUbMfj
PzeIzs7zylHWJ1SozPYezQbP/4ZdCd3ZYqXUHmgGoqMnGoK06WTazfLByMyk2sF3X7Jd40zmXzQp
+/noxX3bUZ9dVLpfk7b6JWDS2lGXA+n/ISctleFIATaJ3j6/r2xx6P6wd7ZXBIDbxfmt0CCNqb3V
JyEK8b1kD05g2jR9vzjCfrfUBSQ+0irQKfzgjnjxZGFm5Sw62eoJA8bxTqo82Weu2R7oiIkb87r+
/lxHaAWTu5E2gqI7/zDugJaPSSGOG2J1zD0avqOJHFE1p4e3F/D62aKyRHWHwUhQr2Aebu7nupdx
Fa3ExTJsyxJbhMw0gyLGqonaJw2Mt0e8/mRc78TjBDb/PpUX4WiDRGBfLE55ajhnIQpNDceORhp2
4Xr49lDXt/sGzQZ+BvAD7N7lKiIOW/WxtVQnvav6nbE81m0dYrZDcXArJ2NFWm0yoPGN6/21NfU3
XpwGyImYdFuB/5yqEreWBCeQ6pRkRR6kk7fLnNIK9c76NnHP33gvX9kqBvB7pMhdEkjw5eej1Rui
uM686kSokO6qwUzvrbR8N+2D4qPjbEMQZUPQuThoK2JcOvpj7QnxHPynDKqtwFtQTuVz3vhqr0xo
k8neIOjw8si+zyc0TgkSyGJsT1Ol1MfM9ZO7uMBi5e298cpHAv/I3w4cDY/rS2CVh+w39LKqPQ3t
QeoTi1bnc2Ap2jqmuLEhXpkRr7zmbjinDWZ3kTWolFCtQWbvlFANOnTgLQ7pUi6f357Rdeq1UadI
uVg2AqhLNsZs8q7GucO6LWS4hPYFrSy9hPtmNzidKW1uwwK/ovXGSr5yoCH+8w4CH4TRcomDG9xu
rNGNbU992WsHBSw4sP+Ps/PYjRtp2/YREWAOW3YSKVmOsv3OhvCMZ5hDMZNH/1+lf+NmN0Togxcz
gAFXV7HCE+5QKt4RU4F3g855qqAdgWaR2SUI9+utYWRqPLhdVIdJNq3HxhL9MRPjXjBzZ0KcWwJe
kkmKsNvq65oAt1hbvQnXHgxSGQv3awmA/mIMmf3uLIiHVwPdR2IOH2jrtT4iwIv3SCNCRK27ExGN
dyhFZh4WDWvFt7fHnU2Iyj1FAERyUA7Z1swkhnrIxlqEBpKGJgh3T/FOiyGGvSrTvYF4HKW8Fq4c
aKBcf6R5TscMwXIR4gCZIXUxQRNTlL1M/N4oHihm3i0Y8EBxr0cpisUcvR7tOJRg1Y+Jsuouuo5A
2naW7faegB8IyRJ8oryTtvyeuisRbp31IfSiLHYejHlB6TlV+3g6LYqHsl66OGIvrLmdHEEfLwiu
D0gZkXZdTw77TrqrSz2EXecV4UisQKOnrtN8J8y43enSmRVDHzJwoO3bo9u6fduVszqECGKLM0X6
wYdT1h0gj+9Vh+9NifjYdjz+gIuQP+WPR7HT7YFKuD0Ackiy82joM1oryh735e6EbPneQxbhodos
HGw0B/hjPIaFNpUfFAekAYqzloETgQK3++0TdXvhksNZ0noJ9wiUeDa30WhYWdcCJgpHu6vy4xRP
nnM2OoXkwXKKIQ0pv+veZSnK+NP7RyYzgHlPN5BHUm7aPxZzNW1saMSqPOTCqOxDhf5sdTFrDxzL
soB1emp7fOCOuj2P1fntoW9jKllGYcPRXEDpZavioJl94rpp3gYIT7S+Uxnri5ZYCOmuavyw0qD/
1NpGewDvF+0s9+0O4uVElpCDYUKD27JYWkN0Yi7zLhgUYV6ypuNl09M93PPteWdNubnkkyZz9M29
Ms9a04Ps7IJcTb+OWYlvbdn8dJP6X9vqooe3F/N2u8IokSBU6VNP7WgzmJaawJlUG1WgNkV6e42X
c05egYqHtofzfyWbXed6ciyJi6eeCGNrs2fiVK8i00yQ6BFx5xxFAibkiCr0oB7nJjVzCfUEMyAh
PesRI0b1iQbEOHyV/n/YfwIh1HrfTGYjwjtz7nsEtIHWnVNlokE6xob0zpzECC4rc+Jfb6/T64W3
/fHgBygok6JQy96c6ynWs0kTTRN0RbYmYE3b0vhkGggonIqicpvUp9xeJIdprgsnjGB+ZoeiM8bu
mIo5B1adjQTea7N04xkf6jg+5T1Vk8Kf41JzHxu1Nczmc4nytP7DTEA6XJTWzf62+Dqrnyfcnjid
kIEfsyLRNB+kU2Y9A4TAxnGiml181jGaGI8x3F4kxcC7ZRh/xEXz8+11uLdfCPItPqRKj23rotSN
lQq4xMxhqgFzUZfiB9GC5TtN8/4YyJH1N+y7ifopUm0ecTRzU2MC4ByMsnjTT+Z4wWB4whIzXk9v
T+r2XDuoFyCXhhgnc9vW1EXnebxtURXUPMQfQAeVx0J3inffHoR0sqWPsB350pZ4TbLSNY6L7/Iw
q8URrdHoQW9Kbad2fucDQWGla0/5kvRlK8pWKoCrrGQQgbCS4mer6Wt2RMM9v1h6XRc7gfedhaMj
KbsssiGButj1KzCuWmUsWiKQMnV/SghlMPLK73yd2/sQxpN8Y0gp6O1u6/SgyGsL1EkbYKM0PSBs
u67IdHd9Gqhxbv6ObGUQO7S+20VEmJLHhaiYyPiGcAdDEiHohicmKbLk29yaEwKVijdg5E1kOe18
sjsTlK8Kmh1IBZIRbna6MQlB7CiV4ECVjH5u2aIFN4iC+jlezMQEe77Qyn57z9+bokuLHJAHQdEN
yVpXFk/0WNMETdU0nyBujF+K2hVPGf4dO7HC7S6BVMcbA++FCjfXxvUuKcyywdtj7QMTo2zNb8vc
hSLXtkt+fntOtwPhogixGmAFalQ3MCFFw+StxLsVzkOv+bORgz6NjXdzuOFvE9xRPCIKoe6xeQnc
MqbAbJl9gF3Mr9gSF62cn6emh28zqO8v1Mu4mCCcigeh6/bSENjlqlai9HDJ+uLnALb6BDZ42knc
bzcDo9CkpiGPjCM1xusvhL4TkFRVDMFUzdUjemiO78b2LCGJe7n6nW9EoZQ5EYdzmrddKkfF+Ic6
wRRMTa4cgGdg8i3B+O/eCXTBudABTlCP2IKnZqWi92FS30fvDNsUvEI/Ktq67gRPN3OR7Tx5OSF1
Ij/RZtkyqEzOmABer/EEeO5V6WXf1e7OZXRzPUBM5dAAE6JNIQmm1x/HLFIv1YdpCnLDoX4yaOoJ
jzEcTJQivUyY0ftvr93d8dBdIKWgA2Zs42tVRdTLQC0mwH7M+0KFfTrV09z8HvUkvyhaBGvm7QFv
AnomiHWaJKzJANHZ3H+tUuBQ4BlTYInFPKVx8jCv6c950i6koB+1SH9aS3MvvLg/KCdLZyvKwa9X
Fb15oTarzbdT1Z+esx5oMLZ+12AKkyRp5Tt993Eqp50wUpNzuQoj5VwpGpA9gB4iErgeFtO0rNPb
eg7aGPD+qKnHdQTb2ZV6/hj1ivIFU5Tx21xVKcjOsjW/2MI0f8+R9fL2mt9kjvwOssb/X+GXUs/X
v6PIFgE2256DuDJtBHYHUX5WaC/Hhz7SKklxqpTP0HLJPt4e+N7uQtzjlZhPkdDZnBltHigP6d4c
DMO44MRl/y0A37a4S/p9Hf/19mA39xqz9IgdqTlxf5K4Xc+Smrs9DSnSjgll+I8DzhLg+hX7ZxRZ
v989ErkoACoYq9w7W/3YKerxPFxR/pzxbQjx0oHKNmhFMI+6fXp7qNtbh5FQSOHtQSiZ+tP1pFbk
YosmhzzvAWz/4QxO/itvhbVzg95ZOrqolOS4oqWC8GbpEk3H2KPK1AC71OxT1RTOY1kq0Sd97Mqd
+OB2KJ3ME6wtFFn6aNtqJ4lnYVSdOgdu5kynLGqn46zDMErS+t2MaYq3rwI25BM84NssjvK05szw
h4J6FONXp4jGH4R66U5Ad3u4eEz5RtRm0CWk4H79hZpJTVORx0ugrWI56MLNXuJUyr6NhnLWhhQU
NxConcfo3iqC9eQiBctKIXcTlsDnc5fZLJcgjQE/ejCRvo+suq/U8fry3h1IRxDhRdnRB++0Lf7E
+dJ2Ghy4IKUF/lD0YGYRCJ+Pb49yd0IuwYLUUkcCY7OK2vAq1qMtAfLP3xbk/06g2iC94hSyM9Lt
iQLxiEoq8DTibG7m6++V6oXjJIuxBPncrjhveZFv9LDC3p7P7c3HpwGdhzsqMf4N6HfFQXa2vWoN
aHl/rfsm6Ol8+tUi/mvQMvy/DMbRlahfprXltbeFVrsRxLTAG9wFsQtndb6ZQIDhO8EVDT2CPX2n
k3B3fjylMlZ5dZ+/XkXJprSrcVqD2YXid2jsdj4IFaqL8PQOKFe17MzxdoOYGs0sION8NPbJ5rMh
gu8uC2iPwI2qNtDQCT8PnofpWOstOwCuu0OBEQNYhZolxf7ruU0d/qvuuliBpPFfyFz+w0hwPnFD
tTuTut2LTAq1F0dyHmQT43qkrl6iyBXIOOqOkp7TajDRbqLC+vZevDMfCR+QdQJadWgbXY+SLtWo
DWbtkuDiejSWrfLLLOEdYXRp/Xh7qNttwaKR/YE3cumabbWN8mLorLJC3a4xLbBoQwlxvDCM+KTh
GoUzpae8vD3gnRVENEL6GyOIRst5E2G0xuph02Dawapkzod4BcPQr+a0s9vvjeJyaXC7O6/f63oF
rRZqISZSTmD0bsUt61XVX2qeFzu3+p1hKJbKTSfXjr7q9TBp6+ZEo6YbLEUan5ShwPCYXvT7N528
aKXoGhUj0BHXo2SV1+NgmUeBlmJen5fCOw2EcDub7s5cuF+ltw4FdMbZfJi60hLpieeS+i3Jb6tc
3Y9qHuc7R/X+KGxunXuPZ2NzgESWtFpv5S4WyEv/wSlq7xijg73z+e8cIBlCgB8hcabMtnlt4znr
HTiZbqAioIYcntA+IEiKuemc7wm7vj501zkD5TWeQcoOKsHlVlbIrrJGiUuEITQyobh7QvzS74UD
hAS89uBq3wsHUnTpq3jjjll9ZF0O6D1g0ZEhwLl8TXC3U5bvi/tNXbpDmXzoFfgfdvktUX5EIntw
PIzrhDH/1Sq/3z6Kt2efwFFemlQQSF+3r9DgxNmAs0LEtwBJaRRNGk6NHh+MxkQLPBr3PBVuvz3j
sbdeq2kc/03IQJqqjEsGg6g23BnLo6o+0pnaA/XIfXr9PQDZUxikrkAFjZLx9WnB5qWHvrMiFdg1
Y0BERschhdfuw3T2PoE9y0Ojb8UThnjVD7KsaUct7s6qMjKHldKrZGdtdjiw19rGCiAO6S4kAfoa
GBVjvXgkXkt5krI9nd9bShxVa4v9B2NDNm62gtFql+oOmnBxmLvJMv+nudgRP8UVqNiDhdHicMkl
YuFh5aVRjgtMzd+WVUpgS2IW7undWwpYuKwDkz3y9m8mnw4ZHOu6SELcUNXjaE56qGUKrBGUZvFB
9I5vDyd3zOZbcyXSaaT/TuN5CyVoUcijc5O0AZz79NRrrRnM86Q/eiITDwBDswfXXqfvbw96+4HR
M4d6R7JCA4Sy8PUGw2TQyXrb6wMcSFuOfYoYMUREJ3UCbLVQssvrtdtrXHMT38yVHMyQHBmJWLsx
SooSqY1MFzWIu8FVDili2eOhbbupO72SEZ7GsV5fXM0QzqGcVJH9XL1+sE82PMGP/UjdGjUoFe/Q
KsFoIec+SqK85AYC5kLxqoF7nKeoVB+g2pXWS7o2Ue0PMQHPs6aPRuvbA7yhQHSDmX9ul6JWflYK
rQt62bM1SP/tGlc2jM3b42SlQ/1PMQ+xQzMg6WIyumYo62MSwar9uuj4fOOSqlCPdYpuLE/q5CYD
trIocZ8t2FMvytS77U8rTfL8hBOB451sMajuxZ6lkgdyAu3vFvpuehYxhMXHPBrHjJ/pwCRTR8+B
7hXNOm6MhvYDOgh2iSjeDF/SfBoGjArrDtfcMSu0/AC+Z60vetqr6v8UU5uUB61Z1w5JU6UZv+sm
mWLuR3Hhqaemi3LtRzZ57vycCPKI31g658gHlPEy5/9NRtQmT3qHUsxjvA7IohZa0U4HPbWR6UjH
Iv6e5VmiXfJyLZODWwjgSVRy7Fx9TNTapWM6Z0s2M3aOgpNzmt0iNc5O7jhNMIzOnHzN1TqOE4xS
3RzPAmxRW8jkBE8+2Dtt+uh5hc5R8OZcHOYxhUHYUs3VL17WOM4D086Hg9GrafMpWvtclzKjVfdj
EIXiIUWhr80DfkHRv0Lp1/IHlP34XxtNkuSUouAef2gazY2ag1FFcL2nroDYXww1WhYdhSqkoYa6
E/6YDpZ6imgGY0pd94aJIkqnqi8dQW7/DThJrH1dqC2nX0AL92NgWEuHsBJi1/iPDzUSMElWOsMp
BRsqPo1FPv61GmhIf+ANG71DgipQfMzUwltp6E5oXWGXG7XHoUCM49RZVZZeMNoc5scFbQIL3Ydq
ac58avaYoXP3PRhr3drHNp/tJMydLJ/OKmvv4PatlM5ftLK9+F8xa0N21CbLE9BbihYOaKWW9UfR
pUl9XN1JlA+icbr8SU1U/X/Y29v5c6vjzRzU/Sxgj3QJTtxDgjjys0gEvH3kYor+UEeK9mU0F7d9
SjOURw7FpI/Ws85npw3Yo8bw5OiZ/QF9KFynBSae3VNM71M7IyE4Ol8WaHjJS4r9e/Ex9QC5HMEG
if6niJfyGQV2xEpKFqq/1I4WK2EyZnC9UVWxte+V27p/5ciNoKlcInH2rKjAJM4JjZHlkrf2gqaK
7ka66leZUU4nw+T11IIBY1HjpR3aJP02WcqifbSiBhHSHBYgHqwNQn2p4uOJtOh4kWJFc549HNN9
ylIiCmcH0ajDmqKV/aFWJvEjpUYVGX5klNmHJte6p3mqRwTCSzx6L07bG5biu1D9ftLKj+YaDknh
jYWPZBlX3hF9pST+QgIWp3gAp3njHc1Ycbpzh7tqV0vHUoVZK3EenQ1QZurzUnA7+1FUDlGwUBv/
AVreTZGl8qzvBNqo/AN4nNAdSkbdPsAzVqhzJsL1jjP1SnGcFaS00EIp24XjmA8ztihejSKbs+AS
puF7iyG0a2G23YvJCVxser3HSU2af42Ebf6Yoz5W/xKU8NxAMXBj/WktefZbT8w0+wnvJ2ofO20e
/4ER5+KbjHCU509qo7oHxY1H87ha8eJeRh59JUxnbIyeVW+OjSARfNsv1ojfwUXJDKf0Ky0WyY94
tqjM4fnZzscWTQyBUI7Rm4Ga43YP1M6pyg8qD+aCF8hkrZBY+hRN1KTup8PUxM16dIbZNT8mazr9
A4Zy/DFOfac+j6Wbu0ixIdHoV2m1jP+9/aTeiWFQv5elZTYtoKEt+FBkbPOkXg1Y85l6go81H5XV
rD7gDZQEBuqqFzSkTPyFxvbDaAqkX1wk2t7+Ea9I6OtoAjqFBaaey4Va0DaSB0XXijoxjSDvY7wj
5zXOyxPxDNypacRfeOFz2o9i6KD/TCUZ1DdDE07zXSuV5ROXUSWOVboOSHwYa4slPI7iOW7cQneq
LDlhF10Yjs/BrIbQdbsBGQmQMN1vPeesTnPlDueo60blBJJmxogb8pZ5Zgd43xdhtDzqTgaYy5+H
rq8PzYB027mF1aBXKFvRR2t9fTZx+vbteHT+KSctWj+atOan94Z4Uo8RjiOA71cfwE2IpyCal65j
lYYVkuPGQeH5b33Ob+Jelr5B+Wyw50IN3v42N6kDg0qCHpBsEmHaM9cxVwy8bkWFKQ27WBtPq4KH
c11zc/0fRgE1B0cPOjdV4utRRLNU6+oYaegUyfTktpQyc6uzduZyE7SCxiBblL0BoFakCtejTCNm
g6ZTmwRyukUEAAcGq2i9eLIypQsJWr2Avb7ne3S7gnJUCQjEQoCm6yYlHj3qEmh1mYFACK5GPQiv
FR+ixbxTRrg3OxiOlLlpUdIBkX//B/QwNygZ4cliBQBBhvHEezqkX0acj42D3tQL+Bqj6MfHURhK
v5MN3ATmCCmgHskUybs4fpspWgKVMnYjUjBr+s9QTk9tO/7t5c5/SRLt+R7eH0uWZWB4IQEi//6P
aYpqsZqB5nPQwltDRCmKuku6qh4OFAYKAFSqf753bzI5BNQkt4LW7xZwhSjcYukKk5vKvjl40u8c
6UGxcwead7aJ5FRgG8VdKAlm1/Oa2tSJ6kr3gtqG2XuC8GXqfqUDLDtYFmJ1hwVdxvbRQm2zOLp1
t/KmFwuUPEy1lEeRpnry0KVWbB6TIrFS6HMejuQnaxXzeIyctloeTVukSFxlzugGlvRAsw96VCKo
phSdm37vOZr2WUeq8gXxtwnarxp364FoxeheNGS1+hcvnePo0tAiHjCVH+MusOo87ZE3tJ38WIIt
JWIm8UOHBgccpBHb2FUPQK7Knt9TKEvYaCuk22IWSvNgRWm2ntDOi340tlKMvjd4c/reGh54LwkU
ASwAAAbk0vW6ZkliYg2vIh+K6FF6sNGHg82P5OYOHOH2+zEOtQdZLgScukXzxLOmD0JHXV2zuyzw
eqt4RHGt3tsm/Nqrl1LOBjAAZU/iIFTjr2djkAJAQEBwCInW+aFI3PRgGsPeeZYvyc0oSAzLOi4F
tq01sGjbhJyfvQgiqfohEOk9mWnUf64NL9m5k2+XTcYdkptKNVcCSa8nNLNmPeptSdgYVfGi66OY
z06KCu/O4yk/8/WUoKDqqBehg6KC7pK/449rYzGnQa8nJQtXujT4JWqQLY6EjdCIu9ZcF7+F64ZL
lqMMtl/kZb/DG5Uf5nr8V8q+BCCyOWgTXo9vWLh9Vy0lP1wB5wPKuegdO+mDawwvbjHuvae3HxD3
YyokKlEVlZJteRxSaFcNFRI+kRC/NLWYzhUsIX+1QKO/93aULpGEJLTdpRjV5uW2YyyC6eQS5Rcp
pbay/NeqpnfDlviXYdxS7Kc/AZBt8744dp3qbaooFPVS0ppxJoAW47vpbYzyWk3GZcWmkLa5KYbM
cYVTLHEYV3PxN3CCOpytYk/j6HbDU+ynGOR46FBTAtmMkoGzIGF34lDNC+rUVR15QdLZe06ad3aA
1CfnOqK9REi9GSZe2qHLlzIJlSoxP1urYQSYbc2hO6b68e0tcG8olLiovFINlMCI662d9cWwVp2b
hMiLTgeVFvsZIdvsGcmZZme3vW7c62PkSua8KQ8yxKhXHNEfx7g1OnQcNVixU1ab43HwzGb026rh
yi2sgeI2cOW2+NVWWqbZvqahyOjPRQ9x0EoW1HxXy02Kpx7UQfEo1jjVzvZawTWv8IDRA2PKx2Sn
Kn3ne/NzOY2oj3PNbXMbgMZ13zdaFg4mNcQHjbq08TCsLWnn25/hdiAZpQBw0IHZ8BJtvrhtlmvb
5nERtm5XkyOU+SfLS/cMrG7vMbn8dNxIQ2i8bPOBPDdx3UCLIRwKNX5GMFL6JXcjwrYazFo0TCOx
c3PfmxdoQqQ0wMnSLNkcfhMT1QwLVUi7w4osFxK86SmNMvP9l4wH9lLijNnEoN0369dmeM8aqQOz
n/p8SPUvgFYgdp6B27NCXwT6igwpdYSrNu936wlHq82hDvWZ5PrQunOG5NegD59V8LN7Pm3y5F2f
Fqmqwh1D6OrQ3tKvT2burMuQ9nCD3XoxnxvYCCuV8kEpUQtpEVzUQFMXfydTWc2g+2ZKUdznaBu8
e2PKhIscATtpCWm6/hWOEnXkDBTsnc6OfWstlCc0NpVv7x6Flwh0AHgpGUXLlf/jZpjrVJSRbUWB
iHPtA6ST3sdZoNz5fjIK/3NFZa8RSRqI6zxIwBE2Kxq5jVpGEwxyhC0GcfHgVS0PcamOuY/i7Do9
JC6yqH5tRXj1vj1BuUyboeXOoVBDdgCVYbN1VDt2sE1zoNg6mYtM7KxRc9f0qUeN30laP+Gx0vwp
HVSCbPqtO8NvjyEztyBjQxGkFACBb5OfzO40LmVZ1mFf1sqh16f5oKtLvNOlvrO+3GCqvFhecXzy
V/zxFUmOY6xU1josFq35HwrJVXWo+m48zRZpDPrO2mHJUvt/711aUM8SO0hsxlWzFauYF4SmNa1q
Q6jm/2bt0nzRynI+qbILHK1OdgEcNB36zna/vj3w7aKiIQmKkC2Fxge9revpTiqGDqhntGFqeLj+
QBx8Fn2t72za7Z0tp0WTDnNDWYYgZ74epVHm1anMpgtxcuuDxKUxN/TadM70YjosppFd3jsrg3aZ
RzwPAgQBn82shgL5MpDhVdiplNetfgQxTzl2Z1a35wECLlwoGX4ysy04A41q101UV4Rx10e9r1sU
cQ/Ctuf66BTaYVQf0nVp26Ad1D0nrddX7vosSv45zUBSSqBTW1GdprGyAQGQNoyGVY+f+L+/nbiI
z6YUlD9q4LIRAeuELO62ld75du4tzUPWx7MdZmvT5wcSY033gWLgS8EMSYAyD4LfSVncNTt79jIU
H1ZZhY59+Jtjci4HVG6etbRZ/lv7xfyH6H+sKeC7GTq/cTRnQWsUlnNQLYVCLgKwbXdqsR0toJJr
aXSJZjFg3RD36ktPjZzielOirQRWs599RKvr6aCobhT7M9bEzmGKSsN+XKLCiz6sU29XZ27UxTp0
1rQUPpdU1j0MWW9pqMBXOsrO8L7bbzNq3N6zF2G+46eDTmevb9P/DGN2kn9rY+3X74ZiJtkDuLFG
0KzDixLFtGT82pRGW4Wzgij8sYwbz3yc6lmNjoaI5yhQzREDARev6fGJVoTxMkce61aXVCiOSC8Y
dDKUAiVYpbGtnyBdqy6cu2r8aXZG81sXamodW+Sry0PeLcvymBQuWO7MIs0NK6B075VV5AXCr4nw
FIceIF7bt8iuOy/WIkG1ufCWMM+x5LW7XnsRa68GeA3Un0QLhMKn5L1n3LMNMKjRSMtLxpQHA0zv
9VnPnZrre1jakLA2c1mzdvmlN3YjeBq8ZVz3iDi3dwuREiJxVG5pzBMXXo/Xu3R27Uh0oUCLzL40
k2K1T8Za2vkhFcL+mlT50O9UOu/MEWEBxAR5BKW952aOMVgpnOxWyPEaTxGyja2vGGRrubG+V2ON
5WR2IA41rjSIQJtHV4/qhQcdcnxh8T7Ifph4EEgp/agbr8GFwcuH89uX550FRWXZAq6DMKREzl8v
aAm9dV2ptYeJChARpCiUu4OVtJVximKz83h6a2tPA+DOir4q1bCeiONASLsedKGRqiedM4aZi427
n2pqdFL7HgmlHJLdTkZ0O0P79TFiu0in4q3Ai1UlLmncPIXEvcVn0mAMyWE+XODCTZ+GPNuLXO6M
J7WaIH4i4srabuLPKJ8RQdP1NRxNXcR+WmLk4w8qnHV/TcqRplFXRnt41dsVxRcTXh9/iElhdV2v
KF1EBeefUQ0ny66fi7kqLpUdJ79abumdxO/eUCRlaDcBxoF1tXne9U7vTcwZ9BA9+fSvWulmBNVp
4IetVQ07AcvtWI5kz0qVErqFYN2vp5UIbRyo0RjhakxDQFijPSYjVk6Tg9TYew8C4QrBDwUfoiMU
X66HMsWCwkia2MiiFBFpw7A8Va2ef1n1PjkhY9e/ezyQpNxkUsBAajZu8sx6SdAxNxU7xNYk85UE
oY0y18+Nrn8Bx9Lt3GGv2pbXIYSMHciJKNJJEtsmkxisKdEUICphNqK9d0BXYCwORdQUypdoLKIZ
TFDUqdSrcwrjsxajEz2bZh1fFBUXve/JrNbzmdqv8/fbyy6XdfO7dJR1oC9QrKZdtdm4lOBybahQ
HZh7bAlKHGrOuuLEO9Vy2jW341CWpylGfRIm0lbgEYWFjreqT9i1CeimWooRPtjYIBhfB5F1tDbb
3sa5o8IBvL8sEaCrYwfVbqHLYYvm1+QYxXrKm2ZwjognGOrnvncxSkwqd/pWr4Wrv+RuXhhH9pbA
/UXVZus82YVLm5cOhXKgf2Q3j81QRVAa5rQSf/VTpzYfCiOJ4jN3VF4fY713P+EJnHmnSBolvdh0
op/oCnN36KiVq/g2IE7+RH+lxqoNgb7pMfdMUTwSoNRhDZSLfjKBv3LAj8p9KZ1p/pvkDCzN0tDO
P+a6O5k+TdHUPoDNiA0fMxJcPNrZsH53RSTcB5CzJdipap1whohb6KetWyjrMcGus/hdmBhM/M7j
cR2CMTHy6Ehj3DDDMgIMeF6HhDtcHbJy/bdu8DP6CIMRaHGCXGN5NsBSiL+7IinTy6CWJe9MxOWM
tn2EOVdPQT7lyYOcMwYFXO8Yl3e9yabYR5Cs6B9I6s3mmGml+dGps6H/OKWe/cNwqnY54zVOIz9H
lEA5W7OH8EoClsNFqqCJ6EHaThQdW6NMPmODV3mPoHdw5REtGtg4G8Uz+dfqfKcCVTSHglCnO5F8
OmXgRHln4kQ41eIUDZOmPvWFGlkn+M1AzxIUKGB2OKLEJtPpDAetSJH00bny1O4ZGz/kB4GuKdp5
hK31DxqnynQQRLTqEx13K4Y66uHeVXULTjmqq6zrSUnokx2lM8jf1iQ0cVH1QnxfsNvxwpI65E8v
yU1B7p/pycUovUI72VhQtS/rDO1o59C8pjSbswl8X1ZZbXASHJvrKzHW5lrXVlKeLDVQlCn1tP6V
atJ93EL++PfsorB8inH++EdPsvHRSPm8ApcW+7jEdHsOhpXX7nkcVO+LmRtxRmOYsPhgFqb23RkU
ytFNhB5K4FYThwWpmj66eJ22vFfygRoQWAJCRlTRKLhti4jO0q+xZdV1aKRlCVipaj/amFDtJIh3
bhiaqZakCVCzACt+vVpaF4253cZN2JuggO21TU5RI9qLUe3Siu4NxYRkEi9rI9sMuyidBKru0oTW
MlVYUznzpzXXtN+eYrs7FZI797PzqndFgChLe5v7WWQt8YbtibD1JvMDmiTauZtq5+G9rwDtCUT4
0MWDjMtDe7123GMjZoCFCE0nqp5mty4vKbHquyMXOQqfh3hX1tTksv5Z7VFMq1uMTITNnC4f47hV
gFUWYAjRij2+f0IGlSVZw+JeMjbLVsa9YulJ0obNoJUnt7S7IyHhXih2+3HoYJLyGRDMqHVuPXs9
BaWgXJtFuM61w6tNr2WMzGQndrgNaBnFdYnEDETPgc1cL5tCAdJsu5SqEY3LJxSLl8uiQZxcWn18
TKjpXt6/dpxTav50FfjvZrzIAlUBhK4NMxvfraKOjVOjju3OrO6tnYlQsWGpkoS63dj9UlQDqAH5
hdLsJIYSlGfj7GGAbk+qNBxAI55tp5IMyF/xx5bjKQG6XmYtb/NgH1Vn8B4qTxsPw1pHOxO6LVAx
FBVTrgWKp9xB10MZvUH0k058JvBah3JMfrhjdlknzfDVVZ0JSSoD+zXty9tf694MkWCkPiUp/GjI
XQ/bF3ZeRbbeUhfLsgMipyoOlXizEtbubcR7Q9HYIl1lOEnsvR5KGdYRHwHcTC3FwhENEWfaQ0en
nKfj23O6t+PlvSozKljw1uaisL1EMeepbEO8rz84aFkBxksHRDTLkhsj2kuHb9qMJIs8HWj8wluX
qsKb66/sMyXtVMab4jx70tK++Bi7zvCgeHgEm0vlHYuBMFMha/4xAct/npIav00can9GcV+eB3AN
h9iAAOeJfPCtKFZ2LuhXz+LrWIB2FeKUMk4HMbQFs83drBdKhjdhVPb1evasnJjUy1UvPZAmVoDV
1TaLzpYAze67ok2UY9ta3kvSTcsvd83tyU8Up7X8bDLr6UT52559J/a4GFPdQiyrYiK232nrNPsz
lPjet/GN/Jz2ZLBHZ8qsDNWfvk52PrXcM9t5ebL8DwyQ4vHWq5nwMOpVwLShQM/p4CbTcOpLTBnf
vaEk2AoVI+Q92VObmkCauIpTW3UXLpHeH40qSb8IpHgwbWjr/yFzSgr9/gG5cFzGxDGCws71UQHM
u1rd7HZhjIMD8GKMJ7NmNj/ruHn/q2VRtBMr3hxN7dVgCNoxdym39ubOFmSVQJKWMbRciO++oTdc
3WuLHeXBHh3j69uzexX1vPpqjCLrf2jzvTKwNge0rrvIFjjlosCtteqzoP08wSUQpQe+y6wazU+m
RXcPKXxy59Tbwir/xvqxRqM9Wmwt4FGdnceldzPtJJIst3+ONSJu/lKLEi3jzm5xRRKaE63Huo9G
L1yTCGM6UgE71UFRgOQXj2NXzHB1e3SzP2itMpHPxJOGaeKQDN6lKUttCIiL++TYLbFHZX0BJqx+
mucm6v5JFFLG3xWmkt5LZdQkQ6aKDvGTntj58Hlqe+e3pcXVX5TkZf8LmDxqc2mRD//LeDfxsxdG
7vkFVrvRKbML53kGoVJ8NVIz+xsKgPvNlKSgT96yWtbTsPbF/NTMlB3fe/vDtQG7QsMVODXnSB6v
P963Gf4KuJ9RCwVYgZPn9aNfpGD50OPf44DdbjGGQvMXwZRXnc3NloY09f84O7MduW2uXV+RAM3D
qWpstbvb7dk+ERIn1ixRouar/x/1BjZSqkIJ/SFBnCOzKJKLi2u9g4vBsK0FRZqnX+pSkXtKeLAM
OiPNN7LeqwtgKaWTIaL2BH+R18/ltKJxwpy6bLVAGU3rjze0MRTP1jU/o3EYn0pNmFs7eh2GiD8L
IB3pu0Wbdy2+oZitArpuNoKE8FEfxmmWyWGeZfpRxoX2XgF7oh2pCDRCHnV06te1pzJha9SVtIIs
idQ9aqGu36h97Bvq+Pf9kwq27npmfEj8a1xuOFSAV6HPjUfPQxB6DsgglfgvvR29/tVWp2E+UBSD
kxFOvRHvpNbW8nMD3eb7jMBnHxQJ/KDdwAaH/0BVC6PSLvE+yNLsqRaUrhTNsw5Sy3N9qZT9/FGD
zzL7EZIg5Svmlkm1K8fa/lBTv89A46M9uJ+1IbV9xdEmCJtzBlUiG1oMgqIE2QRfmJEYoaXkUXoE
+DJle8lHKY+EmEn/NE9V7OxdbXLd186sBeoNWWsZ8BUKF5h+n2MM23LC5Af+r8yPo2KP4ysxP5x3
fWfBDVLrRoY/Y8ONf6FMSPsqimcrPYZeP6gnHQF1+1ehJp4BGMSrlE/4HrrWQcHsNTpa1gx0FSvK
zNvVdOzxDp7xk/9Q5a79V9F3RbgbhtHL/HQeoSVYPLT/qC1tPeJE2donXILKYe8lVqI9aEbUt0AJ
ppQcooACoO1Tp8hTnNPaBayaCF0J/4XkoJl+UlmjvZclGlfHwkiTBPvrKf6CMTpmyvDbvD/1MCvz
U16J/FmgKvqJLAY/4GKe8viQd4rzq6f6B/0vRK7EH6ye10nXLh2qJE7c39msTtROunRO/HlShX6U
bH2se0Ml/o0uVlj4Ndgj3KyrJNF+RsrQVwc9zjv7lDbd7O68NlHjXeXmOWRsbEdgW4+2+p30o/Ve
ch3Rz6dh6rLq6OZplz646APlRzVG5x3LeB6Kg6/3mrRfrFiP24OplB6ezQlPKpieUwot5P5xWCNk
loNHg49/AJTRL1vXCCCYCyiINo8O4c1cJG6LwbARuyoYgLy0afTw9plwrWj15DQauDDs+npqtrCH
b+/PywuUZjmFQJTTKI5wa18GOJhvdJWgVAaa1RnuK6bqsXfOZnKJndkZqjgp4D+0R1f0SUXy2WDB
SQXF6hHYjqL00Kbl2L/gvO4Wp9wqw+JUKyqmyoskTbOnCWfFfq8LgaSWVyo/i1BMBkXPPvOOAtPX
fpe7bfE96fr+O5czrmdOJwtz35deNu7UXlH117oStf7aFpnxlx2hbnxUpri0dlUuhvbMqTWSJ1Nw
/WBkP8lJ9duy7EBdV1qdbuQ214tGU1XVaUBASOHP1cXjFj0qRU2OV3GVOZk/WWXmfPZoOoYPI+SK
GVsdOt77pFCVDNP0BkEZv+sKq/1xf/Ncpapcr7C+ATqAt4PYscqxBDy9KDFbLxhxLNi11Lno6Jpb
ci7L33K5M8ju37jW6OlBxVldfaOHK10lFS/os16fjsBHcYqcVSxuXWllHwyzNIpD1IfS2UhZrz8z
T0gSVtK6hee9poaVNP/HplSzx6bue7ryybHVHAm5tn1g0BlzdVnuKzU5WaL9fv/LvrVwLye9jE3N
jAzdXcBjl8fBi0e3A1yYPapd2FPx1fv6t+Kq2Sc7jZB4iBJVfk0rJfkOnkD059GNY7FTFLQmsC6q
rA8TXdOf0Au8ErhwOeh7FzivPCC0OQ5Pcae2yfH+L77eCzQxFg2cBRoF6Ha1JwE/5xgUx/kjKrkd
Buv1eMqoz2+Eq+u9wHvFo9WOvCwgtzX8lZqFOUdKXTzOUgnHwIPH+FWj5pQc7UTFbLo6eOM4fbw/
tevci5ozT3wAL1DvaTNeroUtWlUMepk94hXgHKrR1n84RqkQB+v0m2mL6r1amFj50Hc3IAQutETj
CumWWUYyQE9+1JCqEb5JhMahVdni091Ysjf9kEU0faGFrVJlHsJxOblD9igsRNamDjxfFY1bYIXr
JaPKTQWBOgLqDCSvl1/Pyyc3msEoLNX46ayJaHrppSM+TrKTr1me9H9bajt+fe+S8QFpBlN3AiyI
KPvloDQCzE4Po+LRzbPmlIhI++6ie/XbU2ptX/VC20jPrz8lInUIUmsLJhi+wfJU+M+royV7kh3N
9EcQX8JPZoqfpJnF7v6slr/lMihcjrJs1P+MkmkmvSFAiI9qYsYvNhh3pNHxRZdgvl7uD3VFSQV+
iOkr/0E4jhrrugIUD2mbzfaUPw6FbP7YaedxpcatsOivzV12brCLD4+2oEN1mFMzrg+2LRPlM4Wl
zN2Fpc5GKhNvxK8pL4CiF5HTf7VsIX4lrZf/S0g3kI+YaAca0pTNoVS7egLEhmTAM/WzAShNrynN
bsrrLvJbaRb5rijDyAHcRm9pX2mKNA54bFd/KaKb5WvXD2n0O8JBPfRDJe++YoQ2ps8U7Tdd8q7W
gcKitUj4UUdHd/pKa0QbTCBkcRw0pCR7K0b3QnaNfhDCTt+75G9DvTkcwmah53W55PR+C/zWojiQ
duKgsmqSf4bxXwX58+n+il89i5aRuMxBTdEKozp8OVKWWKnpVRAmJA5HPlje+LvtRNbZTHVtP9ZT
BxlkGB7dyWs24uvV4XkbmTI+IiNkEfZqjgWa9e4g+Jyj1bpnTph6asH5btzmt0ahYYCIFc4US/vw
cn5Y5kE5nQvlwY3q9lm4Y/8UVqnz3muQuVBcRwB4uQ3593KUGfyjAvpYeUBvOnmuq1E85q21hcq6
MReLDgFxZrkFAbxdjgKFivQ461D6wTbAOSVVLT7q4Hns8/09cRW7AebCiadFpdFSg+N0OQ7aGQOK
HGkUKLba/0J63/2Js0GLp0E3Ts7noSpkf5qtLNy652+cMFA2jAnjkj/W+FJepAupJ1Qg4DULzCyJ
BTbzRUNJoPG8ZCPY3fqcOkVJcksOM4/V1TQz3rEjKNNAto7XH2mV6dXeqmxCzv3veWsgihvItaFQ
pBJBLgcSYRYXeRgykIeZNsIn8kyrOf36/lEoHr9xVJZyymo60D1RDC6GKOgc5V+v1tNDpodbTKQb
4YKe5f8fxF0dJ+I7DDzQuYQLe/pZeJJCmxV2/Rnac/xXnbTGrtbsjBBp8pJ//wQXkBUJBeTJq26z
Smei79wKyLCQ3tHhRvRr3ME3Xlm3Nj8BAzoFKkawYlYBMULao6/jJg40Z5LHqq+6fS0+WfUzuvXm
MScR3pjWjU1vo0C4UE4xeoGxcrk7aC9heGmpSaCHpvmXZzT4ro6jPesHGhzTliHEjQUkn6VsveDU
qccve/U/yUQzRhCzPDcJpoTK1zAj/YEPptj3uUf/Rk21c0jZ9luaxmm0MdEbx4CghU4sXi+g/6+4
eaVSSy1DqwuSw3BGxYGni1VFG6f6xufEzomEk5437IV1C79GhrFNE4hnECu1k2qNvw2AYwfRJO77
5wNUD4lYCDGUUtZAizrWuqGbnDQYva5+zkSp/gKPlG4E47cffJH+4eO80P6W5jegrfU9ObbEyqlK
U9hMjoIfBHyzIT5Ia+lsjK6DUhIxnMbXHBmKFe36VplGMidg7/Q+R2XE47we5L7TbUpvczwgu2mk
LoUlHV0xdd+YwtMeKxG37T7sWjpAKrifb5XrlX+6ou6h3HiJ+XUGHGU+pY2SmP6MDfHc7KI+tezP
cNnJAoust/Sj7VlNe7YLI68/ltlsfI8jFVj//TBw9S7jgoWDAASaBgOWAat0GFg/N3E0YLGKHyla
OXLaS3wG/UlRn5Ou2OIXXu8nUg/Ml0geqEfADb88MCKmY5IiqxLIEq6AmqJLg6lh7sPZ38KFXB8Q
hkJtja4iDky8OS+HgsgY1o2AZdWj1XpsrDw6iar85/7nu45vNC88FB3AObJ31wKsjVnZYa6ggjoV
bnIwvUH+HHQ3/1AVlbZHB3Z4zuJ+S/nxzczpchOzfynvLcgALsI1ybg1s6mmrgHXQWa5bfvZoETy
WV/gKQ9KUso09jNz8LxnbdTj4iMKWcIEamhJFBRKVQ3jLziV9uo3JdWz+WdZ9cpTk82l7o/s3mRH
ubv5Ypr99KEa4RZClnJR7IpkWUp/EKGOspFZwvZTK5n9yCpkbn2JInF/iiOl2Hr6XodYaP2LjADV
MZBE68KBaAaSRLtpAqt3hOXHbtU+TnqsvnZRO31Te9Gd2jadh8cinqSxES6uAbZkohwNDOeoWWjE
jstNpOnZlBtpT4vXRIxtPzimpF1kzIr9SaRel33tklzID3VWu9UnPv0UPWhdVv4LoDs2vtu1nPSd
mlCC/XR/311v7sXpC4o5+Q/Vy3V64pGxeq0ri6AzqNfok5xfNHQd/twf5fq0wirzQE7TcKZztrYu
SZw+Ab8Fl9OZgPD7AshoshsjHrVn6KfzllfFdSxasBloTcPRXZh7q4+N3otuzCGHCetgUR5MV6Hd
YwGfFbs5tsfvVmZYv+/P8OaQLKvN5iIqrTF3rsib0UMDOmhw9dq1g2ofaun2x6oU7qFOsy3zo5vj
LRJFYIe4VNckQRurhAI5MILSOITimA5x+E3PyuKVxi9XTNLQRtm4WG8MSe0G73aY9RygdZJZNarG
OycRAQhpeVbiptnpRhOfsVNv9hmiOxv5+Y1NA0MdTR3yBtCva60UhMyErN1YBOaUNUdNy6enIWuc
R4mQ3dbxXF6Cl4FwIbMS3DkKJJdr32I6c+ao2h0IQz0CYZJ21uTAKnDtrxPiqV2QSuF+bM2h+ggs
n55HVrBtd1bbmsUxMQw0Fi1HthPGd3IoD/e31vXVwDegMwTiiHIANL/L0FFImWWUWsvArYsOWV7j
IIu0/pcCV7EbG4ox+26QYiPfvvXx/zvoEjf+k5CiDCvnNoQFp+JtdZR54e21MkJ5U9Wq/2GdST7d
NyVVSoTLT/nPUBPC+gZcGajuZqkdS+6LQFeLbo99+pbuyVtJer3O5PQUc6mrQHdYT4tmF+gWrQxC
1NUT31EVZCMjIxyeOb983AbLncrXOy/8M/WVO37Q5yn6Sf3SbPwwz9P3aiF7iyIGnT4SmKVls05W
lXjwai2E5i/QivSVlira3Cbv9UNmFFBCi6AdTHGwmqsMplWMIUYuvAxmmWE0apkSsKZTn+7v0xtb
hhRCXT4vCQxR8HId7cGclUGpwVFHUjmjcz0T+Mo56ELi7v2hbtxaS0WClJKcRSXtvByKrvDcx6YN
/Zu2PjAFgSW3yK13SgUsnw02L3UddO4WBOPlKJCjpETFAsGCoUaEXxHGczdncn9/LrDo+HtWm5Li
OC0tkCu0u9f18cLrnRBI8BBgTpXPPxMg7vMvA7qD/GAUUZlXu1nh+v6Ry0wp6PgmopYHt5/1fldO
WIJ+VmcNAzVMbcb+YCdxo9BpxWjyoRmUSf9TZML4BgigSk9U23CY19NM1XZGZ9XRbk5j44tq5rxa
JEgS94nHfIqaqz3WmntorBowUYungn2Oy1FrHhuLt71PwaSUKHKRrrzYSjNXiW+lWuJEvqyBe6a+
LFMlPk2OHmn7fEJbdV+5vVlBZCnz2Xd6q8nBAcq27X+pVT85585qizJIlFxNdjqK2eJkWkNPiA37
toOMF9fFbuojMBBhDmRV9LoWf+rLwqkOLYmk5xuatKJnjbup25VpOuWfogiIVun3Y6InfqrqY39E
W9bu8Q4JzfJc1rlj/y6FPnWwxtxJPKCgWZqfCsTGQEvT6HV+p5Ya2YGTVmpxgIeRhP8w28baGdIN
bfAioaFSgS97hLaTzkMybEYq9yhYrSdzimT0w61t8TMcZklROqsRIW0om9cnbFOHXxOlXbG3vM42
/XFo8Cd3ElOpz7GpdMmrM6HkiqQjfpCNb2DJl5+Qg9S/R/0Iy9q3E5FO3R7h3Fb/BxoxUQtdNiRZ
ZZ87X7pu9iw0dxswLGWDPkqWlPjRuUXn4IUR2xIHduzf8uJpbnmzn0I1LHRfq+axPhqhWiv7rAsT
59s4cLf7g23I+RXsZ+3wpRBw2oHmnLSftUEV1+9NK/k1G0mpQw7qTXFAgsd1vk962X3K1Rx9mTZr
5PzkqbHMTy3aH+MB91VuSt/pGrjT/li3afuQRpXSnkdN9Eg7Ox6RCronm84XwAkK3yCXG45Y3en/
DIY9R9/un8IbEWURI6CsurSorrr4Jtu2KDNFcDGkKPTLuUfpOapqbyOJuhEkGQcs6YL2pq6/iike
Srol9pR1kI8ZjGjku5FInjrIQj41ErGFLL0xLbqWvJBh9QEqWT96IJwMOj6IdQBVrd6rcR1+1WHk
bHBor3x3iZRU5SjrkCDisLdGy5sitMfYRrYSuIYXvoKPaX8CL9c+5QDb2r8iOnLzC5lsMZ8nUeL4
WKVezZbty861HoSRWtnTNLlpvfMEDeWg4TZsd0rr6N+R8dPlczsNU7qLGrxy93ZiFjWPoTD8N4n6
HHXyWjHSL1Y7q/ELO95on9J5truHJgGw6Y9WDxFVVVo0UREKcJN9BUeheLi/f5Yy7iqGL1bQyw5C
/uFKdFJrNa+xzQnwuSn0RSkcCag0cmkJWgDRlUxFDLawwR+psQGNzVLsf+7/gLelXP8C6gewInj1
gH1d7SwLYsS0uA4EyDrY1n6cPfESSiUt/LwJcV3u4sxTd5MurA+uraTzY1fOotkb/aRrfpUVNAcd
V2kMHt9Rme5spQ27Q2Gm0t6hUlfHpy5skl9dPc4vBXDzLXWgG5egbaC7y62OMCKAmsvLNldxxhp6
sv0RzJFfV/2+QlJsF8nmA9mutZGr3MipadawbSGsaIy7ylUy1Hk1xJZRpnLmxrfY1XuBhv1M68ac
50cO0kZbbXlyrleHDA/sMxAvilbL9P+T5PI6iKuky4gv2aQ+6UZXwlWULTL3eX3GbUwNpmx2Qca1
9sbOvBECsPVBcgWDBNrH67aR0tsRYnW5YKrUG3PUFPd12G7xZW7GNcgytNpoxV4jxkpjREk8FIFR
lf1OkXhEzmWj7F01HTdC6K0J4XVBYR6zIgrzq08pOzOi/s9QkRsOtW+koXYqM7PfWLEbG5K3IMIl
KA0ZFORWjZsRKi6KbZYIujh8gqBR/uhM918DTbMHc8yi/f3jez0pyDEUD3TWiCf2umThpiJFgc+R
vOeb/CEHq/o06nLayJuv57R0GSiPg2KiwbZmrtSRCTAP1ZWgHLPw70WmHAiNnYtnLTRDdWeEXvfr
/ryu4+JyujhmcB8pfa3rmr2GSviQjV2g9kU9Hjqz7oZz2fSFeeizPIp88AJOfa4chxBpSdfodpnS
heGX+z/j+rxTpmfOPEuARVlrh95G1Sc1Ups26MsUN9FcNZ9BF+s7anFv6nTJzzi0p42Td+trLwJr
XPMUjtF7uDzzkaf3YdRpLeSRIZ2COlU7cGpeqkQ+fq1DdAZBKraMj98yiMtIs7DlF8o8nlcgxlfl
ghoYU5dBogm4SWPlk5d0jfIVQYqu+wiRqI++VN4cT0DQSmpUMJJxt5+1TlFb6C1gMne5ZnYzVYZC
/AL47KU/Er0BsNzg7hp9HLrWdk88J81fathGCawdisJfE7NXvL01iHx8VsIpaTbqMzdOB+g75LA5
Z6QzaxmSsFa8uce3InAtrC3sIZ8/llQvNs7gdYxeSk2g6wFHsVPequX/idEtFG0cg7ouqHl67Usy
hnoXkvj0viqN5LtVjPkxQujpsYud7P1tVAbnEYjbG9U1pBguN0tvD203KrILZoDwp5Kij287aEjd
Pwc3PiTdUyARwFd4c66voTlRaBXFjGLnihkYo1Z8V0VnbuSD15fBUkpflG1R+VrY1ZdzcUcvqsrY
4kOW6fTNsPvxidehfjYq/CH+hwnZHK83uAwP9suhYmLFoEuzC3r4psgaQDirjVw//g+jUIJcSp/w
aNelSImiXVwYcR+Qhvb7SBgD6rXVViXg5uKApQTHC/abes3lXHQ2n57Gog+Q3/aOqTbJE14D88/7
c7m1OEuTzuVmA2B0BXtotCaNW7cP5qKRr22vJ9zZTgV6zFI2CijXQ1FugtFGPxD8H6zMywmFXeXI
OR0I/p1WPhSmm/0OpQ5lgvbdxm19cyjQwXhNLZ3GtfIv7NKo9yS4KJ4F/zi0gP3YqqkN9MqWQ+j1
KsH5pJT2tuOA2K5WCeDU1FZmsggGocwxKVXue2iUHO6v0vXd8f+QXwDKSYivRAkifQxTPFSGoOv0
bt4XNFZO8Cwq9TWJWFreSbWZ7u+PeX1JklHDqF46uAvUeXVfgbeHdJAzpiul/XGy+8nvynoxTtGz
wDbs5Ki41dbRujFRUFMoBqEiTka37qPj4oGaBwz/QDVa4Iwxor05rh6vsWvXH8JK3/I3vLFReA6j
S7uIZiJFvJqk7UwQOnp3CJQOBktn463khVV0TJvee/etxcublzEPfsr3RMTL7Z+hOgLRqhgD6erV
GQ7D+ACDdAv7c+sDQtWw6bqjFaSuq5SW2cN/yOIxqKvWrvALyXDPqTo9mYJEd7qvxZzr78dYLNw3
KpnQ7Ugm1933sqfda6c1As4ZCNsQNiWiNVluZhvX1a3FAnzDsUbnicmtFms0qxT9+nYMQqNqgiyy
9VNpoGWPYlC9sflvfEayJsok5iJaRcPpcrHsiYZHKDw1kEKzzvHUZ/tYumKXEByPvVF2G+PdmBp1
IEIj+HIQ3+sGXmdVqt0g9Bmo+Cz8mXDBQkIwtMpHHgDWxn18a25IZFnmwiuiNL/8lv8kNrKSUc2u
0IKxrpSDW+LdXZh58VLNKOjX4aZI8nUgoQFAhQtEGKw+fQ32yeO8rZWCtpmeudazSs1zr5Fv/Ciz
onoIAZ1+yif0g+5Hr+u4vDRDcVfgrWsu8uyXk6xGsG/YQQ0BSbd60FJV8SM8LI7vHoUH/AJ7JY8m
V1yBMKG/pHNWYFRr1nMznekOIT2BYEjdv/uVCxoEBTDGABBCMfZyOq2Ns0bRcKwbo4MDptnhx1lR
mveq0oCS4qvR+KexqNJsvRwFXy4zLTBKC4RLTsML3tyHCDX7VWW+V5idOwUIO2VCcMUQGNc5FDUp
LYZnPAYt8HUfVmSJ74yW7xw7Fv/DtwPj4RJ+F6XudTc3r6hAj606BjPscr8LlQwtCGfrurw+wUsN
l0FI3Emo1wjBUqraLCdU7NnuCv6Wg+YrST+ebBwkDvd33a2hYOtDZyf3oEC92nWDa+WmI+o5EI5L
15fMI+58yBtDdurBP/7z7tFMoBpoAS9yllBFLjeFp2MfxudSqVV5SI1NdrGXw+AesWt8r5w6mwJY
FQrxhAvwIWuCuBRZLYdsUIOmiby9jm3kDnWr6v2fD+AyZ4h7kpfVGnzTIhY9Cmx5gDiWYkefHW3c
IpxPRqZsyTteRSF6ubwPlkoOrwV9zdTWDUgheJc5gUuZ+u9xTNq9GJLs0/0Vuh4FFgihFVQxFz7X
/uUKRYOZxaJBIbMZZXOi7j8/ua2AfXh/mKttZ+BIRyiFzryAv9dJ9dDlbj4oGaWEBc9SJB7eoEaN
SY41bW2EqyuKo+Tw8qYRzv+BkrqcUWcUY9NbXh90qQy/2H3W7dt81k6TmrdHKastMP311Di6yIvS
fAf3hGbM5Xhw+5GfyLUhoMGsnI1JT/2hE/Fx1OTGabo1M94jPEsWXW3O1eVIUw0NMLPUIUgxoz7Q
0qJNmIzVUWiV+G7G1daL+K1ScFEAWqISydIiPU87fj01p1PnyKHYG4RtHO1i2OCPToFQXVeF1QcX
rNfPrJusRzTtPFjVuneiEzqcZiBzQarjITgZpfnBUKetU3iVFfCVccpA0VJjrS1nVZiKE6erOkMZ
g9ypJn82jXk/Vm31HIti2DUorn12snaLnXtNnaISxg1qgB/CFYTezOXnH4VV15DB9KCjNu99CtNu
Kr7kBtTcz1UFBepn5M5mfgRZbepP1C0mFF7a2pWPQ4z+80GGrRViwdOQVHuNqb14iNGZO/BW5kw3
u8BTdtBFFP5uKbe6PlXOXPnXViIrz7AUHVWo9EVaNLt4kIl3bpPMrQ8dHsHlhw5jFu/7FFYi3ZMD
V9LnuZcrfwukq2M/qTltexR+4sjHcWIy+n1NdSrcVRRJm/eWBPg64DXA5y0n4YpCRY296ElnjMBF
AlQFPKDzHkqwDh6NMpUbQeV6GzAYSHAIW7zWebZcLkiYO9LIZmfRuvbsv4zWraNPdTOY5V6PLKM8
NaYV5gFdy2mLqHNV32OavJNAcpCBUP5apfi1VXpROmGnkTau6RteJs845QJl67rmSXZoYO6sWshD
ldnhp/uR9DpgM1Fwtjyt4XQx9ctJIwRcjK4pjKBCMmQHa7Z/KOxq2iA+XocaRkEtCjcUcPaMdjmK
LuYx18PEDOJIn1Lfq+ys+ULFU3iMBk8d6ZpiGDdSyBvriQcSoF/MPShWrEuKloIe6TQwKE/BqdvN
NppfNBuV0twJfVTaXY6YTQRqj/jzcP+rXs+X6I3ZOaWlNy+P1YIKwCyzNZhmAF7LNvZNlVYTHU58
BQ5xGRehbzZR3ezvD3p9cwAJWhiHFIkX95/VUnpuBzADGji4Js99kJHJMHD6H9LC3VKmvN6wS1ed
9wwvbROU/uqSMqwxaWq6GShs4nps6OFLnYuvw4yGv9nHX6WCk3PVmxu76HqvUmZf1B9IAHnGrd3U
FwmPITXAvUw2UI8Uj6N93yXyvQBDCiLgBRZNzEUkaM3nx9NMhbWGxMTguHI3CiM6tWZk+QKp0o0V
u+bv84oijcEW6i2pXcPcpamDfhONGxRqVNR/2on3wS4DcgVkhV63cwL8HIbHIioSZx82kaGhcU47
Ak0Wq7BOYxp14sk2Qh0v8o4qy7k0QjJVoriscqRVBBZgrdWU2Rb1YNlLl1f5UtkhXlJBAsa87p6N
qRfnRV16ATgvOQaZOlhwK2CHZvt8sLXksXSF1uxwzMXLxlUwnjrIroy+3t/x1xuCiIkwKgpEC19z
vVQDAkcOlK4wSNWq+xZlAg0/GClf7o9yDZFfkImAIOkhs+W5rC+jl+YO4QLRDgNkZTlUQMew3Las
HGeioqccesY/AkHczFrgH0OJb+VHtzNQ75lAePUPStf0D3qTKVuVoRvTdyn3YsdkAc6DK3H5u6oC
348ZeYegmCIQCbyZPeEPdTG8G6yzcDAWaQOQyEu5fHXc26lKIoGt7iOSsNlOG2V3UmqEXu5/56ug
yRmAt7QgLSjNUGG4nE405BVWJYLCAq3gF6+O5VlAYH7WnKJ9xO2+3TJluIpiDIg2CcgqOkG8J1bT
Is9V5lKhHGkOnfcUt3j6nFCtEpU/JS1q15VTZn/MZp7QAWJzbcSZq9WjpQ5knRuf9VsYfZfTRVE4
C5UKfAVm76TfJV1ZNFq8rNxIa258Vm4i8tpFCgah2tXdW5VFRnc1p57XxrNyzHUzlL6e9tUTenOx
cbSMeNy6H67hzEiUItRFi/2tm7euw6IXimX3hK7/OKRjv2vKtM4OZR97r642Oprvul30J8dzD5ge
mLs9sEjh+lhQp99j+vHh/v7WuvGtF+YXjr8u/Sts5i6/dSZF7BRkmoFhSzgIVh8/hLElzvdHWfbL
RVBk0miyLkhjYjD2cpejjEoPD1OWWiBDmZ1bgfhHk4ReoLH9NjbPja1LUX1hrYDK5Q5ZHf2wnGVB
p14LhlHt94mdOoipWEhSK2OxM0vH2IeaOr00drRFkL81SVCCsEFhdzD0KstI7cGIvKZBYg5ZpSdg
v9PLwkL7XdpD/977HkIUj0XSGcAui2LM5fcs2kmC8NW0oAHDegY/4Jz1vMw3CKA39gaddbpElJ8X
IvuqqKQgmVLzjOF8pEKckkb/25KhsbEBb6wXu444s9RfaNCt1iuRkVMlCo+9yO71QyR18QiyFeyb
0drSnzLd+ZzjGHQoIzluhNWbQ5MCLxoAi1HBau9jO1MooRHpC8Ar/ygKJN3trNC+zp3df1dxR8Lc
yAtBDttbyoc3Ig/+T4tmDMgrKuCr8xA2VpsM4awFZWj2T1Ei42PftslPBKjxdp3r97oGcjvzjAdp
QRUcquLaTwgQmKYtuvUo8zvaa6HU3V6d6xTnxR6s4P2zfmvXLFVwdgwdSeQiLvdm3UYqpVfcRCJM
S/ZpkcXHKib7uT/KmyLMKqRQrzOor8IP5JZfXVFyCm2gzKYe2GH1OCKikgvlwYiVD6oafS0U66D2
zr+1YX7sYu8vrXF9DDIOnWVAby11ZxfbW/jEW/MGB0YdkU4lr6r1D9JG3NHKVKdj05Y7uw2zxwIq
7/n+vG8EGa7FpTDCS5wy3yoVUEQad7OokZVMi+Jzl0VZEKWJdZibeQvecmuTLlQ8UPN86CsXNlWt
uzp1GEqFxf83Fao+MOLZ/hrGYfqQhV773qchnTxgPCSTxE9Czuo45qGimrObmYEsuuKFAn2291Ag
3FWKGh5Vu3beH0SX4hZlLXRGoZ+v4rWWNlqEtZ0e4Nw84/5q6PtENd8tQMOsAIiAUqJhyNt3tWCN
3c0JnAcKNY4iUTbV0v2so4uMptOWyPWNHYg4PTh1lX+X83558oRuhNDM8NaJZVl/GpwoOgt3qDai
prZcLquTR1MDRBcxk/fZVWejrwczj1QjiObWO9GPCCFPluHLVEx96QMXbBvkb4zYVyr4G1nfhYdB
x4fj/kG4sTs5AOQT3LhEr7Wq3dxQM60qtDXzkacQlVIZBgosDmA+g4czqZluybHf+rwo4prEHDTL
r7ph42Q0WoXEKKjAcNpbqavvStHOx/vzWpLb9dcFq7IUuXm7Xamv904jUkOPzMCyhn9soXypJ+uJ
nsQr1/1nN5le7w/39h5djfeG4uAhA9iZx9zlpnGKQjemSFhgEZCrPCE41ScPvJ/mYd9SzIj3+Zyi
Ne+MmXjg5RappyHCt2+XzY0of1txWtgPits1ryLqLfMzgLvE3Ydjnyg7TSiGe3KUwXlp4TwtWWwy
4jZR2rketIqa67/6PEWoiGS5S57klGQenouG98Wy50nsRJyTOUmcX9uHcNbV7DTF0oIeoPRucYb3
37c+1PWk/2HUk4n/jewVhTgfztU+HqX5Qwx57h5GXW3dvdEoJrBJGE2wYREfd/d6w9PATxVUYn3T
iXU0tkYn/MbKt7+1Ih+jfVYXaXwwwhR1RhJb1LQGQd3qmIO4yf0pzIrPrhPq/0zUoIddr5tTsR8x
qOHpoIbKD1tAT32xVBHpT1VcyECPHFHuutpsvsVTGIqdEaud66PZa+TnmnfKT6GoVCTstjBjfyJO
wn/SlOyfXO377DQko/67D+GM7WAMNR6Ba0B9tSi87FeUe7A8a70o1D0WbN3/cXZmPXLbTLj+RQK0
L7fqZWZaHtvjJbZzI8RJPu27RC2//jz0Ac5xq4UWOgmQXCQwmxRZLFa9i7Nz3DY2vw3Gn2RF6hrf
1LXo2WJtUyBn3AuQpWXtAPwZ7eV4fzdujSI5KawxNdGbZLAqqe57I5s/UnTLV2do0Yo57+nEbI3C
TU3mxZudh8kqJAvgE84ClOjSdkN8NMTknKZQ7HkbbI0C7pBHFdmlFFG5PlgjN4vnKiFzsVTxZVGz
8Xshsuh0f8V+aZWuz69kj2AzyGe5iRcT5cUWjyFqm6WJvPIsm2OvFa8UCtcImehHPM8AxnR2TCq7
DKhYHlO8Dv/BQLMzjlrq5N1Xp9aHf1RqNOner9u4K+BHEjVlH1cFpHO9CPFcAakKwa3aaNN+K61W
+zSniuOgNmIZ+JmmnepLoaKfcztmZ3py84VWw95Df+tTIAEHjl7qit1QiHu7IJdB7Pait4X2HvJ9
/CdaA9ZOOWEjNaM3iaIdWhEULtYo7sU1FUomJICEnb/nNIyeBGf/kA9i2FnWjfkgoELFCW6IRMWt
MhdIBwBMmlC/xNMIIc0q3UOhON3OTbQ1istJ5JxA7uGwXH87YVlZScDVL8mggSMs4L6NFeHq/gbe
uO+Atf6/UW7BfSPKv+2oX4pqFK91VtifYZjpfjEmS6A1Xf0lF9Xeo3NzaibUK/Iljwxi9UYZomwp
4q5gapU7+ErnTc9N6Vg7C7ixIQCCAhWTGQNFj1WciZS4N/VqMi5paOnHMfK+q+psHJMqi3cWUR6j
VRBAbZKCgGPzUmf3XX8qXNpSuwW4BlscMKbS5PZ86mc3686iK7MPdqN8LuOlDdI2NL/d/34bS8nQ
zI4dzx5Z7xLD5TGb0wW8tDygTzkh/IRdwl5B8pYqJ4sDTA6hDjIwapLXM2yUOZ0qLzcvedR+DC3t
f6JwFWhyw9lVrJ9ekhxT5ZvTKO8Jhp8X2qEo2ehvLmgRnyTrSAO28qNh/JR081vf2stBW/bO/9ZK
cEGChkCpQLL6rn+iQSvE0WdWgnYW3sTz4p6jFD+1++u9VUCkns8fZUnBLGZxPQw5I+0nbzAvIXR6
wAJm1aBfLBbzQzJiDH1G1jMa3hX2WOav+pJRO9V0hGzOJr1GjWQoc/YeblsT5/kEEYJID0Rdpuq/
YRXB1iOTDIvzUgwYP+PiUZzU1N0TA9ocRcpPUkXEH3ANN5moRPXMz7w01tSfK12Y50Q07X/YzhTy
AUMicsm7V4ar3+aSLOMcoxphUp7NxalR7fLJxtx957zeRgbIHBJhD1SH+ayfuqNo6CFVtXkxBzU6
CxderZdo/bmu+seXTQ4FtIRSKK2KNaNpRiY/N7qKG1iNLEj1bTJ+d+JdLszWjEDngNWiui1Jmtfr
JkQ+JIpBrDMsM0WlI6UiE2WWR/4aVjtvlq2xIBLSIgAzo1H7uR4Lkin4c5v9hpJ39G5qjO5gjq5y
mdvK2zltt7cTeSL5m0sn0qRMvjpsw4Bq/6RY1qUa8V+3IrP6UJp9+QRAyf2ZgKL2G9GrO3vwV+Xh
OpwzKjQM1JCoGdBJvp5gUvSl5nSqRerIy+zDQon+3zTxyto+VnGNC3nDwyHmfabXbzoiDcspzNvu
+whMWBzmThetr+Kc8xaiDpGC8h5HFAEwd4ClKCSjmUfUUJ+tuho+hl5c/ZW2SEccBtPMl0MGS2jx
jcKL3tqqSt6s2NK+UkRtW1/v0vBLPeDt6euKSJWnncgmF3M9bXwU+K7wQWQrezVtpCkSq/PsC7zv
0KePazy3xP1DFhJRzF7jQZbanzqRGs95iJ0PnhVYY0xJUrzDOK863v85t/GGX0GGIC83YMPrdE7B
+9IeysnGnaaNjviTOjDLZnfnXbW1wcgZoRzQONe8dRlTH3AMyVrdvpiJMv2YRr074IxRPIddklwW
qMW+ELW3w/DcmBrdNRrDUAKAf6w7FULTB8MaEuSSuuiHhg3IWytK+/v99du4sgnWEIvBO8okdQ1F
tDphuksnwksZRVb7Q3UUHZq9h/x86ucOtgDLJBCwi6LE1Z+4ss3o0uYY3vqI4uZdd2gKPUt8L6LH
/AUb9eqjWzV69uKkYT5Cyret9JIkSxld0qHMHR/5xcLY2ZIbkYYrgKoIPFSunDUKYZrGkr8iB8nC
sToiPYcnSQ9HqUJH4/ErgeWSVluyHXfTEliWcsk4hQ7Zdm6fm9DrjkpRKU9ZPfQ7Q218fnDqTArg
PXFqbX/RiFxghTAzK1BfqM+0NHcrZy9l2xqFipKszzEf0oLr09yrwtOjqXQvymKBhDHwfBH6Eu4E
6I1RqFxxW/Igolf1q1j5232tF11e97HET9GoOvd2Mj2B29pjxW2NQtdEh8BOp4hG5vVc5tozkzQB
tVS6A762yJQ+19W0ZwFxm8VLuCU3NZ+Fa3Tt9zibGcVdDi5l9oJCqpp9NeP52TEWyGRxckxC+0Sf
+n/3j6kMqqugCzKKPg04QoQO1pD42rGRk/cy6+IQ2TmeSvyWcZa/u22poSsR89nuD7ixluQHYHvg
7UCTWFMmhSjAJ6VCuaCWnhxq00iPSWcXOyf3dhQkayV6AOo8mIm1shWEEhDdw+JcDCRKzl40FFBn
KZw9OhfoERbVDbIQmhfrL9ZandOTXHuXiOLpW1hN+jmBNPH4KNAxSZwk4w562upeFK2Y9Dmk3ufI
+uQA/vEvO6M5+vBc4MnyZQBcAPZdgwKTFE2zDgTKBThA9DYNznTOlyz7+h9GwRZegirljFZRYWyt
Gb2nNLz03VA/Ly62QjEP1YdbO3RdiGwUjnmQkcpfn1cygqhGRju8LFCr/WkBtzxG5Z7NyO3RAWMA
bRoQCSw0eCvXo9hz33vN4HgQLRMzuahja3yso8h4nUHXaGdz9rzPD68eqAb5wKfKxDt49QpGMgMr
NSqxF3Br7kuoZuJoN8berr699QCo0BqDSQBKVF2jp7CIGkSSF+ElXiqFlHFOz2Kus8uop3sukxvH
lCyLJxAMaskaXHcfPKOpXDMLLyH2bv/Qbkze11Xj7uBdN0ehSQxNjZ3N4+76Q3mhVy2j04SIFDY9
zhdx86wiV/Tl/sfZXDZqZbJuTYt73elL3RhX0JpRcLILT6oexWcrWfLXUdZfHx8KAAHoO3mUCAvX
E4p1r6iMvg/5JE130HThHsrQwVq5z/egCltrR1jg4firCLguLVl9N/a1SnOtxLP+vbuMyXnRkz0t
la21o+dFqZyTxD9X+yBrtD4eFXLFOHTq56jyuHtiG6OysRxe7q/d1oSIDQAUSLXQtV1tBmHpCiTZ
ObxkiPMBYE+ss5OL4fGYjVkP17Wkm+PAsIpAaoQlo5sY9CTjJfsjK6evoJv1nRR7KwAhXyVvH5aN
18r1NhCKWSR5k4SXpjaUJ/p02XutihM/EWrx2VGX8vnxpaPwwg3G/qZfKJf2t2QrRnSw7gDnXXo7
rT4LJzZeCRN7Lj1bHwh+D8hSOOYSWHo9ig2WV6S4oF4oZ0ynBceei2ku3qf7c9nacQ69GZrlqEUC
2LoeBQ9v+pLdGF4MoSXHCIfr18hEBLPBePZ8f6jNCSGDIpvGvxrW10OZbYUSrsdQAMP1v6qqnYME
XNPeum3O6LdhVkGhxaYqLfqFoFD1+quaWB+UyoufagUr6fsT2tp3HCDZCCQvYY9fTyjSQmSPOj28
DF3/VRhO+hQp0+i3lehPiLHm/v3htiaGZCiHiKYgKhirDTHPeKhYhcltnpnOl27Imm8VHJ/8GOKI
tTM1uUjX6bC0UUXhldcEqoJrJlaP4Bo0MxEFi2O1p5mK5t+dNYQ/i3QqTTlDHqaTcJDhvD/HjT2C
MBaESkI6cJQ1ok+MC/QjIVCuRG3wVBK8PvaTY/z98ChU0bkzQNZCuV4jXi2lL3INRPQljhd80ShI
nJK+0h+fiyyWQbWV+sDUHq+3x9i0IZUZ5qKhUyWD0fgaNWqyA/TcWDHAJw6oQax8KG0a16M4U1S7
HZY9l3BJBbank3qyW6d//OxinwNCkRiBfsJa/NGa6yarqA1cUEKcAjfGDiNE2XRHdWVrLnSJgFlC
reDv1YolSxolvdY4l2IxhV+NbnjqrV1U9+05QuyNdwQHlgVT128iD7lHW8MaG7T+gh9jWXmv9Gfd
Ux736sOXLH8+HGvQQWSqfKfrj4PDS54rao0tqjMZR7VDsoPbv9pZtq0JwZQlsqJowS24Soe7Wrdy
z2AUXHZdP0YN5eAJnEMrzKp39vRtXGAqMqnj4PwSPLyekDIpo67H7Ol5cL8NmXIRcfNP5AyvxcxJ
KuZup0S3OTUpfkaHkjrNencrPUYky8TU4lLVD5M7is9uo1vvcqN3jveDwt5QcnP+dqvXGrpiWSYP
kqLOXyZ9xHi9cMunLo+TnVndXhxsbuxXoEwAuLtB9mtNsxRF5tio/FtvltP+g+7096hzOx8w0T/3
p3V7puRYIDwkC5pLfhUfCjt3vFbW7hLFa3wQRe1p6Ja9uL2xePSJZBYBGofkdbUFh2HyFM+cnEsF
CX45oBdsHcQ4VfqRKqa7c6q2BiMmkyWQUeK3tcpZEBR20y6ynUsUTbmvAG7y83z5G6dq4+GwRx+Z
Dc93Yr9T27jeE+gpe+0Y6+5lpiR9UHNHnFt61zuHauMTgRKWK0cBilf6Kkq0DdZFTby4F1D73mFG
y+2otNW/D+8DGlJcRlLwgUftah9w2Y9JrlML0Npe8fuqL57zSt9zPvjFCb9OHHj1SUVwujZUcdcJ
/4hzuTJiTnbBJXppL+Uo0k8tEPYvIyZ5tt/oM0o4njOk75WMk3XMlnyKDzUC+tCEjcbWOXQF/4uW
Y+z93RyXWj+0Trh0vj32unNhB9Zvmjcsy18RcTf8O0fsTul9NTGUKvTxboyT73HVat0BZDlyU/dX
UW6te9Nb5WBIIkkhL5cnNLl4cZlEV50SYxIv42wvb1kRfoVgN1GWT7IPXZfkP+8Pv7HzoSRRSJaV
UTDJqxhllm44mFaHY7MHfa9t6vQcI8gdRLn99+MjycYbODfIe7x5r3e+cENjjuXDTTVxyXSFqpyo
WjtURqF13x9qY/uTiNFYRGoAGMo6TwrdtDfVpFQuSlREpxDzsCfW4GGZV8oRIOTRMZDrB7buekJh
qy9KXSbKxajb+ewONTy1Jvph9uqeGOPWfLirqLbadLbJZK9HEkZR5MVsKxeqre5RoKFhgRiCfL+z
blubgQ8j1VAhHlLgvR6Hjkxc91UcBY5TVcel6Mo/HDeqnpfFGZ/uf6INtAVbjp4kj10SZkr/12MZ
jbJQk20Ri0ERkdj7qTWqr3OtY6aaw9e2nVj17bL8pJT9E4qaX+Np3quNbP8G5kkjigPAM/L6N5Bx
NK0GtuVi5Hb3Pyvsmx/DrC5HF2XYcx7anq+FXfiUFa1zHF29fXOHXjukRPCd9/+vnucqCtCslJwV
ig3yWr3+JU5vpSpS9k2wIPyRH0w0Abyv0DfT+DxPamr+peZT+LM2Z2V56bsIbZCaDAfrSS0tlfBI
UohwFZbCOiqds8iVL10yK8jKxjBwjgvUEe0COFP5Ci3G6z/gXNskn0d7UIaj3ZtQxLNGrZpD3hdO
Z/nO7DQDAOBWvdTADfT3UOyJpWqYtCfLS7z8+2jW09e0Ndr00LsYKfhaP4XN0QgTvKFtnrHGWZnU
X40p21le1KGdlC+wXakD+I3StMs7DFXj4ktS1KX4WI9L9FaKPrIuWhHa8WEuSu9LnOaTdgj1KPMC
A9+t+o98ntXyAJRJGf3ciL268DsendlXCzZT+STIGaojD5cYv5Qwq/tDWMUeOFRtGodz5fal8mqM
Tp4/uXVnZ5fZsfrJn6xC03xL0XkVmO6AYy5iC8bsj/ROnGfIFH3k+tQA239SVSu8M63D3iOt0qaQ
XzdpU1oeKregW5qrZTd/dOY8a970tirLP5SpnQwEHXpn/jsz0yg/5Zreah8miE+On4Kkr7XjnDph
eQLiEVe+GyXO9NRZBd6UR7uOLDNAf6vIX93ES+pjpC8WD9nFzrU9Lf6NEINNOoV9EhOK++sMKCoL
TCdCLbxIW+MA45kIqEI07GQ/v/bxap+DNYWeRQUPwc21YADEViWPu1oBH6hrgZ6b/dc01sZDEkqI
N2gJ8YJMpfaWzIv3YanV4QtmkNnH+7Fna644fgMhlJce2qzXh62ejAbTQC+8OEiyHTTK4qdUb8ad
YLo1Cq91sMiI4UuV6etRTK2xtcXjZrXT2P0cFWFMm7apdhoyGyFbQpCoBwDvoESuX49i6CUiynoW
BUUYQizwKv2z7G6/xlqk7vGWNmYEaoMeCT1nB7jYKlyWfVssS6gol1AlRB/0UHzBp6HdszP8lQOv
NgmAa2Q7eE8DEVlLVKVOn82uwTiJWF7RpTkodpT6aRm/Izq+dJP3nKrukRfPu2lM3s9G9NK5GEp2
Q/Qht/NjC4yl1+YnBH3PZVH82efNGdOxU1ZAgoiU6jCr09Hq5spPDHPnWtt4zQLXlKwnQA2s0Oqm
RqY2mxDUjgLgmt8HQr5PFVk5Gl37Whj8u7IfZwVyYGWjnioeteM1frOA2YWfeBsFhhX3vllo8wuZ
ltgpCGxdlQwgL2pLPpzXjT+vSewpnMooUF3casIifYrzHPIYWEHLfm+HYsRWxv3ZdiXOhvbHcXB2
rsitzceackFSlgCdvVrZvI6MIonnKIBjov2TaNmg+U0LlOvh2AAGVjYxKIeCuVudWurjWK0tfMAY
jZpjmrUafhDRnpbn5mQ4Rjxs0KW6aZXMQhm1pQqjIB/NiLpUBe3E1/G7Pd6fze12pILDX4jKSurf
GmpVIShvC9VMArURdn6i/lJihLpkKAFG+uCkH/PRiz8ZJeImO+t4G5dQM4H8j8Y+lTHqO9dxCUBp
DjG+ygLdMl5IEbInJD4dctc9+bfbyodkUUsIEfDc23oOTgG96gLsChJuf3GoVa0tfLNxko+ONs1Y
cwpoRjunfGtMdgkHHUwu6fJqkyyh2llLE5VBzWd8m3OtTQ6D2SNb1eSD9UG+NN/uf8jbDcMX/CXe
hRAhxb9V6HVS1wBeXCKHYWrDj9Bu1JdMK/M9Pefbr0a5gPc8rXBOGfpQ11+N3E7rRWKXCKKNHtbL
wubZ7E1PlVo/XgiB6QjHWFrkcNTWuXeZZoY21wyFSU5YvcxaEk5PY58VO0dgY0pALlDmpZCpys7X
9ZTSss0ALehcWtGs+IZVJ6dKywcwZ/oebOH2I9GGAsMEZp/SIjq210PBrlC0BUnxQMCR+0nVxXty
QWTsySHcVAwoG4HqInIAYaVJvTpaNfq4YFXnMdCUBWtAB9kw47WJ9THzSyuqfkDci9PXpSkK8TSM
bYgRUF22e94KN5OV+E1yJ0o/0jdmbTuXWti/LTATghwraw2uXK8h+QYz/2H8ngRXMwQn3Jbt8lXD
18FNoY64WAM1q8fjMKXz525YmiBedOXb/VN2c65BJEsrPdpEiBOC0rj+gKa3NPqQGyIwCzv61uae
iHxwSFhQD9ZA7QhF/IcNXCQIGlQDPC7Ubm5yKiwVqr5sdBG0elq/x9S29DO1nh4VnMDoxCYYo45J
35yPcD2x0MXMzG5NEQi6iPWzmi/FpwS1sD3d4Y0FdMD0Ep/om0u64fU4DYYwmroYY2AaHT0QRfTm
U9zmQ+SnvdvPyJ/tUQ7lJ7nKFZkZH4saD2YECD6sQvFYF7XSDnLExhv+zbWufBZCm55yK0Kqy9Di
HyXvuEOizyI53d8tN5FFDs3T16GDyh2+xts1ToU7MHd2YOHJ8WzqbfJHi3HSk9U2e2TE7aGI/MRk
4tj62aQuTm/PsRiDIbTxpK/VyihOS56r77Rk2SvUbZxs9O6BXpGaAI9bY2CiJOJoN90YZJVt/KWX
vRkMJPzHx1cPMgi+oxLlBejheqtQYrEpYyhYTBd6ig9frJe8p83Rqd9VCuJB3x8fDtVBij0wxjwU
A66Hy/WpjiczpLAZSS6x0zfnOhy/j0u/p6y4dQaQ+6ZkLUmq1lqnDMYx0mlpNgXqMi0/QYPVf4lo
1sZntHzz5KzXaant7MTNIQExSplxsDFrvXZa62IsrXwKIsr0z7mhtrZfeqn1Z1/PRY6BWER6/h/W
85dTulQ5ctYtz1xL1NR20imwS1H8tLV5PlOLQQtsjLq9G+D2wqMUCeCUxzS1Vloa19+OUZyGlGoK
en1ID6lCjPaVtoyfB967b1PpiPd5X7YHNzWqp6qu91rVWzGGdhfps8QD3dQLNGspRE+5NYjGRmDl
FRZPfVFlL+380xxoXvqdS7MXcKG+7Kzybb1EMmv5pAgjyCrpeur1WKAINrNtp6aZ+gvG8XFzqAwU
KA6liML/RWokEt+M2vJj1HXiTVNMv6bgUB4e/ty8LfkNZDZALL3VzTg30rcTXx4u4bQ+N2LBblNJ
/hZWODzfH2ljsWX6iROdTmoNFPP6YyexDg3GSaYAl5n5RUlM40fcdNW5aCftfRmKAe6Oop/I9fZQ
4htxD0F2afxOFsArfrXNKi9VDaqwEy+JWpwmo0/PQxa2O/4DG6GcLBR1FKKQ7IOs5ocfe1Fz6U9B
U/f1qdSq8kPvDOOJnC7ZufU3do/UWXVBccgCkbnu1CopJmdKGQGvaO1p+qTnXeX44N3S16nIlPHQ
hXFb+kY8w180JnzQDooBReqcR3R2d3bQ7Xcl+koyPUUdgPjr31JjFaC5ccROVtufpTf8Mbj2SzdO
31oYAD7FZT80h6/399LtF70eU/733xrw+PIWHhU4ESiCA1qDS0QMokl2duztF+VtTaWDvi747ht2
ldtFCY7C8nJ2CuePuumMP80sbRI/dMPp3/sz2hwLxKi0gdfZP6s9qkUteQ06MQG2ZuNBNcfpROVa
OYyx93iEl6wZOlsGLSFu6VXOaCROXkY608rDXnmekzR/ttWiPE+uu7c3Nr4TnVVZoECYlMLL6kyQ
189TEY+8aJI4O3fUGS95XkU7uCa5NtepIhNCi4X+CoHlhpvuznNn5Oo0Br0DcyEvoYbGH2pVzfyp
iisk7Ha1tLbnxd3FIcTPbO39YStNr6s9S9iP3EwJAhLvKtGkOyDszT0BDIOaI7U5Dtn1Lmcj4BWA
rEzQDuhVCSWa4PjXAJeN8mGKCQp8UoKX3irFZuoR10NFoerGJrWBoB/aAelIoGENneLT/U1+m85Q
fUC2HQ4dy8ZL4nqUgudZXVbaGDSmADtj9T6m49mhw/PaLwZeSP9hOOrNLrAWCZeQP+e3KKGVozHY
0LqDZEzdVzp848du0p3/CVVTnikvzTvjbe0K9NW440hD+ad+PZ5T2UiMZWIKwob2vl8j/pL5iTt0
jy8jfz4UGtrGBP917mDMLRCuWpkDAyFV553bQVg85m4zdow2LglqVlpWvdxfzI3JyWcRUEg0/qGu
y83622LSoKa4kgk1oBAOxjhsvieIOJzvD7Kx48mLXPTMKIRwo6xKAk3YzVQvWzUwaw1vYTu233Se
Xy9m49Z7vg+3ySd0KslSltU+nnur2LQkCx3IqBUgi+38PNkpI2RuspxwhbGlhWwyonc8Doc0UZIf
c2vtmd9sTfb3H7A6DXk5aGEZDyLoGpj5TqqkviGU6aOiVdN/+Hi/D7X6eJUowEBlvQjIOul4e7Hh
GxlepPe/3kYmIGHAZNPopNMFXK/o7Dqj1s4iyFx3OtTsGH+McD8tujk/lLH2Vzqknt/19s6u2dqa
v4+7Wkja+0vYjqMINCulzWg02SvWz3tQ/o1bRgJCADewP9EMX62hoXDrmzEFHRMj7iNJbnwMbS2E
v1RF/yqqCP2hbdzj40vK/flrh1IsWxdTY6S9ZuFSuPKKPv8+50MZmKnoP6Z0089c8t0hsbvoI827
h5GiEv8CCRnrYSQ6yEmuz7vq4j7c5kxXoVr8EkXiuyvq9jmhH7qTQP5Su1jd36jbS+ghgll8yNW+
Ge0iLc2EektqFtOTnvQT8Ic2R2G38NxjES3aQZQGZhW52T0lVemdTTf2ntKI8oIxdf1Jizz3BLhL
Je3unXO4tHvU3F9Z7M1vhJoN5pYcg17V9XLUcwq5xoxHxKP72ne1onitTUoNbtYcvd6IsJpNrCP6
UfU5r3iwYxanXzDd0NFe65XTYmf1l/tbYyt8QD2kKkBNDhj0KjvQusLS2kEVQVpb0ZPipvFXfUEN
amm9PZ7E5taX3TNCP1XwtUT/XKhugb7zGDgLJcxzMhVFBcohylvftXrjVbWVcDykU7ynwrp1srni
eLvR05cMpOtVhzOems6c8Tod7a45WS22Q741WYu509XaHIhCiywQA1laF61spVMX3S3GwHURhEhx
6vNbKmU7YXgj/+G9L5XHeGuTJKw2UQ/HNpk9cwyqxEayazIXMrqurxKfuIntlN2q3R6tamubSD8Q
PhureKOxZbVAbFxZ9JtHzfsqVDFzzJL5nUZitBOHN6fnshMlTwLM0ypCpmWhlUMeiqD0SvW9kY6I
tBS6XfiqiLGDn+K9FtDmVwPYK1mx0qJRXvG/5SS1sBUtr1JZvFiS8EnMS575YsiqPQ3ZrZmBU6VJ
DZkUv6jVh4MzhgT22PPGBbmi+1amkYsPxjx9R3rSrM+V0tU75YTNIclLSPx5q91wuvIFNy8l4enk
xVr81I5D+SVpVDdA99z41NEP2jkBm+NJIgVYUQrEv9SDf1vLVrRZFU+8AIrWPKpNOp9rjCReFLu0
D6Y7fr4fvLZHg8AK4ECik1a3i15bXmTHwFGNAh13vIyXr02ndNB4bPwGu0XdGW9rp9AokY8ogFCU
u653SrSUmp24Hh8Q6X/Nr8eSGsWcmv9pGK5NKnvw9NdWnuVQpouX0MFruz77lGnd9AGFzem/fCpw
OoQQIEhA6K8nM8e2WOqR1oim9NGfSmynJ9t1kh/5OFbfxyzbax5vLp6Ep/LSBYu9BvhqYWuOgjgS
dOOcpWcl7HGr6Ea1++P+ptgKVTJ4yHc8GsPrvkumV94Y5/EUcHe6J7vM6jPCtP0FYyvrcH+ozf33
/4dav3fjXLcWq6T8ii5gcqDbU/uRNrxTQ/Ol6XcVjbfuT9aPVxMPeTbHKnwsHqYqdcPuQ1rOfh7L
ejh5Ha6kApWM0wzLKfI7SuSnx+fIG4p+NWNypo3rbaKXA8yRlDPmYtR1Grs+OnZjq79bYnAVPkKS
e7ahWy8qTpgUtKLxj4jJ9YC1VYWKWPh+QHh0LFxKDr9fCS3/1odN/nmE93PKs1l5k9zE1q+V0v33
P0xZKkDR3+IKWpOoYtdSpjqneeGqMaYbovBU5eCMlABGcKmOX7XSNvX+mFu7FnQA0UUajCJ/dD1r
pbSUAZLJFAxjpM+HMMvsNxKk9H2Vc03u7NutowjNFzSYh1MO99H1YFlYeFOo0rFQceH40nJGlIOq
OONexrc5jjRbJnCQXa5vA9qSFOTtlmJ2rgFoLXGrHGLR7gSyrQcj5E36u6TUYB9Wt0DaxkZTC0Zx
oll8dJe5Og8NRjcYz6TLUeuN6mVcSvLLwg53SugbXw16IhoueHPSDl3r+9eZ6iwk8XQjAEJwODzr
gOVO5C9KVzy+QSBMs4iAY7lc10AVpY1yw6HLE7AM0TfHKObCz5XCOaWl3j89vBnpp0lFBeA+wP1X
kcaae3x3tIQcL1wiROWiMavOSq4u8UXXRLtXFNoIbKAhYYPjMyftg1YJWDS6M8Ao2Nmh2WruISSD
+kmyoOn+oJrDP9Jfanmy3dwxd0qjG/uT4w1ilesII8h100FVRe1qEQcdzeDsuUFn7zUqq3wnX98c
heIQVy2Oc6h7XJ82mkqtsvRsErAVxUvW69FhLpM9/fKNrSg5uUB+4M/oGGhej1I6xVKW7TAFVWvZ
32a97F47MAjflK5kwPv7Y+Pe48lILZSmI6F6TUfIzC5qFdtj2w8OiuRJb1oHL7TQ+R6TtNWPbmNp
jx9yxpOSYFR+6Xeu9ojrTQk2mDw76NN3IZ6Pub280428KQ4DsJEfgrdP4pdFHRcH6mH9nnbX1vJK
BjeqNlKA/5eT6G+JrQa9plHaGQWBvC4+jRX6oMe4wQb1YHf91OzElY0TQQ39F0yYkjqCFtcfk/JD
6s5g/oOs9QSCjnGnDAesQJfqpGX63LzUVVp/cJJai873P+3GZpUvISI2dXwkm1dHv5DehbY7q3B8
jOLYq076wels61FYOjqtnHWuoF+FgPUNm+IJSnPeUsErtnVQqGZ/tmKpOKgKd2eoW2gyY+GuTijj
y1EeWq2lMLsWE81eCxKLAp+/xFRIwZFE+KiCRXqHSsM8nYoxLcwDBSCk4MuwVCRNsI/9VGjdnqrC
1goTWGVejy0M9Mvrb5vOsx1TkVKDFilAf0hVcdKVfs/v6nYUtLckgxk0F7aVa6R521pTkaeDGoxo
6b0flN591hxU+u/vlttAAHaXFE0W93hDrL+jFzfgzqnQBrMHsmDytOLvppqnP2tb6TGzN5N/7o+3
MSs4q7L+gKQ5ps7yv/92CqsGt0560GYwz9X8P7R35/k4e0a8l9jfphRce1RXKD/Dor+BdCSdjqmG
XpZBUiXGq7CH6J1dKvFLnkbNW5qH1imNLf3JaK364fMHcFKX0ll8NQnuuJ6hGBytKc2yDYo0TE+O
tdCBR4TF+/LoQkp8JjrmJJs4zazxOZlhzTBgcaoc7CY9AxkdXxfD2XuKya18Xe6E0IknkSS4ADta
s080u209dRyawFLs/ljkTu63s/UZIJZJ9aM8OSis+V1TvvEZ/r4/wQ1wA2NLgX5SChri6uqtbrWp
OdSz2gSuMoLzjiVRpHCd9gjLdPDLqh/ORl45R+rw3tHKteqLgfbW418TXCr5If0MLuU1YtQYKQQt
tdJxKS/J5LeJOmQHe+nSPaO324MosyeZsvG2pvq9OhiJA3qsK5SevprufINi1s9HO5pdD7tQcx6O
aaQ3y8f7S3x7JfLCJn+i5k4N4cbNts7MSTGbGjoYzZKPYK0q5692TrP6OBW0fnfi+O1opL9wkHki
kazBzro+GHSFyoKo8KtzUT0Z/aJ/HAjVqKmUu3X6jbFkXQTxWWzWpej19VhWE3lmlGRV4I5p/Gzb
KazTssiflUXXdm7624hGpg09B300XpxID18PlRDORla4Ciq16Y5WPfVfliHvPt3/VLfbg1GQ9oUb
IKl13mp7qHpThhEcziBztPZYVrbyLrJcEbhLonwq2k7bwVJsjMezmcDCzYPF4dpcLouXcB70pA6M
tjcR+k+MfPYVEeHuDUggSw+RBbPz/PAkGYz3A/AhmSiuTjzk8aYwMrvmcnAQvO2X4dIDrziF9dC9
y2o73Nn/t5/ul3QMc5RuuZAVrj9dnsUDpWK6ahivfU+NXjlHczOd7k/q9iaiFSZFxkBN2wjOrfaH
XaIL0hugUtS00w4xCgOfarRWnspo/uFocR75tVO6JzrOf9wf+PYMkDnwouWlRx0XLvv17MrI1EPE
V4AhFKVY3ns8jL6mjTaLD2BljYdPAQGaWw9OkMRwrg/c5IxJBeWcml0TZYExJ/GhoVS+86y9/WD/
VzxLvm3Baa6FkfMmA6XlxktQjlM0HaHkuOkBQfPJe3gnQpYF4QCiHuAND8vrtUvCMcMLadCDdJqK
d4Ubi0PnxM3HDAvSo+Cu3HmP3X4r0A7g6WkqI09CdfB6PMWKUhsLIiMobEX3sFI1yvowhW3jPZuV
ab89ujPwWuCYAYmhGIEkyvVoVgsIO+VcB/+HtDNbdttWwvUTsYrzcEtKWoPkZcdxbCc3LGfiTHAE
h6c/H3wuTkSpxFr7pHyRKu9sCCDQaHT/g9f1ZrQiCXBKnDl9G0pd21nIO7c4qRCpMlhPDvWNYnY3
DWYZLOlwrmVcPvu5CYmqSIe/BhO+OiqFmTyIwdMOCoz2sRibrIZqYi3W8fGU7+wcEMaoECsiJVWY
zWHQgjzV+JsR5EMhDsNQFtoHFx2sbiek3H5IpK5Al5KQKamZ7SszM+O8bp1CnlEbsmlCmbQRQcFr
L+kwGTt3wu2cwE9RLKCWBH2G99j1ZwRSYVQjStFna02Cg6k307EgPQkfr9ztSxblOMUJpZehiGmb
zYLxUm5KbGjP7Sy0P6bUn5ePA+XAp6Kfkt+AvOUaIsvOsmfXoX79deoJR416CNRCXgpw465nZ7mt
4XWimc/r1BpPfTNOT7CDi2MviuKjhpbiu48gwm4ELtjr4Dy5+67HG7yi60nxiGDpUiHHkA+nuu/t
QwaPZie1vflwCPeAqodAwKngYbu552Q9OxMsHoslRUZcGpN36mVWvHfLq1F4f8AjI+3iEr+eUOpU
bgdmyTrzTvrX8Fs/NGXz7tuNQRRmUKFICV3b0i31lBa1zsyF6CrS9rem8roqiXIvrbInYxHuP9Uo
gvktKYaifi4aq/R3EpU7a4mkHzBgSgPqCbuJnK3Iu0KWhX4O6BmeBl3zI8tMjZ06481mVBLpyuWP
iofFm2vzxRKOBjTDQD9L2kMfMnuGC2doff/B7trsuLhTMr13OzIV0KxkrxTe6Y9uDncWywYHDds4
496Q/o6Hj/9LpRf+WyXM4o/HJ/zOEvJGVp+QDePeSM4NDg+BJvaN89hhzxgvA8hPiDo7d/edJcTb
iyYWXDiMxLYaN5ldxeQInnMuenf+kma6Ec1CaAccAaujN1nl6fGsbiIxjRje/aQJLkk5j/Hr7R8P
6RJMS++cEeV2g2NhNQZVN78B9W+snsxfHg93u4hc3wA6KArxVKS4cT1coLfWMOSGcw7IGHBR7EzM
x2Ertb//D+MQD+n5gsJE4eJ6HD2bUdWEcXUejVx+rLKOLLIR/c41dvuxKLQBOaBRyVuD8HE9StzC
dG2a0j1z8F46vRoOmtOcW8PXDnnefn88pTtfihvGJTnmXlY0mOvB9NhvM19IR9lXZwcr0Ep8Lc0a
2f52j2l0ZyhcWCjLEn+5WrZotiQe/EC6i3cuNQBFf1WWV+N/0egoTmcjZamdROvOMtIIBOpD5YS2
4Ba2N8rUKxzk4c8u9exXml9eFxrBUD65iQ48fei0vVbFnQmyiGR1RAz+bJ80TUAG5bqNf3bFOJ0G
LR9PcYmb2SS7dyOKVDdLURSQ4YIitoV5Dm7pNPoyMVQ24PGBQpslj2jaYMMpRKnvxPl7EwN2p2Ap
lK8Z93qTIA1Ry2V0g7MZo6Azau2vmZeVz71p7hzkOwMxMSVJx5UJ93+TB2RGl7i5lPG5gqJwnjNf
Oseh67uv9pBoe3Z6dwcD6cg/ACxBPV7PCm5ZWaX4FaJG4TZ2mMX++IfWl6A5wG//+e5jBoZOVSm4
xHgUbiY2pYmeko7H59x05sMsGvHceUBktc49PB7pJmXkCUPJzFJUOuW2tokegPnbxmuN+Ox2Iv9O
Wd+5oLtuHOt2Xg59PqxPTRKkz48HVUt1lS+qQZVWIcL7lEm2Tbq1Ll3sdhm00izzVHj0b7Pc39OP
vz3RxA/lJaIrbBS42M0Hy4hOUjrcYmv1h5jWb8CpEVAVnRcuWfvX4ynd7g4G81V9nko2RILNns8T
v9XGjCicGG18NFqnfqEg3Dxba57uwMxuV08NpdAhIB+pK6t5/6cu78hgGJdJc6BZZ6t+jPkf51DG
VML9eE73BgJtj84ji6daDtcDNYmddvFYejDI7eW5TB3nmQCzZ2JyuwPpo1IoU5U5Xi3bON/RnJpn
v/JUJaIMscFEhL/5czb1F2cIPkEa+/Z4Vj+9A693HzwPyMDAAoGpwqa6nlaltW6WtZN3zgz5Nubd
IW8WFOwhvslLoI+nzO7RJ6I8LdbgzaunJGo9a4/oovbDzY8gT/1pqELw35xwKGKELGiqZxfNO9w7
yraMTKqTz1WXIocpEGI+FGmzhLEnx8+PV+DOXgUjrvIFZfrFC+p6AfJCs50hFp7aq10IBkZ7hlaP
mltX7Nmd3RuKj6pUIxS25+YMii7FCXf1zjlo+FffLFxKaLQA6yk2diLZnd3KifrJagTxdhMz86b2
MI1hRUVXdH9X8H3+7bz23fKPpHNEE24c4FIs3mbteBwNrsDM61zMafFJeFP61uWjtpOM3M6FMbA0
JDHg5KGbef2FyrhZS6dY8gvSvhZsK2akR3Yqpj3ZxTsDkXCrOMlGBHK8OeKgf1s5dXZ+AVKjIwmh
lQcEAM3wvRuOyjSEUwYBT4cNyvV0Mm0hC0+c/DLM/XxEU2GNRmkbT3Q0uv9hKPWMAGQPcPSGA2Gl
YkHJThSXtPSM4nV2vVhGNBVW67lu42qPFH57xxBCMKMlI1B8ta1K51ghXsutXFxQthBuuPZWE2md
Y70lfQliryINendQViMqkSVyDYKYfr2WOBWkRdFOxYVl7rCZD5ZjzgNq54a+PbfXo2yKqnFhQo8x
huICAiJA19fNDrAlh7Bps3JnQntDbcKx0FrRZfiHXHSnGS7+2pkfrXbsPy3eMr638k3DAoNs/GQd
Be3a+nfWXsMjzGKoOUGxLMknL+zB4+4Eort7gmtFJdts+C2IU6PImotBLy4y17UQS8unefAQB3E/
jN3QvLv2wJR4ttC3UK3lbaTA4s7J+8YqLhM5dhRUcjnG8Zi9+vm096HuzstVQAoSj1tQnJjFXBGy
iktmrW9lmR+gqb+OqeFEnYz3aMi39yNFb1V8MGGdKgjC9TYf5VJ5NeXDi1id9JvX96sVmjiZGGFu
9JMVylqpaQSzHOfDWnq7wof3diVCNmquRHugzdfjNzqEAasqi0vXahb73h26qAAnN0SSKs/OEbgT
hVUbjawEdzoI0erv/5PRDThulF3OmR5QUH0j4RZPFNfjp8dR+O4oQJnpWuPeDO71ehQ39d15xO3s
kk1zgEG3nT3Pg9yrMt5ZONSRyewhXXhUhDdXl7XoJrUVgwAsUPbKYm9FZDr2Ubrzdllo98ZSiBGF
YaCyqW82SSrsqkzKpbzIdgnMo1E1yZ9eHPdruMhAzNHYCO7N2nPhn7XI7/5bw0YyIqPydLr0SIJ+
EJqz/jt2dfAmcj/QQu523X53vg6UG7EzQgFRhz7V9bqvo26MWhkXl4IS1w9Aze1xmrTxz8df987p
BOdE/ZHKJ9jJbXE1n7U2Q/WxuCya+1thZc8+eM7DiudhUph7H/neVqIGRPMXbAB4pM3Ct2laraKr
y0tq+uLUjkLJRiyAPXZu87vjqM1KrqqYnJvXqctGNQq/LS+tFpeHFDnlMPUy+/B46e5tI/Sc1LKB
eQDwe/2B2nRqsmFsykvWWG+zrWk4/XRrKJfk/S8qHvVgHFTrHNTZlk0mnKDTJmmXF20tpkMVeMtp
qdL59Hg+91ZN+ZQr3RaVJWzmU9ZNOlD/LC910FeHaikl4qyW/eN/GIXrheCouiPbg84NaqXohpQX
gJLiNPlFd7RHcD//X6Ns1dIo/uqNmWjlBYZ3Fk2yJ0sdlj19jXsrppq6yjOGO3Rb2/ESppg2jDIg
ERsJWZhEAnS3H8/lzj7jeQu4gD+0rrZNwMmpNXsUxfK6VEmH7RvOB/KDXljVl2VOrD1957ujqaCj
2lM6iJTrXe2lWWa7qLS+9hN859CvbTeKjcI69Jmt//7+mbkKCEJBk6feVp8kdco4pwuyvJqtPzyB
Gi7K0GQ9fzfKVO5cY+p3X7+cVR+V9wjoa1UA2cSeRp+WWjbO+prmQL2BFAzFcJH+pDfHwo0z+1ho
ZatHPn6ve0nJ7TZRPituoBAodEa2YW8tV2GDYjdfbZzSvzkTGoi5A+Ph8WLejgLLCRlV9koAKHhb
rC26uWM9MdkwE3c9mfEiXnRDNu+FeAE6VrkAHitK2mObC2tG3a2JPWLkiObFJ4Hl+suoNcYJlfS9
e/r2i6m3shKw+/kM3DK3EvwUl9lTDn5l5UVW41Z/mlprfxztxD8Yi2b85Urr3SA95oeNH51GGjzU
lzbZjgnZepkL5kcfM1tDdwzGg7nw+SKZgaD3pJTpzvm+O0/Yn5RSmSj1zesT5zcxhF3lBW5lkx4m
s5dCyMS8ocMw80RNdwlz1/3y7s1CboH+LWo6ln3T1K3G2DG7CTuKbHanizYN40cu4nfbkFHGhwoH
2FGV2UHaXM8soC/nVZXOKKkGftvNzGcr1tunx3P5GSaujzbqangGcEEqesUWvxD4Wa0nGgLqZW/3
069FapU1ot2i679UQOiyF9XOm8IqE4MMY+iN4xStuY3qm9PqyJKTmVdx1BuL+s96Os1vQQb29qyn
rTeFVlB35dG2yqELwfUHDqqDWTVGAPuLvWvrNvgyEzaCanXDqt5ewStCVML2mEnfWhi3YVxg/4uP
Mj6mfbGKXZX2OyFDvZQAoStFJfRLN98nHusgder0vDqzqx9HRM3a50BPWv/JjXvDuMgJ5eyzNOwx
+IpyXp288AsrKjBrRnUfZdy6BpPsaG1kLRjwVqETL2uCQKI2fTFHb9Qif7Hi+kM2dubwNhTxlEdd
r8/6H5lbVfGLa7diQloAkf+v0yAC+e6WkhL8431E4dKgxb4J+s7Sra3e68W5aCre0cOSneogKd96
ymjHx7vwNpHm0oSoRMEbJDWJzfVa4nOCpEvelechsGdYX2t57DpfB0PA7onF+m7rGlD7EDNA/1HP
gbi3OVt+ExR6bK7lWcZdVx1WJy79w4B1xWfTzB19J5/6aahwfcZgeyIaD0AaT2Jk5K+nF9NwpEPB
cBUmGEMdrmNrjd99QHreYSwodNch2taBB+HGRgIs7PPeSaLJ0f3mE5btoBxyY8x+WJ2LeC2d+t49
FXliWJd0blGPwS4jqL8GWW7OhybxzH/woY0rKNVODec+sbT06A7Uan8rTR5jJ81a4WXMKU/7N6eW
wT/Um9o8NPk9wXkdF71/KlFwljvf+Oa8oKtAz0tBE7lo4b1eLwIk0zpfRJ2f5TzY4eJp+aEIyj2k
4C2gDqQX+5WyjGLz0n+9HqZvhrWwbChvHf4ox6UzEE52aueUd3EVyiQ1Q8xu8EOqHQR46C4+9cua
7cBhbqcKtRc/6J9QGEoMm9+Q9qImvQWajxiD+WJMcf+rkab9r48PzU28o6yGxJRCKPK+gU58PdMx
QNYBsYoOWdC4OSz+0kR5FZtPjp7udU7uTAhmJjc7SEXlzLp53Qhh9VhfuN25Kc0fg1PYSLjgEfN4
Pur/5OqUMB9enZSiYWKrAtv1fIoqbfxkXbszR6Gwj83KET3EduZYB63tJ+dFp3LgHidKHX/T4iuW
sO8tbe8WUd9m+yvQNmF4+GnMdBP1ENTqW89FbrtqhXhzMpk/zXk1PWHL6ADaHb3kqZ798p9icvUd
oNFNFOSVqnT5oBoAaqIRcb0ACzVUu8OY7Ryn4zdZ2OPHeOy/Oq1vvep5Wu5EJXXeNhNVHt/cmLzC
lN389Wjomca2lmXDWROd+xzrFrTzJhdo6meiivtomWrJe7nz1714eDtPaJyqz46WHhjirUQU2nkO
FkYIoFQdCp0vk1cw3dY00pNsZVO+drFo253oc/tZGVO1Q8iIFQ5ue1gqnN2GPJ7P/SrJWsp60vQP
dYfHVXbo9dbvP8h4WMTHpkmLr0L063J6vLtvTyt5Ai928jZEsSieXS+3UuwwptlVOkSG860oA/3F
1ldoV7jb7Vzct6cVKXVCLdrLZKm0ea+HIjKaTRIjB1Sa2fTFHvPl4wJ0aOcxc2dFVbEDUCiUXyhr
mwnRw9I6vSSKukvhaBEiX/oQah4slmMt5NKdsY7y4l86Hoky1Km0VjtR9nYbkXiBJGYHQwRE2OZ6
muNo2H0pYKzCJdVUIaRw+0gkbpV9gECESGcHaWiPg3H7GdUjg6cNorJoVWyTzADlQPC2/XpOCikO
yTgFYaADC4Tv8fW9G4boQxEc1hNWQDfO9ck6j6iwGFBIM8d9RhSiP1qtkTwZzWzvvH5vQwFembTu
2KCcSF7b1ysJzs2ui6U1zl7pxOh0jWYPmWUxP5MaZp8tQ9Zvk2akO0fyzlJyDpFWhYIPpmKL/nLQ
QFrWAdBoMPX+M+If8RLOWdv9kgr0Ex8v5u1mBa3Eciq7VkLdNuR4SgStbB3zvFYU0vGJMFKe+Ska
xKdWuYtHSVqM40fXqKbfk0kYex3EO3PlZaI48v8Xmrg5kl5sFpB39eRsK4sve6ETj4fQ/FJjCLlz
LgH38rmuI/vPOoMym+RlTI5x/TkNOSz1mszVGQqSrD8KTeZjmPROuhqhO6DA9pp0cs0PiWH0/Qvh
Uvcis09t7beyzvLkSztCQT3boAe+yB5Bwiaa3FVHy2yy67w/DH68ZkcvUFq1WZDL8qsbu/RdZRn2
NQ/UlF30lWdlF6lkN1rnxPbC0daKE/oY1WvB5e6firntfwUFoUWFi1RwJZM/fDuVYZEh/IC1t1ca
SLijCBHash0jUTrlEPZFV4momlzv0LvL323hiA+0Mr3ik2FnhoXplMzf6sGbnwOntF/6wYnzQ9zo
J08L1v6ITV4Oy3wd+gAIHnK4odvFVGv1xjLylh/f+Z+6spFdVAVtMqWhBQLXj3ot8F4dzDuh7AzL
pbLMaYnGcdH+7QZJnp5ATv6hvMnjaM6M4K32h1M2gUpCCr4N/dEof+0Gi/edv8rVijwu1DBZ2/TJ
QmZyjHjP+m6IvNmPOjascDAR5I3dyTn6pIxzuDa1vgBHw3ljia0VhJPTHDIv4Zj4KBmFcezO0YQr
yBgNwj1ZS4l2pF3rB59rVIsgwQE1r3N8av8a+Q9+2EuLUWffLYUdjoFZ1JGVp2l+LLqxH199dKym
CAHFpgllsQbec2kOkMrdKnaGpyxZq+5gFciRHHHtSIxnqkzxd1uf0+7Axxk5wfU4zvzUdF2rMO1R
hIh6W9eGl9FI6uWkL9Xa70Svm7MFxBJOECVQVAchwm4uonV05gazR5gJvZ/SegJ38KuZ97kdTp7e
f3kcSG7uVu5TSFZgZG3UbIgl12crSBvDnOzRPmtULY9OPn4r62pPif0mE4YaA8GPGjJtGLSJNjlo
4i65zjfxiccZuo0WpZkkWu21Z0pr6f+iL76II9+WHd+60Yr6k1Y3erqTIN7cr+pXYLbKDwAidsPj
F76wNJqX/nm2fTrciU7PL+j6D06T41Ye4DL5eGlvvyMJLqqRBm5IVNZurEymcUBCdkS7zehRCPWS
OfsrreOgOVBob395PNjtdwTkrKoA9JuV4MwmIOvt0OopFZyzNOsi8qCXHeZa7OGpb0YB7q4UXpVD
C/jmLbmRWrKTJASMcy9yHC/tNulTwPxxHex8q5u1QwSBlyBcXo8ReSdcb0tLlDKOK+GcNcy43Ki0
i+SrlFb3z+DM2Q74/c5Y4Jm5yBQUC+UJ9ff/6ZwvjpCpzHwLy56+XSME0Xr3ZclL0zjg5LmrxfLz
U1xdZ0CkKHWg7Uc2S7qwOQ3apOpG1UhJMWnkSElRBnGoF9U4fQziFMvTJa+Cz0BMsuzZbE1q3s7q
V/LVqRw5HDo8K9wPIiFne12xhsx2Vv4md+LX0e/DaEC9WlmY69Xwu6TouPjhUVAMPuLUlH7oOn0G
2acJCj6z13yoOthaO4/lm8Op3v1sYIVHAmGz1Uqb6Z0lOHi552VOvaeqC8rpezK3pfc0NrEUR97y
63t76lAqeLdREAR2dbuZ2yKL+3xMBHFWFvGpsD1MxfrVn3biwE2uBq6GTio7C20KiEubFR3tOvVl
nC/nqjbiYwb3Pswn+XfQFMEXz1oQMxCx/UtST3u9wtvTqnRbKR2zt/kFP0tL/9nYVl4U8HQb7SwH
2z33w5S/Alx9d+2RSg20WdDECAuB0NtkZ6OT+Z0R5yD18XthHzvDV29s47c12LXiud2bGDhimQ0p
QLFvtkjQoBr7ofbagIdgUX4eR89/SuvBP7X+1B+8QY//cYs9XYrbjfnT3YIPRy9NaYZdn4dxGLJm
oUMEgDm13ngtlZijTYZXHvx+0ZanVOuq4L07huoqTXGwHupxz865HrOmWVHbzhScHcNovg3r7D1b
WVdFwG/wZnaTsnxui7L4s6kHYyf5uLNnGJo2kNKZR0Rws1mrdqIQK+3gHBexecQb2joGxWz9L6PQ
UaPax4pCvL6eIISsrNd7JzhXFK7DSYvtsEeXZmcZbwM7dnrcVvSaVFXc3/TSZl0OBSrMwXk2YxEh
OOUfumbqLq6gRv7O65cvxgA8T6iO8q+bXeI1cyBXF0hvX+XGn9QWmw91XaX/Ph7lJpIwCkqthGZQ
qaCTVZ71nwPtpUIMa6D2PzXw9YeHk8dHa+3r6Ue5pH4faR7578lGVwTNQ82ofjwe/t7eIM5yDFQm
RWi5Hn5pxKiLMQm4KOMs6ivMSvR1nHcuoJtkkUkSUuB2MAY0ZPUr/jPJcmnWCZ0S/1yij2Ef3NTr
wc4VazqGY6kHeZjhivWn1QztSq8SpiMogWLaQ9nc+RWgUmxSN6ruKHFsjiA5OGRFnlnnfpS+czTH
uf446uuih6k9BRerH9MgLHNzXQ8ohKfmN7tKsSJ+94IraV6apZSE8Nbc9FkMTRAdxj44B0tWH+04
RlksqIedUe5EOEIbWRZFLyhp2zq1FntTY3Y+h9GXdYiH+e8iNrLQsMTvxuK9/6KnBwf8nZCp2ozb
RHXJYjNfUBOFIyf1N+gcyTMg3eHN6jBT8+x4j6h5JwioUj+5qmo+Q2683k5NkaSU3fL4LDG+Q4oA
clI+ZUHode66U8D7uVLXmR2gYBJjmCF4TgJvvR4rmXVURXDrvPSzv/aHgjtTyd3ghxomRW39MntF
XJ5chG3/lQI5go9ukPpZqPVopZapKWWUWuj6H6QxNfKbqIu+/aqvBZl2ikJuFdaNv3gHPQkS52PD
8s4fDYFT/dNqe/MP0jqneqpkPeYHifiHfhmrwReHYolp0c14io+H0cV04rmSLTrW1tRjCmFKznIo
2254mwYtsSPDW3MjLIIxyT/ZY+2Bi3E6N3tqaGfMkQETYzhIMJP+oaxiyz5O/Vz/VXpo+D+tSWdJ
DqktRRRohvNd4jJdh1Mw2O1Bh4kC8k4Tefu8WO4qwjZwkxEleRWcjWKdl9ep9pDl9Roys509fhs5
eX0CYFLvI0VR2NRWZaePQNGhVvmJfpk8aUZuX1oUeQyU13P0Zj4pYM4Hmth7hu53cpafxEniJq8L
oA/Xe4JkF5Bow+mCcr0c0d6YalqTevFhHLPxWPjW+smICz/ZyafvxGpwDDRdoM2omtlm2xcT4phT
OmhnvQuy7quOowmbcDK1aieLvl1ZIFsEDt71jmoIb1YW6t+UGp1MLqkft5+rVsbZwZmGpXweutgv
0tCkZzmETu233i/Shyy4Uwq9M1OevdCQkBWnvbWlYuE66UmvTWAfjmP+VSy6fbSEdHeqkPdGgbGp
pMtVMNnynebCxW+Vo3yeFjs5ZumcRbbdv7upgvYGb3fqMeRedCE2GUsQtDxYekiNvezqKTS9cn1G
Z2dOIq2t9+zkbncmVzjzQeQUChmYu+udiQOjPbWiSi59Mo8XiU3TQc7sybKy0hcKUOI77lp7jrK3
6whXDE1K2ubkSTeyAN06B6WQfnIxeE9GwdAlJGbtu9G4in+NjCKVLaXps8X8FnQYOpm6ySXrEuPF
rvz+t4DeRpiaE2XXx5f0nWUkI6OZDMGcYsVWuJHCcwLSyEoudrFGwh3+QhsFfxYxvLhUsQ6+tnPg
bi805kbTBvCnki7ZavRlfmmkcVykl2Dy9SRMyqyM6BLaX4OWNPrx3G5TA64yusbKmomKxXbXJ4XQ
1hb724szeLRQ1vk7ilJ/x64uQ1hYe85IP+Gk1/cnlS+s1YBR8y6ntXG9I2cPWaSmi7Xz5LdGHo3q
2Xx2HZnoXBaZpv8eF5LIicZ3WkQJcCUkowGViSeJJJQe9mlp2E9G4TjDcaDn8jvyxDQmhskUqDiJ
wdci115E8/fjRbrzQZSIE7+XrhPv302odVFb96y+dRGVR1meDvvfOeCp18wsd/Lv21BLxQiuAtEc
jSqKM9fLswRcjzIo3PMAZAESJH2lzyQJ8xSlmm99xMphPM9V635q7bT/6/Ek75xb5HzBSiD5/LNw
dT22b1eFO08IDfD2zU754OohVb9gZ7/dWUoEQ9hwtHpA1WyBRSv9TdnCkD5nmed+qBadpgUM7Ok7
dJP42/tnxCpCXOQxo/CW1zNq59IkKXA9Kk5LfUzqun9tLH8vot9bN4QuEEJmCKowmy3d5nPd1nPq
n5uRXk0DCIF0w95Lb+6cU0qyNOLxhVMKfpu59BbYrx6lexxmpj+0dv1lbpTQIm+H0GoR03z/yrEP
CQyEWd5pmys/zZvcWRPpnzHu9Z9HkVvHRnP2EA739gIiIbCn6Pujs7IZpZFmhTZmS9PA8ebfFrpE
Pg/ecEIW4t/H87nFWIGwQgkKFPNPTsXWhTOopsQVmumfbTwumhDxn7o8BP44vNSONyYHqyum70Ly
zgxJ/HMBCG3os0h3kcc6Pv4t9/YLPwN3P/X+BZN7vSsn4ddDOa7+OdU0g9deskS2K/znx6PcW1vu
fboxVD8D5BOuR+m71INv4zJhmctQc6fhqYzrMfTWae/9dW9rAg3nDavUBuj8Xw+Vx9bcNBaNCTCR
3W+Vrw9nU9rjN4QtzdAXZvDL46nduY6VmyrPBpvshjN3Pd5oLpNTlk2Am8iwToqC0T6L1QBJkYrh
V5qzVZSOzbsF+JVcA29npUJAh2SLkMt6QxjzrMRR/Bx5o3jUPkyiEkffbZP/IW6pJjitCh40aA9f
T3CCmRmnMadvlbRLE2Pwon5t9hzo7u1DejAAZvERUaXP61HaLEknp2MfGnM/vWp1kR6h4e9lg/c2
hxK1U+cO3tS2FZKge5s01Ux0lOz2qc7kpywV9YfZ0+vnJKmbfx5vjnv7nnexEr0IqNNtRd8asw14
+3LQc5Kr5yUxnC+LjjCim9rW6fFQP7/DJpmhegSi8WcPkCler2DqI6EUr3pwtpwZozh+TvlpDAbL
CNd1soeo8ryxeus6YaShr1noJJptu2phIrT8E+p+1tdBurXxuhRF+SVw8vJrYjvL9wYJlu91LJZP
sFaS33N7yPVI9No3SqHmqYpzQAd9MDVPU9w687M9NGV1bPCCRne/KFfvyFkwvtulP+iH3s8HHHey
itqaUVT2Dv7vJ+ltuwQK60PPAylG4uv1EngJzM0x5jljlqkftGFZzvoY5p0F4BexDIcqEy3LOfnh
m6Vr/ZFig+4fLOHYkCgzwA5nHU3YmjsMoMbnqZzcNsLILHmGl9FgftTVa3OK+z6PX2p96NNPdqmV
/z7+jLc7RrFooCkCzSK932rbdHCV254m0aWx3OzLlNlx6BfresFvadgJynfSO5QnYHap+rsSH7he
LTP1alDQBOXZrFbADGZiICg5zc+dWEQRNtnkv4zzIo+GKeL31wssCssEaDDNlBy37Csdfay1oYp9
9gVMlyBHeIAE+/15CvkJ7RvAUaSxIO2up1gUDsSkGab5XMwrNThqzWAxzHGoDnmdNSSuY/n+VjI5
BAJZSDyBR71pGnle1a31nMBk7CkuuX2dPeWi1cK5weLs8Wa5DWcgtAljAB1Abetb8o6ON3ul4958
yWkWAfZf+iMYzfHFF7N1EEU57xyw2yAN4BVgts6omBdugVFJEttBv6jlLGd5TCmrHrBz20tJ7syK
XgMCdHSFqfNsP5owFr1YRFpenCJbcOi0n5aSAt1cxSfNn72d5PLeaMDolAApYQNpoustMpEni8AU
YDOMYjy0epefzNpAAN5o/3Arpzs9/mQ/6bLXMQo1aCglUHZVtWCraFnMPLbabKouljWY+ROlCZBV
GgS+/jm2/Sq/lL0Qzetsw1sI5xX6wWFanMCOUj23f+DB7PvHSRd9eXTXDmSR1y3d2wQPA/RxkU9/
Ct0SHXXTKvOohFZz9edCotAd/Gnsf9gN1WLUCEbvi2NwMx2qWQTZbymgmPUTSczSHeDEFPrRLJDz
OgotGT+PnWu0YTstZhdWM9Epstp5/Ttho8twlYP/yQW1isOk2covo23Dd3Z4uuVProAnfNhZPr7G
ZvV4pfHqIFNXRq6bS27WUnO1cdu+0MFII8Na5aES1Xp8PMq9IKyAuaq7TF1gK2VmAG1pRqetL4nm
OF9Mbfa/xlMsvg929m5WOh0Cmq78oc5HTqKO3H+6T2YwE5Tasb7oiemE6BvkR2fQ9yRf7k6IlID+
Kj2JG9m+zBuDEphmfVmQyT8h1ZkdaxCFp2rcfVDcGwqCqyIhIJ3Dq+J6QprmZqg/dfUlzeL1ScNT
BIHYtnhqIGHsfKY74YhHqOpXKWw6cJrrodI6qLRUs+oLIq3jqXP9+GRTBN7Zcncn9J9RNk1Q6s0i
F9VcXzT0zv8cJyA0vfSMp9lc8p34em8o6noKYEt158Ytpc/qXkf9m83QD5/xjcS/b0jSaJ7lnkHT
vaX7b5qxSeqLuZiAGJJmJIlZnMEhZFEZaMHr43N0dxT2NfxLnn43RIXESvVWwyP+YmGUHfLW1CNX
y/yn94/CAIDfaIMhbLTJY1opc1ealriUpRsfNfyJjt1Q77lT3vk2MFqYBrkKxf9t15KSQZq1tVFf
KlpNIQ3x6bnyu89trJXvbjAgIQNoFdwiHX6eRJttbVAfGkafw1rPMqNBaiQvSTH6Ox/n/oT+3zCb
LRCn/uA7vV5fpFv+beSe+cwjYArR7tpziLw3EngIql6wPC3EZa8nhNah6JZRqy/5mPknKErNEOVW
4nwCYpj7O/f5ncEgQPLII9Kxw7c2Z8C+srzs3OZi+qV8yjJkVETTlr83rbcnEaZSg81lRMceUSt1
GbH71Pb/T+z2+iTIgzZtL0qKA7Xh2fg4DIt7bpfCiMwqcy6l39l7CcSdQZW2t9JGNSmzb/IVIVov
8eXQXrAF1uRpcJN4PKR9IH99fKpuAQn4qFGpUfDpnyWx68mVvIrMbnFrXh7zp7lvEdvUfxSNgEqZ
v+bCysJkWX7Fsvvr43HvxAxVHVNoJLQSIPtcj+v32jLncS8uVK2qb+0yZp/w3amPO6OooHD97cgj
wM8gI6cwcluoQ+auU5lyoi/Zkg3mZ7Ne3SRqbAI9tcW66Z58Pc7HX6bGSu0PowM8MBxsmQxRwF0z
X/Awzv8PZ+fVGzeStu1fRIA5nLKTpGbLluV8QtgTmEORLKZf/13Ue/BNsxsivAvszmBn4OpipSfc
IX7WZ5oYT12hj96l7KO+eYl0mVSXOUSKzJ/HOW5R55f9V+CA4i/PS9PoqTLnqDjbFGmdkyHxkMc+
1KoJYyKW/OAJAJjA9aBAnVWQ2NpOHVrSokGq4c94MAvbV90p+sfpR7yStLqvxOvg1POLbhV5f5xz
U/mUU6rCbLZNk389Ucf93g5T/btWd0O8b5zBlht55O2J41OCQcLAaMFSrrsoCvK8dIbzKphyaOOO
tLudtOA2ZJlZbRzu281xPdTqxMX53HSJmVRBbDjZAaPz7iCg9/7xEWMUitoLmotXeF1JEeOIYKIn
yMHDSDlpqWHsatxh/odRqGrzcsFpxtPSvt7o0pRxgtGb4JKYZuehN+KxRllistONj7b8QeutzrW3
PCokpGTD1wONbLXQatjqYSa0XeOO7V6MA27wptLIR9yJZ23jdN3bEdzAC3OX0jJNgusRWzdP+o6k
NzDjzv3bclLx1ai6SvUtWhEbn/Gt33kzPdCmuOwQCt6wPh0vzgylawR6AcLCvs/K2vpldOt4OpI+
Nd+lFsr6szuhNEVFytbKfduZ03iyQjf5JpKiVn14yGq5d0uRehAE7Bn54rmJf+TQL7ydK3h7d5Az
dIPmqmf1u6yb8+Gzbfa543d9Z7nHeIZX4MuunLxPXNzZdDKRa9V3kYw6CMXUxCbfdBPLPHWR3Ui/
4hKVexyaZ2UX1Zoz+Vj96dW+xIAscn2XCoV8VJ1xzvZ6GafZHz/9EChhHSK0BOaNNsT1+vARFsei
mfVJkvpAkVI5ZF6a+Tx0WyIIdzYfXf8FCEOySyN+FaNXcHDsrjZF0Ex4fORtjyp0a/R0pmb1NOfR
n4PrUVxAWh7lrcXydy0p5kR6TO9wFIGVltnvGWEx6ddR3dC4VhJlC4t85z5iaosyNEJMSwfx+kMm
KAfZdcJoqjq3O4hj6c6JQ22jzHMbZzAnB3As2NIFO7GqYnkUWpqMUDoYadZ8YpNWXzMphj23VOYP
RjRfmtjL/3n/hbxzhpc82wGo8VYcWb3DxjBnWpIwqJWPut+rueQMuH+bxTDv/4eR2IbEM2wS5Fqu
P2LpiTGspCuCqJuA46FjIawPSYFB0sFMeFo2Nv+9NSPAYL3QQ6dYvgqgqFelqYqWTzCrQ3gwMEH6
oHnzlkHkvTWjAbU4dS/8s3WnwUvNNLSKugk8oc7WXxbUtMHP2wS30LR2Ky/A6tt0DwoR2BaI4jZy
A2BI/MTuhwxEFn79PTNtxnF2cJqg1/vyZ8b7PEa+As9Q8ZWo0jI/LtsOYaM0zWbfiByl8ZPMiO2N
Z+feBoLoQERAe2oRJbj+GY2uVXHf5k1gaZV5rBuzegkHU3yw5qR5fH8H3VtSGiykftQ3Fjeh66G6
BLF5bGCaQGReH54iK9bt4xiiQHB4f6B7txlGjQsyYaEVr/uYjdQQF7csVhXy5lOUKx24ENGLJ0+f
5q82cMsN8M2dAdFBoz27nP6loX89M1uZZ8gxrQhSpwfkYyS/vbjMfDfKEjDKW6CzO0vGJU0lmSY7
81vXk60wGoBc8C5UiiFe4kzIQ9K27os0x62g8c6SLe8Bzb5FdBOE5PXE6hQTLn3gegE5CLA5U3N/
LHvzz9cLcUSeH1AXBFnr/luRJ9pAX5HXh1f8lVrHTAcoqfRnaxjtL8iybdHbb3sq1L7+/4Dr7vMM
JgLFJlsEXaXlxCLxS5XnrzNgbhDVF7Bb/wrP2uhA3/uUpDJkMnQdCMJXr7lMSj6h4zDJWdGa3TTN
XrFDWkn78xIIl8kCdAMRRCVkfXNqRpiUHflP0HjQUsO6U/xQaOVumMRWnffO9clQYAThZ8GnWJtL
KcmkNOFYNIGsDXrprjpMgRdmyWNRT9nTlOrdoVDDLQjIvVHJPKlVAJ+BGrbalE5oOWE6xm1QTk70
ILNWO0bm0B2lbsrA7FvxYA/FVsRyf1A6OPT9UPRcl3uGIos8Mw+boKTD8diIufd1GZqLsl2zT0re
3bza7Bzdml7zXdE1B1DDrUmVZPVIaJORAjGr2qCfhWiOoZLVjy6f+gW9cZC7dtWWCFDk5b5RjQxM
tWtnAYQkvNgSC775+9fqnXsH8IQGywN+4gLTvL4M0gjuCE82P6a0AWqIcd8BMt5FWMZuwGrvfGw0
/RC7gKUG13n9Nob9nDcDgnfB0A75r8RQo59YMdZPsPTTj56hNAQhVXR6f3p3Dih9MzqsiDNzdtaS
OKboiTTMqgsUc86e57J0nuCTlxujvOXZ14kQZQQkZ5eKDaq967np3oARp8lXtEXdHIpRyxHHb2zE
GnAexYs1hbWez/s8S7onGpTTvujyaa/npTx2hUQtDBHW4s9WFmI5/glLg3lpZVPOXIX/7WwPdto5
8qy6VFaMsC4f09mLz9Yw/yH7cBkK4DnZ+uI0zF9WQyV1AkC1ScYzspCKr3ta5PNv28c/Wsu3URa2
PCEA3xlZt+utmmNjbTijGM+qkau72FKbI6HPtBHxr5EMDLMI48Fa4SKiObkuLUJRyLomSeaz0VIF
DnKvjpvT0EwOdyFtAlDuWttWD7VZGsXBxq70V6K0do8ZTi/RqqCF97edp3P5UhrxHBd+l3T2jww+
r3EwzNIJcGzVqkMGSaM5tJHq/KG1zPL7mQHsMfrgWJasSyj0U12tnqzpXI42lX+4GBG/QYLKKox8
Y+O/We/8Z+Mvg3Gmge7xLLHz10q4HpVQU+1S41zbGnwxKmQN8sETOiTsA/r8NrpxbZ4+pBTNdD/X
qA8fsQRTxU7T00rucRGy/m55jLovQ1HbyYdIzfpsb4oyRjZVieaTN02942eaIr92+iAy0q7cbnS/
6GrXOLRJ12Rfe21WxN60ZKcdjRi5Esae0mpjsqurkjaXin4OFkSL1heo/VVzoA5tSszYUwV97yIl
IWXnd874o511uRE73Rlp6aogt0cFh5bH8s//U90uOqj3bqG3AaUjwQus/jRFQ6soUvbvHymHP2i1
fHDhl4oDNTe4hqunyIbRm9Z5Zp4ND3EX+Dxpt58VNdrlemi99EZS/FVZzR+6vCybBknrBUZtMD0y
wevpDRKNFKXWjTMZmGb7JujI0wzrr/DNdpOUs3oB3gajQwDRHiYHRdLlE/znW1pG23pZOptnJMMM
buV43kOkbjYaR6tkgVEWjw1eAM4dmdB6SvD1deEkjnmekMZ8NPs4ejVy071YiTY/YP87bPDP7o0H
oHMh83HE2YzXs0pyb0TlA9GEJAltH9hS9aTZSfpoyAi8QdlsCfatguu3+bk0XHAQoWYFoe96vLDz
2gqdKOvML4p/oPQ2HGvaVY8VREW/Qp3nmf78fGxRrt94xtbh0v8NjT3LG+0I6OVqAdtKdyG54iEo
lKTxOZbxqQvHf1qUuh6HJC6CRrOSfU1KdspCr8Tl0sPvYeK7v39Wbg7lIhW29Ls9kk/c51e7tiuh
YTfUEKFL5/aRwsO4C+Gd7JW62moRr8oIb1NelN4QfVrEutZJdd96ajWLyDo3RGx+kVfqPimqcl8M
lfqgN/IsJQNPXYH7X1xFG1WaO2tN+xPODlgZGABre80C3ktudTo+lNVs70Si9yeOEB/WSjuEgOr4
AI8d2aVMThv33hqdvUz8aujVNpN109qKiO1zI8Rw6LQJyZFMtT6Yeu0cZxD2u5Blf+qHUu5aIaOT
Gf0h0OrtJ3DHL5pb8J5viLgmbN+sdlP7nKSFfRSaJndxKza1PpfH4vrmpfkFWZ3XBLEEun2rA0VA
X6Fxqp6FZo/OsW9CigydwAbx0CexWvkOAp+1r7eJ9sFsRT/u+47O2a7xnKLbzTZGZxu57O2yQ6Ci
J4KCONmsvma05jrSn11uqOc2rs8zT+v4ZLTOhfgZ327Hek7Ry9iItW7vZgoR7PPlOwO8WD8/YKwn
xDlNPkJh5QdFjTUfI8Nx4wa5PU1ckQSoC9ySHsW6Lj1nuaC1FxrnSVrDTtayf2zB8u7LPIyOFYBo
dO7n+hc6VRTk435Loe7OJJf3dcEzGYSV63xaTDOlq6Qwz5VWWWgeeUngAGjYODp3R6ERzr1DCu2u
8YGlZhVNrgzmmbhbfeKrZ5/TKHM2HJHecD2rbUuDjgiId44S9bqyWOMmjKRe7ZzVysv7s0gyLUIC
TQBrw5OxbstnXalb64JwYxddptT2Rt+My+gfd3bS8GNb11Ll5krNDHKe06JxEO/Q4Kr+KSccxR4U
aISq5RdN6HyOwQBPO4SAk++J6qJ5JyxLgCFVskJ1Pgotbwc/mSg87VDKSP9SjbjXH01HdggWKJU9
/qGQLBcD9z4XFN/vLT1Y3U1WDLxujFLzPAq3fBbom8OldrIf778ytxEZLxgdGxopKH5wEK/vBUqp
Zo3sgHkuo3B8LbK5e43cDrp8L4wDjef+2ChFv39/0DtHH8+HBV9KZsX1vhrU1COn1We8c2utqx90
u1AwMzSMB+IKEx85Lzk0npvu4k5kWxIQd/YtnVEeVDpi1CTXr7ueVwmmPDj+YU3W71EOs/aZLLYE
Y++PwnuGgDPF/fVFo3bsU7Doznnsp/xAZ8p8wn9tq0T9xllbnQ6KScS2lN0XptkqQ0i0BkuEGAZY
isQgrjAKeMxBw51pbNqjsNPsx5ypxsdxUJNXj6X9xVsX7/um7X8hoT19fH9V72ylJVWmNk9xnrry
Ol8WOdZvrYJxJZDVJ7oilzbDS8iFRBrLcHz2FCM9vj/kbYxEPWthdcK6gNK0DlyiKKotKNrooJVK
eOmkZx6SwWwfSnNUN2712yVlNUmPWE0qoiguXR+URFqRIBZUzjmIB9ufpFPr+8KxU30jtL+dE8tp
g4eB2sQDeVOuc8OR5lirnJVmHH8U5PqZ74hG/xIO3pau6O1BXLYOD8XSuaKQtDqI9OjU0ptdxgrT
0tmpeW+WfpG5ldgDhIpbXzWbpN0h2jMZCOqn+h+aT3HJWWDfSAT5K+j9dRDgVfPcRloZBdhNu35N
RX0/juL7n+4SBkGrlSSabhmF0Ouli5Oi60wkJgOnrW2/MJ3uM3TQeVfK2N5o4txbPMAXb+BELu81
LUXTWLMK74Kgqgr9ocHq4Si6wnqq4kjbOG53h8LNl+gJIwfSwOtZGRAYSYk66O6yfGkSs36glPxl
dnKxUUi93fnI1YCMXlxDACatn4ja69I4ar0o6FpVuXRqX/zSYrPcv79It7cHbx3wM7SO3kR6Vosk
w2TM0BMtAqdwF5tZWX5vulb8rj2rfR7bqPsoUAjcWK7bqS2vLNfVIkmFwtiq3V5MuIRldgJc0QXL
BGOIv4Vl5/x+f253hoFyyfEiwmeS6w7YCM+Bl7urMZ1r6WvkZvIseZJPfz4KaEHeA84Rcf7yhf9T
eYgJcdJQgI4Jc9ntaqCYu7zQtkgUN9uO4JmgCBz7ooYObPN6FDRkF0KP0gZ61oe73ObtjLQ8Q5jj
T5HLbyYQoKOX4tfC3V9fDuDgmjoDkHfu+q57NWar/tnXxh8CO95GIVw3idXZATc0anLffiLjR4Ut
SobXckYZdk7sbiOSvdkCgEdAZuGjgcIVYcHyWf+zOC0BDfcQWi3dqFX7vo6jvTdvKiDdLg6JNHUn
/kNvC7zq9SglgijeJKBaIRtlaIdktrOTV3jGsNdr3ELe32/3BqNzRi8HIcAFwnw9mG3iqdAaoXdO
hjm2H0tXH6mklsUU+jrM3I1L/KYCtThtLq8ERSHei/X7WytzXU2AGc6WKWzfztvMr6z4oIzF93gq
t4QV742G4R4ZFGeWbuvqLI29guR2NIdnkCz6z7EeMfPMauWxI7OLfCuy/rB9zS5cuPXUtql/0NJY
JzqqlKqnAOEMDBBNe5E33UFa5dSix9zV5Yl48g/l+JYRF/8ugFqwEKimryoCSR5Z3YDPNn6bvfUP
qh/Kx4Y68Ov7m+R23y9nCt4y9yxkqLdq23/2fQ7bVqMVJQIUnfTPXh2Kb9CLxMP/MgqhGTfFQqdY
zaWEhITmFRADD7b9AVdqCnRi2NJMu3miqA+zOEv9ZBHcXFfksAfDC8HuZOCVs/MhUxNx6PExeDJS
jJ4ye5gOea39IcCSZSILpDlO9IKiBMyH61OWm42loBMtA8TqiqNWZelebSSC0TAH9u9/xSXau0on
VkOtrnZp0fJq6AkHeuHOr4admvspXtDfmpHsk3zMPnpTnD9mSjYc3h/5NpPhkC09HVJCcjNqkNez
ROrPQrtbl8HYt/FjFoOuM+282ks3w90nRPu7b2e/akPnJFqlR/AcPlAL3xfMpJ+7bbHxg27vNgJG
ull0mzToDGuZTD5CPTejHALNxU0F7KbywUnc8jAiYb0R79/ZVeD8gCAv/dylM349dURUhdGZ8Rj0
bZqf4Eraft71g6+NTY7PVTUdehEbGwfm7qC4ty9MdQzc19QCegtDriC6E2COWT5FwMSOWW32AYV+
8dFBuvx36qZbfZibwpgO7AE5ZN4M6n43QCASmahoqqwP7Fgt0g+pKC0f0bJ/wsXka0bzfJej5+1L
AEPaqbecTZHXO6tKcLk4NyCztdTVrz+1VSV9W3fRgO5cKI+jMyV70UdkOTIaHzd29HIuV4eJouai
RuUslOQ1iaj3qC2MkzFgPBW1pV9GjWP5kUzyFy1b1G2MdAx/lcxy9qWmx8o+70zk/OdeUGEKmzSy
Nk73vckvHQXWAK4R7b7rydeSJjeSI7jwFdj/OVbv7bpBOXlq0Zw25r6Ezeu5s5UR9CSq5q+r02wv
Ria2TMYgFPVo0SGpX9L8h567FmTbOh2/O3xw+BIJZsN+j3GJb2HntdGy0u5N2EAHkfAE+xFEsa8n
rMKxrYqeg6X3LRi6zPPkobZj72LphRUkkfazNnSUppJqTL6nmXiMVfezHZlx5mdue/T0wtzVESoH
p0Sga7gRPd05DDBeWAbEvTgL66RUTvDxrUwdeRilbj1ZlImtnaAe7vi5Nc26n1jNZ12Eerw3kSlK
fOrz0bTRern3I3gzCXAWAQLqNtefKMGIz+uVbgx4hZpxb7vIORa2CB+1lFaM62VyJyL138Zp8p+D
26GZ+v5OuQ2ziIZNGpnc+NxE65QFgeVGqDnXUCJrupj5+KxjxLkriFYfRC02ZnvnfWMfsBdI9mis
rc3oixqzBydNp6Ap4vZRFWFN7iKgZvjmFD27alH7CMO3QU3st5U2rQXIlncclQc4i5ggUvRcwwXD
JI3DJi6ngLpocWzRK6Cr4mLjkir1RyVEANPoLCw0hDCFi0BCU716aosTSOrJVt9XOBgGxjy0pyiX
w0Fv7F9lNVc7o6y3Io7lXKxO7/9heYh03pjy15vCVYZWx/EDFB5rc5RIavhdapobl8SdrbdIDrP6
nE8a86u4xqh7ra7iZAowuoufFV0HqFFGGtYCs3mQQzahs2aJT73Mmt+5k8hv7++8N1vzm1kirWfh
qAOlaR3+Fg7y6DVvDuAROZ7mwY0OuhorCEegydtUoXw1Ii/7HHGl7lwLaJ4bKbUf54l5TEbF2TuT
Y/hTZGm7NGvHg0tRdeNw3HmjIYsDJNBRa0RNcXVhtwly+dj+TAH+n/O5HKb5dfTQ6PFjo2loReph
+z3PtY1EdY0te9uo3EmLrhIQG8qQ18vfiK7s+n6agkHx6p0lm8zv42H8wO/8xN7F/LGuyoNThd7e
dBa/61rtP4vaGp966owgzp0t7Ys75xaeIHbu4OlUEH2ruLQdMmUKk3gOaFbQElaHngzQUyTSDV06
ZifROO3RyGmQDK6SfXl/o9xbBQoq9HVsNskN5Y0SqWx0dFmCVtX6fyYDUWrHIN5vAeL6de7FlzzP
vP9lEaiFoYqBYDWUgtXpQGctN/ABmwLXkWowuRpHXbZCVU9ZqasoKFu8Hr4eJypOcPkYf1HgcJaP
GQp6FqL/WdP6JF3u1wrz+O/vf5A7dzaREyIa/DhQcfpqNdDMCx0EKqYALCuiHWkKZd3XYoc+x9xE
l9EYu3bjrbx3I9FZIGQDE2HQxL7ekji7qqViYSg0t3hpKGNuf5rlXGzUOW+RH1zRwP2Xy3lpT62D
/i5hbmUopqDSqcDvQ9f1DtoUEYsrQ9Wmj54j9JdS1Oa/NpiBfxWEzqJjA9UI/IfUtS1HlLsnEbCs
zUsFMRdVm+tpj5aJPrLSzEFjpPZ4SGrVNv16QFN116K6dFQzVtjFAfIvzyzSDokHXf05OGNxsWUT
IQmItcnvIXGaaetL3QmtiOMhQpEf8b/rOlPnDYYSxt0chINhfq3Ql1CBVVnzoS9N4ghLm4rAkx46
Jeg//c7M+jSjwvWYeBElLwl38duMlICPCpjjtwgKbKRUb32L68sdAhWaMpi8oNJOfHP95Rp1zD2t
LNRAp84qn6QXKq899b/owRQmtRx69NlzyT2q+YniJa/WWJZ/V7liXYSNkWzTTcNnfJi98bBQlPn3
2w7ifKOZZ0dBYRSIjAzlRnRyu8mvf/Pyz/9TKUHl37abKuY3Tyi+tLln7BBB9B7fP723K8coDuEW
fdc7/c+pjRYcaagGBjiLNMh4HoeDW9ZG/kGdayPdvT/cbWLP444QwILUBc6IBtT1rGDoeWnksIeV
2QFLaXSNUfNsJnjOzG527Lrm0nft8FFxpopgiIrigkNXhtccXZkKB7ERDfH3f9My5NXmIIYmJ6HG
Bo2PW2W1OUYzn9NQN+YAMMhQ+X1Z5ocBJAy2ZhQVzopT9c6uMcpM3QMTSeRnzYzrX+//htvkZPkR
tJ95UBao2bp42ow2NzaaDEFVo0fqDymeXX5kFMcstkZKm6bSB4ql5+Ro7rjLELN6RNjKPTgxJdC0
U6iPKFP+ZZySeh+PKKS///tuNiM/D88ciLboHLp06VbLlqLvGfadGuSc28I34jS3fMRejHH//kA3
b/sy0JsoGfRDKtar/eGqSjYnCOoG1ZDnBBrFX9E4flMa5R9hVXuAzUdbLY/vj3kL+6KJxbDU1YAP
Eo+vnjA7zLGThgsdTBow9V0nFfnFqpoQpEgfCgw6R9l8IOZVCkBvqZH6c2HYhT/BvVQ35n/76PBb
TL4zVykdX7Ae1196MuKSJs2kBo3ZeeKDEhNAPWm8os8iLSPvWJD3pXtpm2N4AENWW6j+g+8hFJTg
DtEFNr+9/3XuLD0RMbkKDb+lz7OK/6JK6jVMES1ojU6cQ0+VL6k1eVvZ+XLKVqeQwhPxN7uLrbZW
gdRkK8eKODSYhsH+2+5K4PVxqfT1vswiq9gp8SSSJxVvA20vyMrD3Ywzxs+48ybPH+VEg8NPS73G
tKOFqrTFZnjj4lz9Psqu1G8gV5IFsUlW60INTCEK6LNLWmi5dagHbVI+6mhthSa2jgM+5Jrej9PH
kv8PUUEvxZDtGDqEoucKbHF2UB1lEoccaD8k/CxTmwcR4/n4TYpoGvdFXeTD18RIzeGoW4OivOah
24t/3Kma24sXJo7V+ameiOovYaS0inxkaSyr3Ud4ERUzNLrBKPdR2eJ0b09zNv62wVdEzwKvCxmU
XVYoG9fm7VXOi0/piFCYZxUZlNXGSGp71MUYJRc3m3QghEj+/G1mtvFjnNMBfGavCw1EteWBeDaV
1Pg+pRMM98aI0mKvd1pcvEKNEcbGVbUsxPVCLSU20JNL04vttLqqYFSGaZPkeIk58fChtbruJ10G
zrJmK4P3IXZG1cC+BjvCh/cPys3VRX0LcRYSJqCVIDVWO0SdqC1FpR5fZAyP+UEMdeSecmTYsBQz
RQ6S0esuUKgigYM8Wqob63FzTimkAsbmv/QkIHGunrF8qAicbDu+iNwbhI/RaP9Zd6otbsDt52X3
Ew7ziC/66WukuVPxzIyWWl5KRMrdnSG9oXlRM6Rb/5rcuPw3JFP5hdsUdgzvf96bSIUnmlYA7B5u
B1CEy/z/Ew8twj56lSCxUo+J+9gonnKqsBs+mValbARFt59yiQao9EMcBRe2Vi3y+qFwabJUl0nY
04OOA+opRh98//6EbkexFq37ZRgKXnSCryekxLleCdlWF7XJLfhEo7OvjKbeiH1v0jNYjcsckMng
WNzUmbp+Dr1M76qLNL3qhIqiPA1uaX52+t476JpC2P3+tG7CqYVGSSFHA70NoneNIdI9t5K5IcWF
WF/HU5QsFQMzA0zlcbISO/xAIJpUnyJoh+MBDSNn+Nl6TdxsEalu9wswFSix5ElQ0cHeXn/efvYM
gcRefaGyWz2oQp/CI4zqWvOlo23SBO585qVzsshqQC/ECOx6NEsvB8q0sbgobKlD2RTNQ+lO3kMf
GXrqayBNtY3tc2d+C7eZihnFS2A4q+2TZpU5AXUVl2hMbTxzUoDxXuq03y1HGf99f03vbFXikQX+
BSoGoORqLOmOajKpqrhoiSG6nWlEmH6quqRS//5A9z4jnWFg6UuX/aa6kmoYJII9EjilJurOwIYs
oDQlnnXZ0RnIhnHaGPDuV0RK9f/0IChAXq+b2vaum0yDuFQDCTvYYvUJ7cr5yXYJNd+f292hQJ6Z
y8VIEL16Hxx86+VsCXEZQs8udvOkGvW+sbzIe4w7Z/j+/mgUzfnpVw8h+ETCSHeB9C1M6tUBgEiY
DyW2SBcEkXE99nbC0KoP6OAWAcb21d5A6PmbayuBog6/Ukj0h2L2yuMkKOtPRJk7d87651ECdPBx
J+1/m7Ow/xmmcjeNmbOLo1x7jKFs+aUhhnaHIQaJgZ5kmKRVmm/IPD6JIkcTtCu95FusTYHoDOfZ
k7ZGkq8oflUuPr2Zl18oaY/nsTXdD00SNwei3R6XpD7o646urhLm02XKpDiose2ib+Wg+DdP8bdk
0kRF56yVhyiKscmRcs8f1R91qfwo2vTZDsvxoVaRaBuSUOZ+Ipwi9p2obS4AybVonxpu8ak0rOaM
6El2zsZQPZVWM3FTqKGPZOaHMnTzA79qvLiYUh9rmU21jB9pXo7Rt5Qq/isygONvTRRhtq8nLwva
RclnV8dDaz870PKTT04I8uaptmc+lodqtvfFwjMm3YMHZHmW7tznoey13s+rXK8fvMmpfjfjEMd+
o9b4Z1WYXGbHqbApUftxoeesyFwS2fG9zVJcoHlrs/eURIpTYksknL9cc0iTB3fsF3WFruiHJr50
PM3TZ1uF6v6A2YoZfoPkl7T2TqYoS1g7VWrd8GA5Wf1vP1pAdd14jM0jKmZjdeq0RdFMTbI4Oc6g
+4nd4CKREXO0mkOo4BywN6Z2SI5ojYn5AFN2PCtQhH7psqkx66wI9/q5saNjrA36uOucDo3koZtG
fa+mqlvtrAaYru+h2Yynijq0KrrJfS4euryNy/Po4e30YHWJPu7JEIry8wBbsDvRP+7RLgxzKuGo
VdgECLheqAEILks75WVa4AVWp7UOzcJVovZbl6eN8tkIs+HfzmwM60vJddQWO5OOW7bTKrX1jrGX
Of0JyD2Rda/nEEsnw20FxTbe2CPOBX150IasQohskO4P3SzQYACpJDO/qe0atyEqYNmht4T3qS6F
mu2SZgoL7NfCpPJNLxryUz1ktfxiQsSefyRxOyWfRC6rnz1mQtODEMmU7su6bW3fqay6eAlbp4CW
k6QOBBU7biimmVNKAmCh5RI1fprJVN9hFa7HZIRtnv806rgUPr2B3pB+P9BRQNI8la8IKLnmk8yi
/Osw5hFwXghe7cca1J6RA6TQ9I5hFuUsoy0mKLGozoVPUYup2MVqa8deTlDodk+dhUvqZTYrKqJt
5+BJlCT2MBzRHJ7y5zANY/lFcSv1X8L0Jt7HFlkbBwh/uoOriSnD7ELtm5fRmJrutfW6ulvUNXN1
uGDBIwwf7yGz9wuymfnJqVK13s2VReHbFu6ipIVduteGPoo+ffboziMbyUXpxq6pKM4G5eeusJVz
hvqX+1INoxFPEBii3NkTkPXV3yawFe9LnHZ1vBezXds7pVMnlVK6lGjyjc4AgxkL6tOUWe7wd6gV
Vf6spAyKQ4geieMwYE+vm6HLAw9PNqVFnMZp+jUCGF0czdTsex/be9yFQiQVvsVTJBrfcpJYfsB+
eCp9dcoGeUYgrsxOCrG2sidDsCY409J0XuwJ4bQd6o6m46tOZ4rDxLp1vjc3TfpkZk4h97le1NXy
amUE3lZeRYfcNvv5NIkuL4IQBTLPD1NDF4+ysfThMiU6Cg7SKnBz0lCvgupSpk0Ig3KpZCRzreof
LZtNsUvCIsL12cRx7aSqU108UnHHiUzOlB58Gx71VzQBqTjYSgytW8lVU37E/MhQ4acPurfzWq8t
AgQPDOVTpepJ88IPaZXvQw97/eJo4RgfSja4/eDUuTHvqaV0+p6ldg1/brL5mxUhvFexvLEZc1tQ
+t45rTlZOwfZ84EzEIa6tcPKuLX2RaGhX82mH+TBGdLJPdXT2OV7RRV18jG0NaXkEk3l5Lug2YeT
MKGb+Q1JaOeXXTuLj5Nmwo7SRmT//FK03HUtf1j1MC2ig4+lllrFmbUb84e5KagAD15dfI1GQlkO
lWCzZnXTfJVp6hX7Si2F5YOkb38KxIK+R64TqgenQw0JZUSI9+eahgwOhZHOnZ+MAP2Ql6vj4hRP
0DB8cqAWynlVwlFS8t6eHpGPi3sOd1Vh0lBViep3oDB/qKIx252woEs+qO04mvuBa1L9VIU1/Yps
rKbYT/LFK9ktkcP0xyLJ58M42Y31krndlD62mexgKsleMUZ6q5OCcp0ZpzLe2V3vZb9TU5rtpVY8
PLm4tELho67ndkfLqIygaqBGzH46lVPtu2MpEV0dw1k5tnVhzr+11M3qoz2Gzo++sqp2j4cYxV5d
FXL0RWeGJdJU+Mie0ImIdV8TaglVZcLb1m/10fw0l3NZHP8fe2eyHDeSpetXKcs91JiHa121ABDB
iJBIkSI1bmAURWFwuGMen/5+UGZWiiG12HnvtmpRZkqKQiDgcD/nP//g8AlvV9T93cd6NTAzQFyF
iCVi6yirvY5+532ur7JiB1pXdZ32pHyA0iHiiZlSdukF7DABcWPKl3pX8C1sb5BIl1Cb6zaICE1i
zL+M/fyxhSkz7ysPk5NorIyViEw1BeYtQoVB3oy4etUtHFOZi0hV+aDFKepo/xUCdevDOjk2rvWN
t1xJrD4haJaWNb4j22TuTv06iuFD7y6ZHa7poHVHKFGeCnNjht3R+k7W7WDxivICW6Qij9e6QePB
+HFYj0nZrfmHReleu+8YreYRLlTDejnZ4zDtdb9r/Xiy02C5cqw6eOvZhWoPSW2Y3e0MgulGZu0k
7aH1tlDnukqwcYHK6o83hK4U5V5o/qq95DBpPuAGTQx9UImc3FBAkgdgpCKLO75sxtkOXooHka5N
dWUWnvI+0v5RIli9Z007d6y14ZLAO1NdpD55dNHakXuwm52qFGxJVpVewmKQ5EnwdnoHdJB6GVVz
apt7HNkoBZl2jOtupVLZpsvMtCJf1k4WdrNlrxd2babla9Pqca4cVTp2x6BrF+MUrJlHTJMyYJ4v
LH2mCksjun2mO8qNdUPU40XZr5QvTWGm72afZXFi9UOp0zOQtR1pauXyklS9sd3PBlLQcBBVJt4k
lpVf9tIz6shNxoJtI7GWkkRPY6j4cqYmQQa9zd049awsNmWVcLe+p66nHI/XfW6vprywDYqwfToE
1XCqG6rbXZlmjXZLrpnlx3bXZZoIMaMYKfSIZgmSNZrMrFzu06ArgjzsS41MJm0UVRMVZYOPBhrw
qtlrbc1ItfVJT428vkmneDYSTXtnr0n6OS1607zVsqZ9byQGXv6x7ixzd3CRbZDyneXVcsqn3PjQ
aja8r2QArQuDzk3mPUV4vbwOpE1ATKtU+6Y3qyA4poTfqZACr6t30PNdtcccNcM5znLKgIOrHt45
4H4no0jc4og0v0evxzciLuaSlY+B4NROcakc+WBMunLiuehn+1ANq/ZWpwDzQpauM8fDavgqmt3C
0i61WZf53mqq/lRZRZnsS12zFoIgMkehtddUT8JLyzZQrjYxS6mjz3KXsR0HJ+xRanb7RA7q6LLu
+3A12hnLG0vIa81cXJ8CjPL3crKMxopLur0ldMWUOvx/NbswS3tGLEuXBd4pBam3Q00rzVuyAKzi
YNdCeaG2sPu8rNfFDUK7xqGR14RC+IInNSQxsM5ovKxkYi8v+7UjGmr2LdwlEqeZWWfemrNk8D5k
J+rmRp5c06urIwVHX0UF0cskXyT99ChW05sujNXO0n3CUH0N3bl3271oZG7tJvx/sxvehWK8aIaM
AZAg4cinGZNr9UoZ6VxeyM3FJiSiEqepCD/S8cbKDVF8TnCaGmKj04psjmTdNNdVKppPS1bYeAS6
eVI3bARW77+soMWmISCqRtQvvWSR7NHTbc1h1a16xjm+jPmV0IOB8fPEbPS0mDRdF2AhQfI6oKCy
9sGsB2ksVLZ2cwh1LGkv59yqqL3gkRQ7fUF4fegr0gRhcWBKaMWOma/Z5Vh1TRMXsvfWyC1gTUb8
Z9ldbZFp1gUlHAJgakY/PyEyII7VNXsmt4W32re2aCZ16RZTM+/MghLlA2L3xl6YDWhu8FgwSesv
rTxzEANPQ5lDqNJligYcnqU2tyEMinpg+iiDzg8xthjFA8zAtbn51qP/18P8f9LH6vr3Zrz713/z
54eqXlqSrPqzP/7rMn9oq6762v/39mv//mtPf+lfr+tHddu3j4/95X19/jef/CL//h/Xj+/7+yd/
2CmOx+VmeGyXN4/dUPbfLsIn3f7m//aH/3j89q/cLfXjP3+7/yJzFecdhkQP/W9//Oj45Z+/AYBz
+G0Qx399f5E//sbVveSXw/sy//nvPN53Pf+G4bzAQAq98zYJ29yEfvvH9Pj7T+wXeHmZ7A3GBkbb
4FWqavvsn79p/guUJyi3voXVbEQuftZVwx8/Y7wMEghLBXEhlqr+b39+uicP66+H9w81yOsKb7vu
n7+d4TkkAUCQ5bMBM0LIhzr2FDqaNQU0ZY/z0Sz7ejfKud8VjTB3mrE+5/1xPhWEdQXq5VsebCcg
VcYuT6/VFGlKqNxqHQkQ7EMGAbgDm3TC7GNqAxCyo9XNNocvgmk9HRmi281wwbRbPANi+dtdfYcq
bZ+ECSmURaiq2Pef09NRZrVNldnWUfSpdKN5nBlUu22nYdIgAuTxhik/ThONO8ZByBSkManqAM6d
ytBTUz/tM6drqQTy1XT2btm47yB65kFoSG25plkzH2RrtiqykqLJ6HycYYxWOTMED4LNhJ2xd6xt
YR+RtbaTE/qNWugGOtrkcGjM4U6sUIhPanGWJXYXoh33Tlmvm3/LmN1y+Bu3HezXI/71/Ur0RY+T
uNYkzrJfislJd3aP2j+kzRv7fW3681WVZhq0FHY6DkqVV16UNwAAjxlOy58aS4zxnM76JXW9drIU
WAUf1NWBJLpu1HblaMxBmDa1ftvhSKVH29Z0h3QxeLc0VutFqvRna+eWc9PHchjUhQMFFZjHBSHZ
gQ4Wb605kDf10Czpfq1QpSHszMfHqVVkKWhuZ+0Hj5C1nZOtVXGnadmkgRzIZtgznldzjK1VikO1
1prXglGAQy1cmRhRTIPx0nYU9dt3b/Ef78n378XZHAwGLz5oaNt4NbE3x5ft6VqdmJ5gaVrZR5dc
hNicpf/Ba4ok0pRJiVxo3aljgnlkqebPzG3OEM8/rsxYKsA2kmb4DGEdsYnUAmDEY6cm4zoR3ron
zywPE0sO961YnjMP+PG15FY3V2YSsaBFYJvw9FYFp5iWaChCWHKrH+K+u7xphqokEnLxtXcj4nsr
Gkbfqfclh8Mbs5KBPEBYs05jg3V5/J/zpF+28wSSJ5R0DoD/+Th5z9Hwj9P9CPPm9yPqye/9caTo
/gsGbZuHxhYUSpf17yNFd19s2ytiEORG/AWu9eeR4rz43XptU6Zvu98W7PXnkeK9wEIM/QosQfZE
6AF/60g5X8BUehZTWsYfG/MQzf/ZesLfhG0+7XnDKXc2DDHC2vBda+XdhW01xTNv6vkJxpGC/9lm
GAZawESCo/L7kSr+5aDMgcnlNLbrbF67g21O6I3o9p6Zs/Dy8499f3AwDNwuhx0kNCc8Ks9fTrgf
Q4VY7+DRS5k7oSbcjNslG9+hkLa+zJSJayjTjHt26nFxEcc03c2M1GCOWq3Myoug8f0ptM2eWZAm
q8KNfeA1L3LgHiavqqRsvohST3T+A6aioec6wwPtAckHA0WhF86LVk1hIIdcxj7Coy+llkPaFsnI
kKL2FAiJTJf+q60NTK+hi5HlMjdpQavj9pq5T1PtQ+0H2sMik/bGaBovIWovS2kQ4HPsLQafxQ6E
spgvtEBmfoiJXXDvtiL1IqiipgrBEwdG81krb0zR9Q8cGS74nZM4d45tjOIweI4GvdR0kMkU2HgC
CdXVGsQaY9z5MDSlFuxnx1zrQ1lMyaOjjP59WxCXwohRowueW11nIOPL9DEoTBNURKrsE1b/MHEV
TQLtFOiEf8rgdIxRH1jJW0slMCCnDiPmSAFJX4GaJu+6wJ0LMDNq8HDE7ELfOWbRP1rzRnyaqt6y
Y8fBvnaXNCM2uZ1rubgo1EPlHgOmnRhiTLXI33Coz48TpT0BCt00qL1WldhKBXZivQIYRwiVD1BA
QgPpBzGQq5RFWHiNd5u3BdYTgUgYY8w4+yyh5+N+Fq5ePd873mR8QSxk3fpa5ZURsojxMMm0eLBE
stK8DqmV0Mrb5hgVRtu8tbVkMsJ01Ih8NBhHjAfprPVRqsX0Y6P1vYe0xScaSFk474DcrI8ZER1i
383CLC5gsHufKUqmr3WQtpdAddQD+QCgHjr6Mg+hLRyX4ZSwRuuwLNZ4RwykLUK1goRipEUS646e
16k2pn42x8rHSni3Fsgd4kIDHIx13Z7akPAMSUCEk3uXmHTYlDmAmDcm5DS1U37rf4KPyXjNWU0o
aAI8gdN1qe2c3ko4czhYDm9UpznDnadz/OxE67KwA70pm62JMcuwE5Xj3KvCktNOBlXjfNX1Mtff
Ct9Q1aMZaNMjQafOG9cpmkdM6vPsWOidaRIVMuQpGIu+XDfe2lYvnaRGnYbjk/d5tQAGw87Ve2dX
rSpv3ldtU/TXwnYz8Z+OiZbsW8eE8ZxF08LZ8j+fceG96h/V9wec8dev/XnEuS+AXRHREHNAHNZm
fP5H16Q7LxhtQK+DDsExtzGE/jriaBLgEkBf2KRf8ES+P+LQ2UODh+MPuQjG/d9pms6p2Jt2YTNg
RjK9yWlRmT09c5CyEbmpr8Uhd8ZEj1PpuJe1kGYbBaWXXCaO3cstZgVhhypK+6WRZ+7HtFtt6zCl
yRQ5baderaWGm62ysC9mtFrvhNEOXjy5XQNUAKns91X3pE3/vqL94eii5/qmRaZ5ZB8+l8BMueYa
fSbFwUmVDLtkKV72bZZs1ov0CGBiJ6jiz2X3nPPrtm/Kpq5EVUFVQP93VkcjHmtsSGXFIdFHhoar
vR6GclYXyDWBf2T/aGedfjOXI66/GXYAc2s40WykRuTMz8lXz2v67bNA/oC7sGnVEN88fWp2y7jb
mhZxKJNgijJacdyjU4NKfnIjEWQFxMak3ytvaY7fLfCfdBM/lETICbB0pipD8WRCCn565UKfDUva
XLn2x5pRZdcSW92qU83U8AJkUXz49fV+fNYbi49vnJKO3v7cOkCr5qIm+Vgecjblo3SGIqyN1Xmz
kBH0jjpA51wW9jML7Mevl25dx8DfZHE58PGf3iSmdO3o4dx6cLB3qqPGzpg7Z2V1gItXHJ15ma6V
IR00q+7Fr2+Xx8i//aQu26xjudXtBaedOe9h9KpxuyJz64Nf+eLtCLSqxT30mzk2WNXQKzRtsHb9
XHCwyiS9QbRx2VDOfFm3k86pzTa4QHnyAbQmm3dSeCXD6G+Ho+9rHJTNdmYOSs5fC6f2P/ffjlQm
pRQWVT9TFCXbeTu77mWTVNWN1mwHsWhMfU8imndBl7rLfRrYpDXdMi63czsrDWs8aFStQTQVU/k1
wKQzzoVS3QkKhn69UDAq6PNz1lO99MYQr5mp2nAKvN6jqqA1iJoEBmGhl0yw2mQq1C5D7NPGU50v
bzfDMkKyUwX0qYr8wpdel8UOatAq6t2RSGzC1erYLXJ1UfPCXMisKphigGteytUdOCpdo64jq+vn
izw1xyBsiy744I/t8rnxFNpiv+yCKMdRzwyFV4hpL3JbfTRlMd0PXpLIK1ghgtGxs0yfhE5fyfFR
O/ustytmQJ1qyGuECHIq8yaDnsD0iLl/d2NofmQQvSKiAMrdJcY80PWxbWXm3nQE3sfN5ukQTZQJ
n4qs9C5mcPFmxwgZdFTPdPMjPsLpg71KUx1a08rSY1mYzp3s5iyBgVVR1vZGrk5KaNMcr3ALGvZB
fPTHoqr6sF0LNyrnwJ/DbCzLPkqTRsUqMZy9MBLBbFcWpsKrsVw6ODLSTGJ3zAbk2NNawKdeiiJe
8G2E5GEmbRkRE+leum7Ka1iUwwqYz7Z/5+aU4KHNK/Op0ptKgXkxwzrAXauc2O1Fb4ep31QiqioT
HzNrEAKuD+PDdpejNjJirwhsho0eIZtW6dgn6YxwUmBiyys6d2g6Vtuo+neZ1H/gXtpznY2LneV/
Ll1uNwz2H7eDvO/b++8rmH//7l/1C5gvOz0GIJQdG377Z/1ivqDJxshqc4njHOKo+LN+MV7Q1LOF
AkiCxwI8s63/2aLbtO9EbLCdYxOEe5T3t+oXCqEn2yW+gtBoIZiTaAAOek6F7DJs2H219hebJPv1
ojR5m48jdT7zInnXEOd9YAbrveEYWa8YGiw74WXDhbtK/zlNwg/wE5+FIAIOjA3RwK9zOzu/o0T3
Q1sMHQE9FzDdKUwmp0oYmXpdYcO+V4Z/Aau2/uq49fQKm65Ri9HQ22/cNFs/1J3RPgf8QTY//3I2
n6lNR7UdoJtU9ekHSlgmXK2zLxIkZ5Bd9CkV0Vwmw9tWWtZrhdHnTbXyDYZNO/Zj1PopVi2dL+ZX
5Dc48JNtixth6xTXYizWfJd661zEvK0wlhqjgQWnraII7bwsqoiBs5GDW0hIG0MfqDsgOvvegISx
xp5Zt7c1lMUvmpUMggSzPL12cIN0kVStzWG0M/TBTnW7yia7zkBjDPDpoCU6nR4/gKrVJVM41FIe
LT9Jkp3eBhkagulxzF4FdY+EbZyc8sEQok6jzszTrTZd2+HC0OfuivCm4JNRUKKGSdrqQUgS7UIs
hdtCNyD0JV8jMRv662BCxhm5tedMIdhxaYSGPc0nFwYerWrde1dN5dqKNluYI1PNZvBCi16OfcvV
zC+mNLoYErW4lpjK3Ul/2CgzbVHdJypPbxxvEXOY5rNxB8PJb4C7S+vT5BftXdu2FNqML8ouatsl
hWeWGvN7hP1aEfYp9PdQOE33ALtJACNkQ/XBWJF8z6tKKyaiNQH0iUj8V2Ng5FNEhGFRkq20ZutH
ypW5DpH5GZSFpDMVO82dVBGv0zyYYTANWn6DV6qhnzIiWfKD62Saf1mu+oKMvrfKAFZSJU6IJFoD
jXdKQhtGjaOKQRaCFgflOn83Tw4d82r2xRcva1s9QomTf9YmYy3jpC91khT72iCUobPWfjfNNCQh
gQ3jG6FpndgJHVFfPLK9dHFuVNq4IxNysffCDaoAeh1fQyRqlWahGAmoAwjAqiG0MWxoX3bFINMr
DCUs/ZWjQ1ONajLARDSJSX1OMigVISbhvbcXI71BOM165US9auvH2VOVc/Iaa03jpoV6sm99Hxfz
yUg1edJqvK7joJjp5StIRlt4htO8TbGgc8J5KvOPvU//f3BHGxqN6siRDH17NZqw0aRHCnqfrndQ
4gw3Ygmvl0W1DtbLFsU+YpwBY+nY24q7NTKZJhmh4Gu7qAvU/TelWFuGzn6HB7hdiOxBgODUxymt
oNfaejaPUdOlXnnIvLWvYxhj4Ndwc+uwUUO7hlnmFVdiGPovTVD5RiwwiJoZ6EC9jKde1HNIYPoW
tmlqnR5Xht985Y7rz4luVDIyGg0ao/QosiCrLclrz8n9LCr7yX4l8emcY8gk7Tt3KuZb3DSG96qG
AUD+1MK60zLV1yxjuMxxK51exEXnDBYE486U8Wzl5lXbT8EYrskinQghu4lAqp6te6IYdCNsEl8Z
YWaaHasEZV118snI/ODR7WSxWpmUk7XYjK9TVxbuEYbmCValmhB4C/uuUzhNQYmbJxmWhd67+xwT
ETPOZ9uYIzLWVROPMknwmDb9bZJMZj3tBKM5krPwfbsKprX2d7lWuPfFlDef4QBa16vOtIggqLbY
ZSb4YkiiwCwvpjnhhdVn+HDf5m12CAGKiPhJa7Fb1EdmZmHitxoPeyaJCJcun9diNvmydmWVqLcI
CztsnbwpeDnrJoUS7GXfiIiQSYlH1czyxoe3cOO6UvZxALXhIzv3+oBb8EwusbYIWGqKIzssvSF/
qMtqeS2FkiuBY3Kww8bTPOeaEGS4Sxjnm/ebx6YXmit2rgQdLwKGqS8n1qYai8gxhkDR8pfZFAdJ
19vRAnEEf3nIliCiywLxd3Aa/yZLhfzirZ13kSZ2drJmh3PU8LTRj2pn2gjDi01lOjCLAhJoBvkq
r1xonGsPOhnmMp3WPU20eEf8U/+1ziir4wyLnS8t9b2P5NwzBIQWw9H2Db/zpnW6Lt8NcDReA64W
MjQ9zf4ojKrk4yYzhXoLFNfuCH1uECj3Xf0o26xJ9uOc41TizT4w7EpSSxPCvljeDFQLy9Fi6LDw
eKxa7YocGC7S4BpeBuR7WREM1O4SjSncts5XzBdV5TYo0YtxSuOVh9KEusG+6qqUF5/TLsDNIelh
K60YpqQnBh6lH5mJUgOHV+E8FMCSYgex6ANsIKWHbMHrH4lw/ylmvxWz32wsni9my3tK0/y8mv32
y39Us6bBwAk1IrgZDvymT0X0RzVreC/0Te+KZS+6tm+jqL+qWZ/qFgQCDA/kheb8r2rWe0GSgA3A
h6ppK5Kpsf5/OAwO3b9PmY0NKWpr86xgy3COhcZDIsGSLJxviemffEJMIJ0l4plh0zmQgwRrk77g
zM2biM797FLOAoZEOsJyXND5fp1nyAOSccGHAS74yzytx5vv2oufAEcbMPQ9rsH1vgGZJEO7Ntb5
Z8VxipmDgynMemTOPO30QGmxZ2Ph9fevwk5N9A6iS9z6zuCpbErc3NC19TiaUnuoE7F8gBJOkfbr
y5yjUtwM1BXGkMCAPKzzNEv8KHJzqhz9mDBcDwuU4UewQHY/qUhyhXZepuGUp+vjry97PiD8dmPI
vmymdhgPWWd3l9ZVXSfLBA6mGX1cedlDvwYuOpv578a7cyXWBFRa/seQ8Nx5DEOVucZQRz/OSl+v
7TUXJwE77hlPjZ/cD+FBCByQsGH79a1/+a5hEghxsmzRzGPSo2ypu8Y+YneuCAZb/2bsBjkYLjUs
Y1UiuxCFeBvs9t2lGK8pT7azdURYl0dq9NGWbLKpv/uAmIxj2YqI1Hfg5Zwt8tIdR3ceXPfYW7KL
x8G/z0r3ckV78Mzb+8Pb5KLxNlxiWbjW1m0+vZ3AGler8grv2GXGV/LB8oMtZnv/67v5Fmf95J3d
rsJ9bHnQ+NCdm/oSQksaWN15x8LE3nNasKyW1uScZkdmB4U57UsL7udL2Dr97dxQ9iCEaQ6eVsE4
BaPem9BGX0EwXK9b2skr3RfjyyxR2r7w22GXFT41f2M959X7k+8GBSYgKswAC3eTs+9m6jVDbCob
EHhyQjNveKMP9XNh9z9eBFsIdKWb5BMF5vn4HBUaKHjdJ0dVu02ErXwSao0+PAMH/+QqKBR50QHB
Nlvq7effrVpcezPpWEtyRGih4tEBWks7xq6/fs6/i1OfPmgIeJyKnAZYYYJhnF3H7Oomq/PkWPaz
x3i7GD3j0I1G9hn0vX+XNrP9RdlYi++nBGnGrsOIwMXqLkGsEKDPW6MubQzUtYiQYeCuWh7ROYAo
dFDhg0g4yAAiJux+v8Ptvw5CvBSSJq6ovPp91jDYvMxtKR+pgN13GMtKPdLrynaO7pRgEImqUe2s
yi0/efBYbZJPOWvCOS99dyetbLiTCLSK0CRGBpquDk8NVGp5rKYOM6CUUjqBRsYgde+QmFKH2sBw
Y5MOTNXRoKRPwt4aG3mwpj59uRZYuV20Zj6/LzNXfhQIqeo46KzskOM7UkB+q9qPet8yYeprGYiw
bg3UQ6Lj8YezXXdfCgfG30y3SqOBQYkR+iXRmzccJ1m/q205JqHbFxpC82VYLobSnNeDCw/g1FNT
i7DUhf7aMicqRQPOBXUqMHmK4a4GUINQE1+Kid6KGfK4zDfo/px2h5VH8riWsLz8VpaAB2DoTSR1
XV2lBWlAqDRg6+6YTwdoWzJiMu11advbzgKXjXL43pDq0cV/WpkZOfTO9nzAJJy+z+lk2+7QHbVe
nFhrdiCFdsYdnRutmTJn2VvSvbuvQMI1IEMWFDeGZaD9qqrCSCOTLvhtoQ29CBE6jvcw2/0gzu1C
FnHZwSkXWDhcapPKPxplFTBH9zpwKCdJ3morZukRYSVafezNZNwbBtBAREY9/5jSO3iIzWrUXVTJ
dn0tIWGkr7t8YmGYyvYelQ2xEdVPsjnDOBn50jg5evmFaxKMFHqapV3XXWfe5Nbo3tmg1vd6ZY2v
u14mr/Ae0+7rbkmcSOje/JoUl1XtglxLHvw87a29H9Qw6JgToZkkbYj+0Se9Fcma62vFib6yz/Ai
rv37CXVVchih8hg0XUnRRyJv1i5akhkVgdda5pusIX47BkvrP08YmnxjryyM7iFQEhDf0m+FTkAL
vy+21AWQxKy8MwvojXFnpPV0WDRB1J6tYVG2Z4nM76wU2C/uptRqdqluaXf4pDQq9GRdvx4WbDgi
f86D92OnmcT5LILUeaxYh2sl/exz1o3SZt2hl9trU2K4nyazz6qoG3lkIcJB780w2vN4KoVv55EJ
nKHFc+e472vexLc1nxGvXL0m6J5ZXSZjlXdo3HqBYQR5BzV9WFbg/BPppqrfirRD8tU4VpFhqutq
X5Le7AaYpInzQKbJcDelOJSF6IdGHMx83Oz5y3n74Aaq6XeQSQcNz8dyWkNT7/QE6DLrZViY23Bu
qhv9omwGBElV3ye7FSoVYoepKRAM4B3p70U1Bl/9xhqKiLZztsBWuuz9lKbI8brWtaJFesFN70Bt
j7Oy8F+XI+SNfYe9w7stmI7GuMmHJR4k5BewEnuxI0pTZHlSk/YckWkAdXWcA4cuFTfPIhy1rMUy
FAjL5h3LV40WnvfzLROwsTzgwiPyC1hVvJIz/sNXA/jwLcC2vK2XpfmCdg92jTGtcFySovAfB1tP
PolajA++L+i6U81OZOTqxhTynRSXtaPRnZeEhOso3cp8DL15qY4jWv8KJU7tiQgHeCIih3kBduGV
zdvrQORBFVXpZOK0BOo+MXIkzhKBi+7II+J0rb3WgQuy0KF0K4A756QMF0Xb8oqc6uKNNtqTd7k4
mAZFmRnwEssm169weXDEhUSMR8WcqIYnnpJAHJq5FDrX9oYaP+0a/5pknZltDjjphXVVpff1sPhx
smasAczkKK0TgovjyVq1DRu0/EPboFkIJ7dxbnBgcJf41+fjD6cwkwWMseFam/Qo0Oaeno6tBUeC
Fso9rlrhXZJOJdGQ2dMzxfDPrsK0hAVCRgjDkbPa0WnZ3kU1eEeEHpumJVDqk85TO/ztm6FR9UzK
Rx4eBIqnN5O3rJRc2f5xgQK7Q3wmGSOL59yIfnIzvoHglFqb+h626NOrFCroXVyWcCrOmTkL2QS7
gc76mXL7Z1eBjejAy6CBpWN+epVKGZkYauxnpnrJvjhy9V/rIhXP2Cn+/Cq0Q6ZNDKZ73gs1RYbU
3RH+scqW/tLjmMLYyUyeefzb9/6kBKOedPFYDmhQ4LWcUzpwDem9Ku/8o15NY2jojXFZo1oMtwH9
M1/bN/Ous2ttVp2wwiH/cMmzpeaqotZSaQdUP6/WtHuVIUztG+DefhEhAMC70ntITMnpCVSINQXf
SwTKDaAJCt4tt5nXQYZ7t/h3OmNjiZeB1uylK+8y7X3SFAcvmGTcWPOnVvvy69W7fbInn5wq2LRM
NB46uyGz4adP3ELB6KqWdRVMagZrxYN+9HBWsIa3fjkuz5TfPzyTzWHXwYOQySKcq/N3pazHTg2q
TY5J09wbejntFWGL4epkz0XG/7DGuBJNBJAFNrqkmJ29L24KUmE2frK9lV28lcIOUupnnvtPLkIf
tzWObFb0E2esIc+tchM/VO2IwSN4OFVJWINm/j9c5dvSgh8E7f+8MxoKz2+8Ehw0VXP5GZF3Rb9Y
mrtfL4Sf3QsyJIbPvJCQ1zaE5rvOqMg0FzKsl2JBV7JoFX7Hx6xzn/Mk/8kK2FpgVpyNAfo3VPD7
y6RLO3RikdlJU5l945CCeCTIbD75Y27Gv76jn10KOdSGg9CMYdl0dkc9fApFAXMqB32KdPwX9pgw
FFfY3NbPrOvz3E5qbNRS5L0A8VjEvwRny621ujzJjLo8YeJpj/FANY/+nXitDnNF1V+TJOa/Wsy1
hV6lu5UI014SX+2lI64hTdPf03SUiBItRQKln4u+2TsdipnQMArRhnPZWxqhAUvtfUg8V3YR8shW
xTb5Bt6u98fsa2LXVH78iMbDXRW0G/p2zboY0yCIrUmM2TNZYtvifrpzQKgnSmfr1rc09bM9zzBX
qsDaKE5zbpQXAv7ccXadpkAWVXs3CAsRcXdTre8wgZDXWU1q6a+f748rdkuBw6QPsRvRAt8c6L9b
sS7mJS3c8/LU+l11UpUU106AdcCvr/LjBrk9V8519ka293NbNiEwdEXsU56GUk+vqlmzKlrTUY81
o7SggbdJ87ffxG3LQk7AkoWWeI5Z28qviszL5ClFQcz4LR3zXU4x/Pd3LzI0kWJAhYc45Jyridoi
N3sr99TJ6TL75AkKpTlrnvG93CqGp6uECB/YjQZfIqkv54mVbdB4RmUTn67Tq8NrMIT2TvbpZuQx
zO/EYA43FVyOt6tt/i80GT+5OHTWLXyFwSm729MdAH3UwtCpqE9+tdhXEwSeKdTRMAeRh0gZwYQx
9Z8RiVBuV52Tznt7WjDY7MG3rchWU7MfsiG9NVffOGQZrMlQqZn215/T4c1i8e397a0eZs9Gxd3S
8zZP0qcf2NOSDjZMGxy9zqXfgwb8avJpOH+9pH/y4mwMH3LmGcwYBFs+vcpcke+RuE5ybFJhXLYJ
YnMgMfnMkz+/Ci/LZrRDfeEi9wFfP7uKP42LlLI69bLSot6c/i93Z7bdNpJt2185PwAP9M0rQIqk
JLeyLTtfMCQ36JsI9PH1d0JOV4qUUrw+9+WcOyqrKkc6pSCCQCBi77XmmiNTX5Ize8l1Rh7fX+sj
ucqifumXiWE9HqUa+4Q6umouy8Vov4LFqesIt+sIm2EewXxJI1ryzP36ZzMITBq1MDLaVVmK1+pk
7cN6HNdITevLTkfP5/TEh7du3ZyZQePpFLIEIFlny8RmBtXY8cUVXsPUUmG4ZD3PUXx0crmrh2DF
7MBQzXd63I7l61WG+l4XohqifMjBnS249yNEUuVn+If2Bcn24wf8F7E6szSePttriqCPYp5CiEfT
zjl56fU+K7sbi+4ScE9QbHn+p6txgvS0yRypK6oOlYvBSwj3Jq3BnJx5WE7f7wzvrwZdmyxcZulU
HZZwTkEbpoZLuDNalKYV5lyLzVFhqXNhnacvgYeh2BWtNV1uuNN9K6i5BfiFO1yWjoHMlton/NNl
Tm+bNsBI3xEcc/HyHfbM3OIfwEjwgEnmHjv+6isN/IVKjBEnk01KCtsjNVPRSdUnQ0vwgeUQ1lBe
2YhsoVhQ2Hp5+GfmdoVFI89n94UQ8GSJgJTgmmnnjZe5r9nIDAxqQXrfWy0Konz59SL/o1b7iwCA
I3DAvwIF1vH+wxf4n4EJ+GXr5G7691Z7hJlT3pX/4uzkR/9utBtIQDlj0h+Fdwjrn4Xwt2zUf8V7
lZ45vWeCEzy+y9+NdgADsHp5ShyH+gS4bb7H37JR/9XaVHNZn/m1HCsc8/+l0Y5CE6vwKkLht+G7
PLlf8cAHRq9lap/GBBqhr6quRpVn115KUfPR/Lz7tbg/dquc3psk50HKNdYdC41B+nXHjwYn5Dzh
T/U9qEIP6dvgfgxQj8G1LPsffzwUJ+OVCboeITi0HA8VCFR0MC31fR+oJSoGH7hYSUmxydvpz6+K
geimspUFhnTaztfmZhxS0Rt7w45pxawRs1lb1cSFZcGZteWpR4meKg82twU1pdXXfXxZhgEnDrO6
SToEAd/AJOWnROj9zaJV+WGs8hE6Sg1NFsD2rldGfBXIYflKi8BDt5Uk+efFidUG62p9lSZMyNaj
bPuzolVwZXrGH4ZdYnXn03JYRIuMe4Pt6vGnrYykzyxgwvskceML3nbU8uj/7F/+qk/ftesovEvQ
V2MQgyt6cpbHeNo6SB7NvQ7Sk05SM2z0wpdnRBvYXvi0jzcsGEU5S6zS6oBTMFjW46up4w6Ap8iz
g2PnlkGVCClWaAaj9PfzMoCCG/pWEszFZhXkeusNkhaOGe99rVOfbTf5VKW6+8XypdBRR2rEnlD8
qD/4ZtHellpl0caKcwz7nuzu6P2I+wQvBMJc4UzmVs3+ktOXon8bOpSF3/oUn38II0CULElGV6jc
Zg6QyOdkFjrtZBM5FECCjOKxMq2tnuSU5IUDaKKcLQ66Nr/JB0NH/WNTuwBAofRo/btBNP5IOVuJ
kXAUidM1GSc9ewsqq5MbzBHmSlSEFhTqXUwzRJuSOdvQrm32PiYF4840UyTAipbNV3SD5l9OGmyV
4833nlLdW03Lprtused5k3kEh7VTCvaUzWzp7FIbY0MYGBKElFh3RShJa42jh+923DkAmr2PAKuW
BsW08JerFFnPX2qKlR4FTWeDkkOqU23yoWz+ime/w5QEFx8Vdh7EH+pqaZ2tV+E/3aH/dbZBgRUn
MvRWem8b/I9f7D6eP9F9a21M2b70tvYUJz8TNUw5KgzkwEB+3O6W8O+6DFNjiq9ibzHuCftFUBvI
0qaJ1WfpDYuf9Qb1DaWYcsimg1aLRe1xxU249Malxnc7uYV+hSg3HS9cR0vedFLNCB35B1/6vKgI
GaxTyNBQ/nIXbaI+z5G/sh7DxkWyR+aGHzv5G76KwtuYRazvOQJ6Lc0MFtKtB1fM2+rou+dDrNPY
C6F5ax8dsiOqMKDm7UZJBSIs7PI4fqME5fvQrrD5XZDzt6DOTMHGhV0H4Xibz8FihPnY9Pk2wYZ9
kZB3YYV8OViD59Vr3qyuc3v2v7hzHZsXvd1n7HHtGAAYsV95SpwkvvWAPb6L7hnsa1g8WNv58ovv
sz7TFpsezO+wlDDCW37Bvp9t9fCN0Gas8vmDbR5MYwsWczXTd9CJvQi/EyZ768Fwnyq2syDJ5uq2
0SZxm8+Oi+wSl1RcrIANmj+F0V3PUzPWkVN47U+WKgu8FJGx85cJWaV76XOg/NKNk/a9USVqXB5i
B59WUykeQBJuxhKMoiHx4MyF87VqtQVPz1BZ16JQnbsbcMdfu7SizbDvU/NWA6voouDUOlpwFidC
pOFT9iGQMsVPhHiTNn0Z+Bs5F2n5Js07Lp2+qmGGckrjn02qcE7N7gj4uRa5ag6LqzviokmggYUZ
rZklXOiV9pHbV+KjPTfTTYpVjpgvjJfJxmYNfE/xXOXRvCCEpetgWcNmdKspxlKmMnreSeJAWVcx
ODA7pw2cVKPEn+/12hcLHNh7KWm1bx5W6j/aLv7rJvDxHvB/K1WKXca/7xdv2h/fMvaL3+7arOf/
P/xIsqb+r+YnO8jiTvZ3j9Waf2Oq+IX/mI/WOhZV3gex5rqh+b2LdF8hS6LuS68YSsiqtHq0iwzY
c63GaegdHLX5s9+7yJUqgtV69cSg3yORI/iTXSS/6PjluJphVxMNv85nu7X++aOSXrKQHZpofQmJ
sdril3Y25gSMmtXd+4Q2+0x0wLp7O3oV0yBDcAjEirxuyiAnr2J0a8bCsbveu8uQvM1kMxJcUdIk
9KdzEqpzQ52UKbBUkCAnl3qPWMLb0EZ2Ixhf8QY0rPvr8fhXM/dDP+DosoCrUDNYrwiGWHCqPZoM
HKFd0WN4NbtxL0rXzcOlafWLfCVKuCtbQuvt+U6P0WDIUtZvepXYAOLT/nWlx+Y35APkP9KkhVcy
uib909HCRBPXkrwz31gNOGOWbYKSLKNIDqX9KZ0JMx6EnFl7l8XbWzBvtxa05M+Z0a8r4GpaNek4
78BgjPGOl3sWTr63XHHEty7g7OrAKeixxiFvIoy44wq7ePSY/N8cG06m5WSDB/eBzTwZnPvZa/NN
ovnlfdnkVggtRd38+Qr14oH2f+JRlUO+a1BF5wDCPpu/uIf/fRl6s+Lo/usKxF0Fs+HuiNlANf7p
r/p9jPVesfQ8lNLpGzygBn7rxe1XVBv4uh024jS4eUT+XoCA4fGYsi+3+GSIQFeSwN/rj/FqTf1Y
QW3r0sTt/kd4ouMzAGVXXHD8DopuFug9xz8pv2pDsyS6nYrD5KVUyxZrTJKInPYxejRVz9yKz47j
EsCCWAOw1mnTtZA5JStHiIMFxiQy0tTephVkzpdHObFP/n05AT091MBUrU4vB7COmtOcYca6rT/Y
CkqlNqVesctjEHoQIc3lJ4ha4x3A4BG8CwSGC0eWwy7BEnUuhe7Za370YdaC1+OlvcsC5WLDP7Sa
SfhT3lQf+4aNxMvX/NwoNhluHBVRfdCcPR5F80TbdFUlOF0BEU7ZV74jh7g9F2Z9bpiTiyHsRGd/
iM29Jlf8ou6rYJ9KbeHd/J8n6pnb5Pht+Ov7o8AKsYTSA7lO60vl0ZSZU9woBATiQKTCtdtPNzVD
klA7KJID/HOi1eNX1K/RWGgpcpKD57un7VIQBDFQkqqHbxTA5vGnvGW76phNHfqZcS6y8rh7+Gs0
Xr3rpoHKClSWk2trOrIymqI/GHXXFpualNV810CnWN4T5Ip6rSutpt3qcZpg77KwDkazNi7yzP1y
3D54+BgrrAXsGZsXuvgnU0yvtiBloBkOXd8SST3qGCwvSBQdhkj2seXca0sdJxyTOSq8e/nbfWZo
btH1TU3tjK3VyQw0riGUM3gC/kCCTJPTxo6zN+mPaNT0KDZEfkXtFU3oy8M+c+uylD5YOdi2PSnU
qRkB5MQUH0pTw9XdN0F2VaXK/PDyMMb68f/ZhTzMLB4BDs/r3hCnz8mTGAx1WwRZKg9O3JHh7M5Y
cVfJpLVsbeEsb/3RS9owk3UeJgun/9XKRqJxm1S9PLMQPnvJAW2adevrwCA5vteI16vtMXN5WpG2
wCibVv8PxOSXr/iZUTydVjjuJep4RBMej4ITnUIaEdYHy2yuScwe9o6h4t3Lg5y0hNZpBQ6wrnA8
OtSpTteEYqAWJJZOHGa8oFde290PQoyhm/jVlTda6Nl7ZTbeBWK+flsng/cQV6OuTDF2+5rkBhn2
nedeZ2mA3vrlD/f0jg54y9Bq5bCAeMw7mecmwGSqJfBLqI52H9q2rMm2MSYUqhZGwA3y1dIOnaRj
n/3ywMfNkl+TssZpYnvBycMb9XjqHbfSvcliUuzGNlE050peAq8e9m3VV3LbltNysL2x3/S62d+/
PPZzF+2vBT1ycCmq2ifbSqmR2EK9Xh5IHvM+ev3sEoU4L0a1q+wYZ3JtlJkZDjVpVmcesadLKEY8
+uq855DSUfs/vmqXzrqfCN6oSz7LN20wDMb7TtZLd0GHl+6QhvB0pcd7y10s+jbbrqQ9efvy5T+9
67EAceW8cumvPyln8rS5Mwrn5pD0cXUVa1WFLbTtt/+NUSxa1ewcsfOdQrVgJoB6m3AXDIL8c80U
4t3Ui+rME/z0fcu1EKC8MhxppJzeRnQBfJBcZXNgK9RcEcET/KzIat0A5KhxJhtV+8cLEwN6rP4Y
wtgKn+IkfLtc5ATF8CATSqypHLJdmqEefnnynr7Y11FYkHBc4ql01zv40TaiGumkoPduDviGVx2y
OwBuRGVtAfX/71zQunmnVMv6tG7UHw8l9diAZm8xg5MzXPjDVB8s8H5nHvdnLwj/mc1Cu+puTx53
3tkpBmm3OcQ5O70kk2oz2uP0YZJZd/Hy3D17S/D9+PTc1hzDkyVN5A6ZLD43nplOakLYK82LsZ3d
ITIWx7smTtd8+/KIz15cwF1I35+Nyel700wa9saBAy/fKry/SETm9Kx72Ycq8IozN8Zzzy6LJhOI
j49348m3hVfApyKIfr0xjZGk5dndpO54TiXw3AWtOFS8vFwPO4Hje6Kz2HTOdtIeaDgPnwjWcT+g
Sesu6Tg5Z1bE54Za9WArq3bNhjtZEUetd8mDZaiUcybGrmIgJIlAhmWo0zPtojNDneqxOSQq0bl6
cwisXDSbwenbT3gRQDK1bDjvX74nnvuiVo+1CYkXxcepyMWoDWUAvmsOLvng4F0cdyfts33V5+71
wEapgwAcoal9eqgRQIuIecLCBYAivrbsorajOFhMEoParFWbqfaBnL98ac/NY+DoBkpC7neE9Md3
R65Pqzif2nSzDO2GoJd0n5s0bRazKM88y8/NIntRA0noWioITm73kdgKIGUs78ydIoqU7DOCRsSZ
h+qZ/YC9is55pHC/4yk+vqC+6eGOgpA/zD3g7CiXmIY6z1ava7uK97F0lvqqarFynRl35Tyd7rhp
X7JirEhyVNOnBwoXo56tON3tl3QxE45UbfmFr8+/FdM43/lWNzpbGIe+DdrQgyjUBS3YH1Hn4tvk
ZJaMltrLNdA3OaweAqxSLwKwTq4yrrf3TWUUH7RuKsXOT9n6hcNU6HkkKtf6MdZpZ/K4kcvOzw0Z
wLS81mC69mNqXtpllXgboWdgyQhLNZaNDGTzA6TaCD2NHvXrFjKLCE1W1O+08wAG+123wlMm2CBJ
HcTLhbtUUNa8LMDyMyCLTQDo5bPYZo1edWEz0/yJSnZB3zMCeQgEXKzpp9OMdhnqurTWuL0eNZgA
6QYy3xrNr5mY0yvZiuq2sqXx1pNmAgMERi48GLegfQo1aPFIeYlsIH4/g2TF1U6B3V2NqZdx/h5Z
MrldM1w7LljOMUp8RU0zTY3kvqXo0qzVI4RaM4WIYqta2ZkhJHxyvVr4IJ9N0RdLRF6cTC4An3AQ
M7G3NZslxwEI35kHjeimnv6/QYNsjJrSWu5HsyvflFmsAyDs9BGfFwv3aytNizeYeMzXdjeRw5G2
rR5qXZKSXTblwXJNfJwi0qnrqq9N4E5kd1Ppr/jhZLi08IlnKIiwOXEdrQ9SJsuZUtAx9XslkowC
MtqtfpvMSeEe8tpFtbz4Q61FQJgCb4tLyfhp1Wn2V65nLucK1Qa7oYJWmjkV233Cqbo6yoNZ3I9z
LW5qzSuW69L283sA2VKGAenaWkg5RblYLQXRNlZn+Ku5dVVaajoRQQcMrfFfSb/GS1IH9LoLWoLF
bQzS+udMR2JktRiQFybaSDybMkflb/G5wkakCTnfqlnQbZRG544RsYfZx55EnG9ZPzdq0/JebMIe
IdSNR4gC1E+Zp7syNS12Sn1WvVvsZfI3ZbKIy6XoSS/I2DuJzbyUGKTkGNefR2Xi1NXJxU2jpB8N
IDmJRcndbgIuoxlcIYhyt4wlglqzqA08U2CFdlPQLhPM+GslFZWOvCE3xrJbJ99ZrszJDBWx54AU
CmjfGV1qrbxlQc5bnZugwdJEKjdUmilpcIskfb9SbYY3Ct1+FRGiBGirdyj2HcqkLqqN0cmGE1ji
t2+dRAGccjATyyi1YiMIdSXS761r86so6XMx8UQqO8gdluUpGUS1NePWrbaeXhpxBMaxwkVj6bnY
xFXaMcte5n/TNUcVVy6RO87F4iqDTLsqMN9PS1o60CmrvoSA0zd75fXL294nm4K0yaSTkTX1ngS0
VPtvZ7uEDeV6C99UbSwtsLDBakbgWx2yXJtkMUQFxFZVlAlcCXK79PHUwbMr8gO4t5S4v8zh5SFc
t997fpyVUakP4LxqiNLtrge2mEYyUfV3c5JGGcpMEJoGeKwD2JMn6iabMFltLXIb3yYGTs6tZWTi
zUA6FjFPRS8Pc6GJb/Sx8xmDnpy/21ZmvyPDFEX/mtLGNUJ5/yaghOV7SJ7+wbTGmOSmPvC/2bGh
uKMXQqi2Xg61qImVuk2GpDSvIMbHZP70af4D+2glo2RsRifyCyt2N1o6e7ezgdMyWgQlVmJUi57n
niCSoSVD6SI18/GTjE3xnowq8V1mo7rv6zH9Qi52V0SA3YQVdV7vMn1GUdIsR6r5ExKshxgj051v
Kzzua05yIGrC3nNMAMXmiEQDvN2BvkmHh1Ymfno1xeXyo45jqw1tywE53tizkYYqG+xhk416e5to
Sf8eKyo3StEpdV2xNtz6CJsrqFFA/Lb54OdOWBOJwu8PquwdvCfxnpCr4G6yZGNGs9NWV12sXEXd
MRWXWYAyfIMDQpSRVZo0h4wgnjKyoKV5b5Rq5h/T3a7CNNBW7FfOU0bT3C/ncBJ9D1iKFwl9JYKX
pi12HR+mqjXw8CSmC+OUUthwBfHY/1ZNaoSKC5YoZH7JvAJH0HwHH17ZB5hZMPZ6t+HV09D+eusU
1CK2VjnpXZRkhfE9H9Pis2cvOk1w7ugDJwWYngOBTjL0zZF3XSAybYiSIHZgucbT2IWkmhQud6GT
/IXknGAog6iU1XYvrX1JSX8vedvfZ5M/fh6tqkl2EGzzFWRnmSPAVZJwt2rMCn+btN78JWdS38eN
UV/5vAOsSBgEKW61gId5m9qYF4Z6WsMEzRn0tDTrLzwIFlCceYlTxLudLQCpVvFXuG3Q0soeUpmP
pykJM2dW/pntyvObFTrHqzQf/9TJVj3PQU2TEcb5EJTiPq/QmCYmegSQVSyMXVTYSXFmy/5kf2sj
oKRERPt7jU85dZ1mGhA6vXbrg1dp+js3fwPAttVVv5lm7Zyb6kltZh0LBiRnYagiT4DHo222KHjZ
sfsqpQhU+JV1SXfTL9EpSytqasnG0yniH0Sk+gegZtOvY+QfiST+t7Ug8QKv+Ov/tEjW2K6jRK3b
NQLl+Z7j3z/7u8tov+IYSF8fRy7CwdXa8lvm4L+in8K3wgkRt+4aCfJ3lxH4KtV4+h/ontfe35r8
9FvlYL0iB2s1eeEjXeX+QKb/AErFGI9L4xR6bO75taWJ+RmL4smJeNKUaqC6JZQn53GrFt/4UAYy
/vhoap7pHp2crBiFMxz8LXLAKJmhXTw+iOg6uD/LGd0dOY5yX5GvR6/eE1sOH/725aFO6q+/huK8
A1bFpHV8qtAsqXNORLs6uw4o5Y6qDSIzH/bdYek6Nj/ZQD2aD1NFULaNLy+P/XQyeZapgCLj4D9P
XADUexXV8szdIQ6Lv0MmVFFi9uL7H4+yBoOhj8LzgWR2nexHNTRPzz32eoOzy2GYJGFK1ucnjEXE
Fb88zjNfWoCdgmIqdDTE/ydn1DKo8lRUibWDlapvGy0YN3JZeHda9rkl6ngoWjO+tdoZ8PBxpwTU
B48vKfWVWQST4a2SDO/WH4J4kwmH+BVbnOtaPDcUxWHkQ0SN822czJ4+UgQyIGfuEjnF92ZcLVBf
ZiO7JAeBhtefTOF6XZgRubTVMIOI6PTN4reqormjBTtCbNVudDXe7KbGjrnnyH9mrOOb7++xIAKz
xFO9RTp8PIekvZNPlrnBDgFL24dzV+Y32Mvy3cuX9Pww7KgAU9FbOl0w2tbPyfW2gl1VTdAF3Bxg
LQnl25dHefotrS5OG+UQLSygCScXk62ABDb4wW4iIg6A50yNOB/7YdMWgnbCy4M9c0mszsQXcp+v
bseTWyLI+wzpr88lpYLzjZiHqDGLcxXO44Xp4fuhJEITYtWIUPNZ//zRY8uhyTD0Jol3iy3LywBU
6IxytBvvYs6lr6fZTN5WSHUJiGbzdIY/8PQKCXa0qNbZq/CIAujx2KM3deOSdMGu7XrOWKMdRIkB
/PLleTTWx/SfPut6iSxKfGM0WaHLgc04HkZ4/iAh7se7uiCOb+N5vY4I2CDfORytOMsvdBLch6i1
odiEcTzhsszUSIY0bo3iu1bFfR7ZdtHXqK1N6K0vf7yn9xQ6NI6orDM8AsZph8NZGs0y8pkEhVlD
7cY5gc62FURD3soz5b2TjvOvmQA2afJ6hYdIU+Z4JhBH5MTjecHOqDq951jXL1gBW1iFsdHUF1YG
o0rKvns3UD6LwDnrb2divus/v2RywPgYCBlpOZ/a0qjwJdLTm3jnDPi0S98m0aStrE3rLvPmj2eX
FRXVAhANttGns9uxnNoga7QdL0GxX4T5leOICCvKPmdGenC6HN9mvs5dvL6UsKlQHz6eXA03mKM1
UtvVcw0oNxW6sbzz9cbkPOQqsNC1fXCmJIVH55UJ6QyEmxc7RWFJC8dxBhvG+RoQGmpiwU/k+odc
ohHASu33DqRfx/5RuHFJ1QWNUBvppFa2dwYH82KDEh35ud0tokMkAK9mo6ctLK8/nMtA5xZdXfyA
g+DQnVygMSVa3SYJ0DJ/um3rvINJUn2tK/dcqOKTdSFA5EqFnRY5Gxeiio5nMm5GTcKMrvdzwBnT
azp3S4BWc+YLe7ourMOwJWLhoRnnPvz5o6VPLga1IEfVe2syJTL1SQ33gUO9JRdDsoEeIPb2nLR3
TlINW2np3pVRJm7UQycDZ+3M4k5xGfa5WX4g7B3dSHyugH0vdjWWZjT4x5eflPM4NW0u90xv2QLb
yqwAUcCc3FMdUd61SzWXVPISGfI2K21qkd2QLB8NTtNbg+M/CWACOeqGJIIhFNWIqK1yGljSS2lk
TjR0ZS0jMeQVaeJTO/+QBeY4MHJDYUUE2jow4BIju2mMWFQXpV3qc0jJZjtXdXevkacy7ZbCR2ek
ZWLQdr5T5HqkVR1VDrOweftava3e6bFdsnG32z2x4dYuU07ZhGblWz0Fa8eLrw0jzngQY5vAsTRX
V1quk2amqnipN36WYRo2evDt1Fwn/702OLyXuoekWYnRBp2MGsc3GeZ4YHhLBe67ru1hT7QcRYPG
KPSUKiLuFf4Xd0CYZp51W6HfiknHnmZyaKVupds4aYyezA9/PoyoH75Cp0L3n9quQPbTNQE6Xk3q
B2BnVNU10OnfymIAelWWNkUwIysB0POxs4umiXvtraXzL6Nedmz4zf3wWvk6FUx3NoQDjczMV9Eu
yCoodJO8g9Kn/F23gvfDBr3KRId2yO4BmHntBVtBynm5Tw2bKMScEDs50uAK6wwgfmglgzGAX+v0
5kIOY/J5GnJiepbUXSgZoiKieuZOpkPgOZHi0UwbgTyd1LbID9d9Su4CiLeB6aRy8Eqp4g11LeOm
HPP+WjcKVo+pSFR6MVPJhiXGTxBt0Y4oIevEkGGdyvYdSQELVJpADWbYarnoIj/W3CBq5oEKn96a
wfU4dOovy0iXcieT3P8qJCSw/QRL7F2qV5q/s2rHfaP49SiO6lJ+lX3rdJGYkW1sx8E1m81U2Q7p
ERbtlYvcUH19adYuuvchU80nMdmKZbCcacLkmompfaiN79Msh5siFY4RUnuoPs7SLBWo/kB7KwD8
uNjGTNFcuBC7qaOvpHfMXhWoUemJOrthlv2N31MKDilGzpDX6ceAIPWrzgo9UGNXqaknNH94fLM3
gArty1wf6AK6xSoI1YyssSK3mybQCbkxf07i0f4B4qz8HJhsHZn5YrqsyR6PMaiLvIiS0rkr84J3
bLA4/VcLV7HisbTLn2nDv7WhO0Ps5JwHxB8Fy5t4Jv+pcKrqW92UcPyzVU5Cq8C3wrgyjIIaJhlK
EWi6/MbvSK2KBDmKX9shXT1QRPzdBpS4/E1l5AbGtXnNF51IGO7CxeiCAWkUheUJuO/OdAd72qVI
kVbTuON9xRtm8rdTI9ONgk1JgAFxEa9nEKtRSaYb+M0UjNQwFstea8htDIvaS0BBeAR9sLDIOtsM
iQPiXOlkEgHsaGacVnOuvxe2237vksXBFVXkJuV5XrHeVlv87j0Fz+m272pHC41ctqAmRAEZztPK
lr1KYr3Ok9mbt4Ho8nqjG701ALBYxI3eezQUqmBKbhvLThD71CCi2GV6G7ISy9AaautbGoBZCvsR
IefWd8z0jYTHySqUyvSDbud9ustasn1ZEysrMjKPB7mD95xeTJ493lhDQpDSuPA2D0cTWk+Iv5ZH
bc4ttXyQVVVt7cSJiazya+dGkMRUhb3srDKiHed8IIl+omU3TZ1/IZd+JoykGHdDXFpfNEXNmbmA
NBaxCDSfywVS29bXYuM7eca+jDg4kPqGQTG2tsZAbMSV7JbqDtsfn5H6QkAlPPapbi5eZzHl2rzc
8RwZcZi6rFbb2bUKfddYS00m6WymxFwgRcRKt3ZG6brY5FDa7FtgFuMWvKTviR9OTmVaY3TEAhKV
kHs+9EvDcj1NwnotUuq/Ifp14ZNx4hFPTsPCrsIMlN+GLabT7dTA5G0RUedE/dmZUSFY7Zeftt04
n9D3aF+qaane1XZACEU9jpIsqcBV9CaaEVnOOBbiR6brww/dnFyojHVnfW5FNpWQU2rd3KXj2F5b
nUIragN/Zbsu7bEOXfjcfVi2dXVjsXP6RGJB99WJzdoKLaMc38eAAesLTMzeTSkm4xYpW+aF40QQ
byhn4dNmrBbtxosH9WGsZ6/D3IdHbWuQw0AlGm+bxnLrWdcDHuuvpZkPP4gWxczYjKruN26tmC0p
BSK/GAnrTE1bicuCUvPwllJneoeN8DUHmuID+RH+tHHmyjT2qikBmmGUmwXPDi2myMJo8t1EbMsp
Qarpq7sWxFa6LlksiwtjAVljRjfWVg4wt84Q5k4GU9G9icuYsRMXHutuyVL7PQsFzQbSbwId15zf
Z7s5g2hmj1Xmbl3KVEtkuXo27P1kIHG8R66pLoFqxlmkeiEBykJQBrnpy2ncxakolk28zB5hQ3Yg
qy3nDu1GiGJQFwkEWB4kane4GBOXO8Nz6NFoeiV3xNf27S1sXZopbkvjeDeVpGlsvKR3r6asiOsL
28EGSfDpbMtonJGth7w3gFRBfVGSHkVZzZvUaoNb6SiXLXfn5BgU+8bPN/YyEscTt/jQI9NpdPcK
obTe7xy2QEZYL22V72cl9M8G2+YpXPOmfuB+zKqIW9pLrvHnkHM2tzkRDzHdo2902dP7uYh7EhbM
cjQvvF5O1105m97W5RFDGVTHtPSz2PM/KsTbP9KxkGtIlDc62JftnADdWcl3kz3p4G4FPt8bPS7M
qyEW5rtB2Qvpaobs91Zr9vW28ntRXI7E5H5TyNHnSNdhVG783I0PLj/mX5PwruiqKyRlr53e7zRU
lSMg3jxXxYonQ/2qz0nVvlMrIiuii0++vN421X6ChOyEaD3onmvDoG8zw+neDFbWsj/iQx+SNFOc
gqs1xaeN+/i1L7tq2MhpGG91VxTJZZAkK/Ketf0zd0fyg4AVsB+G5yy3czEUd6AFyVgufbKV2MjV
3fu+lDoUdDKJ5IUYJhp408JeZ4vVjT1ExUbcfRM3tv2xhmTrs1Gh39TXc58dJNp2trCZ8KYwmakx
Rpoc8+CQcC7qtoNAthIWCBO/aI2iy1g2af5tIbzXR0yRGt3BVXF1mIBR+QTkxqCkaT7HVA2doDYj
b8wd94I4HgRr0qDrF3p50yXR7GpJHlG35c2hBOnJtKUQz4W9v3hDNCxoFDaG8J3pPrFKLd+5PVNK
j6hf6q0+YuzaKAdNROShDfgkQAj2MILdOj1zWjhxsHCkpzKEG92EvmBR4zgVdHHKL6w205t9HafL
JRhkeUdlfekjq03L7UJn+9O02NX7FSl9WK3X27gty2sCsvxfdZY/6qf8/2k6RfeH3oNj2L/3XbZ3
/xo9z8/97rm4ryh0UYeiRP4rt+N3z8XQX5EohjCb6LSV1MPP/GMtpTy24i7Qbes+pfV/ei7+KzRM
NGlW2AdidxLu/qTnctz84y7iY1ESRt+24qJMcz2VPzoOj0OJA35QtLNTYX401Wx/zjqzvfe1Ib8h
+yc7U406PeUzHjIaYCzIVMHan9ZL2lhIK8bJeoC+wJ659fybtq7rMw6hJw/IwzBseAyX0gXlxpPL
cmssQrOulQfd7+3t5K0ZbJNuSKSxpf2WhrZ2SXdZI0vYHK8tWo8fS0fW2xKV87tHd8Qz7aanH2XV
3pPXSltrLT2cWmkUUc3lIpS2L4QFuRs9VJqx6HSNtkph7CVafIEUInEc+CaaS5I9aga8zSH6JIRj
ojGAcb/8mU7LvwDWqVphELTWWgPuvuMv3bBZa4EpygONDkn6nQU9KXXYUhJBtYdN4b6TLro3xALx
mfLLk6+fkSHO0Xp8qHKcSmsR/XViroruMGjC3uXwE7aDmTln1scnN/U615RV6SXiCUFHe3x984zS
XmPfeSh0Dnc5yXv894ufNj9cp4v3L0/mWph5XLih/YXOfxUl41oKdIzeR0+Qkdl2l+nueMgl775M
JctFQT8vrEl6OlM6t1ZZ9dOxKNyj7+bSTlWhSWbWsW2n0wFSBBvVQkusLFwAJlyNi5VZoeCx1Tct
oVOc59hXko7QFOOhyQKjjJCd+GqDC0a/HqzO/VKOPgjYopPdaz+oOd6mekpUoDAVVQjEUI2M/g97
Z9IdNbLl8e/Se9XRPCx6oxzsJDHGYMDURoehKjTPCoX06fsn87ofKefLPK51L4pFYROK+ca9/0Hr
nLH/oGdulu1qWJvgZEB54UEIBq9HSlvZP1Dhqu0w0caiComeDWAR7VR9mcZGkoRIPXFlay9H34sx
wPkSbxqfU3A5/k7GexRmOhpNXR8oKs2Lmnugt3vs+xJrI+cM5z67W0RWkOxX0ftaZIihlAzXPe+H
5mOjkeXYpXbHK4jSwwOC9ck7Ek/VZ0AiBPYBqL5P9WxQFNGb8S8vlb4AlEKPNkrvmy+w7tFobJOg
cB8JBGx3Q6xl+Memb03n1svzuf9uDiLrQpWB+3TCFAWS8S2iA3px06SyyDZ4/jKOJbkFdTewU+Kd
S/R9BBaRfndYSTNJG07+kGqnirfUVQ0jbAtR+qDSGkyRWY6z/Ra/ryJ/EEmf/DTtTn0TpEA44gBy
mJ8Lf5qdByny+un1S52MKTlaT/fA8K5qKp0s9cZu7exALdTc6VP+pYAJEHo1qi6vb4m4hlIBNED0
qlfnd8oT2CIzmxNrujCzRlveZCbIKEW5fne5qZdH0qLOQIobQh59W8O7my4IBG/jErS/Y0ONVQSw
ppe/+uDjil/gBrhSwW5eU5vxOem460qYOkrPtz0mx7dmXRhXCqJnziIPgjasScoeWEetDnbcAGTv
xENzaJw4f2rRok23ZGayG+iqVX5ljs4MnL9IFsO6W+pYa7lykmbApAxY4XPjP6nIcg+SoOXK7JwC
hpYoF0IL1yaVo6UusGYPDoT5TmmJ9kBdaQQkmaDFhKmzh+xebsd3RjnqB5Kh5l3eWWRrxljPrunB
viig8Q1AlhZCPWJygF1WZJcas5TBrrku8WaIH2utmXcRVt3g+8CT3QHncxIODr258Qq/PAjpy/d5
FKCQdHmhnhmK5eoEB7HwRl/UDK2xaWYqbN1Bi2dSbi12K90tmkjtgGWpOSJp01sA/VzRjXc8sLEy
QJIQJ87LX/FyiTEcJqW1pRoOA3s5nn8LGE1tCpq+y/tDDRvivZ/r8kNe+c3bFGjsldBpWa2nt90y
8jxzkTaA3/YcWf3WFEUOkszx3B/sTujgdrE829NfHYSYJa2faUA+BsMl7VtUF3glXu7ny9XNGMNf
RGkYtUe0ek/7SU5XDYWm+oMyeiOEdNRtemwYryzvl5EKraDGj3wMHCBeCKet+IWQDp4c/aGMy2/C
aajRqndj3VMRHJD+eH2XfsnV8HSAkrg6HRqABVw3Wo9pWJ8/DZmAAOCI8ePlVl4uEG4nyrsGdtw4
Jaw5iYiEWjLRm+GAcH551DNcUHyBr3s91POrTyBEFWE9Qs5hV7BUTkfP02NZW70YsWXINJjxHiUL
dBpe2wp7jvf2UjSkcg0t8bSVFKMmT1IAI4wy0ITRYV8QvftXRHderASfAQNExXoDc/RS3TpPggS0
/njISEIhqWjou3JIwO1qeQLyRJhXFsPZ9oAcoe8H2/1Z1eT3fazraZBYhT8eIiWCD5Urx11F4uen
NGOYpEYk3CsNvtjNdBAUHA8/cwmY1/ijVstJAwbWeHCayd4lIiYTlzyp0cA0fLo3IhwiCvtaHHG+
Uc4pXraLdMtqF5el1ej17DJ3uv4UePOmTPKWuhZQ6Bh3ktDru/uxGK/EqC/ffEtfeVeDqkAAmEf+
6ZJprDTtzLZSEFj1vS8NfTtLpAW7wsyO1Aw1ivy1fFRLXowKTmt/cBvb/qki59PlvbiixXN98iE8
ssFI4xgKBd06/ZA8BfwAuUUdRGm7W78C3wnUvYmS/dDb5Zu8TtO3sIb7TZroHlBB23ojSCG+Gf0K
LkNklH7ojaX2gHsir6jLH3duBQKdQECeI9Ay11e7oQZQamagDsMgpw1CBN8bJERb10BpvBJ/Xm7s
xanEQCBXz13ig7TDY/x0IBqI0uOQJHBmija6H0YB5wxrh6cocn6+uiUDdAFBC4q06JOsWhqjHm3+
eZhwtHTLNxTO1I0xGPkBapS7u9zUizuK2wmh0kV4hCwReZXTTs3pMOV1Nk9QSJXzxUPU4FvWNs6V
8+/M0KGRyw0IDJmltE42xoZJOrxMdXIpQ/q+rHPvWBRa9B56SHHlxn/ZFBxVmsIFl21j6kuHf7vx
eUDnVtnp6uCn3rhLo3bcKpPHVAzd/NVjR1OLBIf/fP2uE1GijQxPgec4VLKRkJwi+YUwL7kSkC8v
opMQxucqZI4WAAWH29pLoEbcMyFxPh2MuZk2ZuOnn0RiKaA/lraHEuje1o4Ut5eXxblRJDnMYYtc
LpfW6p53dfQ7lV1MByzkDEA0tfhMPR912ErMny439XIForgMvnkB85PbWoN2BDKfnQFT4pAkfXab
9xhyTnb/WjwXSwE55sVICAop+gOrU8wYYGqTxkSsIvMfp0nEuwaPWGq7VrJ9fX+wxuKUwLN5cXw6
XYCJmXtePFkT6I8WwHQQRABbrqoxvTz5mBqTVy2UIYLM9RExx1WOVXs5H6LJ/1j12A4GmDeWU/M3
IlDXoEUvr0AaY+uiJkS36Nppl9rcQNB06uZDMPiTv1He7D2OBT8Y5gU8oA0258OMUZ3tLzmPwbyS
szrbV67eJbaBJmAsf//bli4qt3NLOc4H5SPguqldQFcNZoGHBlmUN2ZaTleulZdbjq4umU2SzFwq
1urubb0Z23OJwE6HxdGuN1r7oNRoHoMmbW6zzkpvfXceP19eNy8HGegaZVcWKlkLOOmnvaRA66W9
G/QH6v/YVGBGVsHRLTxIq1AHwZlOehIDQMoz8yGrZpAnl9v/lXs5PWk4NjFfsHmjUuhfo5SjGMCp
RQL3ILoB8bSk73PwQ203drsiBpAAvgMXmK2U1fwJabTG2+jwx7KdqWCzoeVrUIg0rVL7QCFg/BGD
0QRtBmTxvpdoMIX+oC/FfRjJ/ac+CMDLNQAwQDY0TY6Lxeg3H5CIcvSd3Xb631lWdOZ2NOCVU6RD
wxc3ymGE+iisrtgOXuxQOoNYtYcWG4G3Gloq5xpE1OLWMKXVwkpV7rDl53QwG3mVVPvS6Htto2sp
2rczIRPfXEpFHGP2zielly06u1LLxdaKckMPGyncb4FqKw/XxDJtt1lqF+C0mtQiBEgaf9d2g5nv
cF1Vn3DD6KGntprxpzYOpMR7NQt9I70gNcMM80AZWrOqbzAc9b/r0De7PVMBA1FHhPczsQ16MpQO
ebD1Uz6bZCA1ArtG1E27MUECPAaNX3Z7Z9bLT3GHRNlh8ls924MoS/5GoZrEI8xzL9g1kZ8WZG5b
rQ5d5UOi7ty0/enapR7vcrxSjwPWxvAsZixcNm5VZ3eyGEAEubFXbQYi/WGHVj6Do8vA60PcP80n
kVrGF4JDQAgJ4PUPwMzA4PVdkL6lOhJ/VNSjxQ5oCSAdEyI7UBrUIpobMCzGvgo6SswDlH0AggFp
SHya7PTBTIBTf9VsY9RujRrt6TCu3TG+iVSepqE1wnYMkwzGItgQG5QqtB7ix2poM+cmKFQeQ45F
oLqdFq3qdNDlN3cRsC41p/wx6cPwc1okrs0YMgSi2700vnG5QpJFxTnZwthGGxumGDrZU6swoYRt
j352LLlu70HigatCcKiV2wKtKBnmi/R2WqaocEfPitw2msv+NlOLUjf3b/wR9Aj63cGzlnc9RhKc
boTVG5zpRe8bEiHa35YCDxnWz5rgWSTbv+xFKBxyB4G9ZbTohyvdlOau4rgVzGfXfLeagMLsIjuu
gPqSKF3EyKMU0UHvWaE8HShyA61DuNxBwZw8+4wjHqlB9KmHNhwc5OiRSLKaOpyeNdAj0Jc+BNrI
7tgKDQJXAbqwScjRZrmbMlLS3oF3Mv+apA4qGPKsy0OnmSFHxkqpPQifMcD9hfMpRCQJj6pBKPS2
3aa/a/KhaneQhcSXsS0l/Mu2tN7hP98+pXngfEa1XUKAjbLRCo2YYBbLXDQRwh4WerBV+M5B/9ZM
3li+2eR/Inpd3MX6UP3ZGTnK4xXX04fcC8DYdR7TTvudBmjJd0CI9c3oHUBgmh22uV72OIJk/kuX
sfsWQREJqtMth6fBmQXUKeA0JtiLKdu2iBXoIUmiuUVDPMp/WsE45B9H7AE+OVOW/pxkKaxwQjw7
OOQkqd+MiRF9gHTLsdyLZEjCzlDyR1MgUc4GLrQfZjLENz7q7zHWoS6K6r6QNkV9Mfk3Eu9jyoYq
nbt3eqCERQrM0uO9VdlgYaBvdwGOsEUP6Cy1vALuRJ6ByWm0qQprEGl3qvbzrWeK+VaPtMc07R8r
v8dSViiHGLdEgo690LXyCOufde+ypnp4kdWADkAG13oj8KW9r2qtezL1FDBDUJfmXksC75sNguth
ckeHFWr1CQR+R4P77mfz1ygKIjOcRhm/9Qbl2/fxnHDAp6P80o/KktvYpwqy7cxgYlJmEaGKO2Fj
Dz41Gfx3SYmO+K8o6/9BA/8FHIOsu/nb5f2CrPlLIfbjUHzD3+R3Uer/+91/AQd0/Q8beUtieN7w
qFwSOf0iawbeHwR0HMjosRIU/x9qAHInGTcMZBf1RN3kxf9v1ID+B5Vw4gIobRDOSIborxKkfk7z
/jvcIC271O5dCDwLUY466yonjgjy5DiVF2EWXcpj3wv/UFp981U2HuFsZ0S7whrGO6Tm/YcpW2w/
yy7dW22QbafEN37+NoLvf7X7u/XJaZC5fA08Tt9clNAoi/IWPg2/RJr4gXQNXDAMId4Hyqi+1l0d
v4v0NP6JkEL/qmfPr/Ywg/V4IzDheMScttd6TiPsuov2lLGHQ5U50x7vitex6F62sgqdJdGLOwxt
tK+DuHgAVo65gZ3pXy6P3RL//z6T5ENg7tKPBQqwiFKe9mWyREIFF+foLuUCT7r6ybWUdSWHcK4R
1h50CZYKUfkStP/2Cmg1ASbPyXCS45r4s6B88sj/uuaAs14GdIW8G5uF5AH5nvXrzdDyrqpibdxP
Xg68fFbvKID8jIr5by/WrySUnnmgq3F7plAbDB7swHWXjMluIBwIHLeRf5I7LE8HbZMVaTW/U+Zg
z5h8WyZxzkQpf1vXXVHdiiLVrV0VzDr1YUoWd0metSBxsdDIEHqyzM8ClC0OFGWexNtI0+IgrFWV
P7GluW4iOQzlO2EF6U7LpdrD9ao/1/gkIDKEex8w7ZKy04Y7fUK1pnXsYoeWS/7NRmbs6wg78kOG
x+y0Q7JmeEwUsJkddRT9aHH1OFuDMnKEIjmSJGFrOfXHbMQGQ2QCXC0F/Rw55m7bQQvIDphmqvqg
1XHwGIjRKO+iHsWG+xgop3oDgxGfsS72+dcip4jdrTMHAFyzcgRCrkdD8s5FZlnsS7wT3G2RNdis
+35t4UES6BTuxYS1d9qiNNSkeXclNbvszPWsQf0xwMxxVtrrhKjopqHKkaPYo/eEFDu33WZIoCBS
N7lGJH655oEpkPqhOEpCC9WD0zVfA/3Gtr0Z95gGqZtpkuYWT/lrVcFVdZKa5CKETEKdgwiSFu/e
02ZMDCZEPVhy33npd+hMChGXrti7IuAVOM31W+C81duur+aNZirzvtTLqx/xclSRqkCsjBGlTEpe
7fQbRs+imlQ3cp+rJA9FGgxfYumRQXaj5Ir538tRXYBqVOthqC7dXV08mRs0RdGV8BrsgZdKlfrb
WQTT9vKheKZDaBtRkQO6Ba1vzRKzrVZD/4sORWQoAHGgAzzPiOKTCr2WIDnfFJc1JyNKR+t8ha5l
Hbj1jqZSmX8QecJjUw7lV10b03/SK8TXOLA4seAsnk4TiddRQ7FO7psu6W6QvSyeatNx2I9Gcc0p
7zQN87wsTUxwQT4SeEAcXLWlq9SPAmegrSAAacxDPfM/Bn1078Qgd73cviZxfm4cn89hoAIcFIuC
xe9XzOx5wxS4S4MVwGFugnxX6ra6Xchtrx5H1CkWUrFJ3ZZoarWzm8QmIU6iYt/HRMt+3qRh4YBq
Lmo17y8vxOeVdnpg+QRzwFNY9kyQv2oraL0hrhtl7vVu9lChw1gStHM+e9T7LQfeiY7QsYa+nEnF
JjWn5J0WDS2ycZUzfuBiCYA7geWRSEPV1+7Al0POtznEp6AiqFqu9+Lc27Zm+nybBdqKShYCHqE/
9f0h9sZruINl+tbjwMsdWi/7norHKsPmqlz0Y4kphtf75qawoFXpWpztLg/3uR7RFwrxIMsWEdXT
RVR2eU7upjb3wdQ+BkPe3sbcxSGFS3FzuaVz/YHhzwHjognNKJ62BO0rrlvVm3ss7Yb3uds5sMIg
Fb66FdDDPBLAbAG8XIObQOj4mkNia89NWG5E7Zg33CDmwytbIeqiSL4Urp9LRKvweyEZGtlcmPuq
09RummExeZH/SncIIjriLbAniP5zGXvu6pKRpowSrwvmPV7D/qa3UbYbwV1fqcOvSqYcXNRrCIih
mi3OkFS9Ticm740gTktd7TvMYuRGA/6xEBOepR+wAMwOgLK7kZxlQnSHnKNxU5uxkO8QCwTeW+dk
VcOeDFO0QUVnbLZNBkjiyrS+OFz5RqBq3E1Y5VmIHJx+o6x7+LBZzjfaxVsK/M52dNy7PDDej2U+
bN2gq64lmJ9r1icbkDZBQSxeR1TO3PX5auqxm6SzOe9narnZNoN1EIdFFpSIW/aa4W54ZlFWV11P
WkclRJo7yMpdfCPizP5Q8jobcIQwAzIdXW1+EIXZlptYjzp9P2EWhj96FGlRiOppTvotXfi6gfBQ
O9NiD6UXv8H+q3LaSW4jlaG6WrdGQk7SNab7BE55t3XA7n0UlcJbXky2lPA3h3ZT15o8RL3pcI27
MdhVTQ7VRoeT85gRSnwqHMRpt0Yq042ud97PNk+mYJMZw0I0LnUd8pIJl7h26noCRSDSvZxgudxW
aeHsXFCbzpYcpkw2cAHrT/wYoFsB5VKRPEyh0/l1BJlLRUH86E+diew8BWI6RX79M0wbJTcq7xod
WdKk+KqrYnT2ZY09XOimHsmZ2jMTKNaa64nbXCL+tTVrwuebwtPgYnppF3ys9SKZtsCQq0cb5TZ6
GOXQ3JDWCp66VvMfIQSSkezQOb3BtHOG7GRPE0TDUSGLXxhJ+SnXlF3hq20X7q5xcTXDBq0wFxhK
XNg73Z/QV9TIf+kbr1P631XkGHBqq8r4u7VS/c9pFGULmy3gqq/6CUpmbSrMRdgR03TQplEZRNkg
K/d21KTIOeZAnHa+J9UnZWtYhjqDgXFmEUe22FR+VzYIX5ZusuXp7eKwNLjTew3Uo7fX+MWPMiMc
DlF69FJKdIjWkbaejHRfqV5+bmujrXZ9MMTuxpg1eKx6FOCUF801dEfZIfy3H1OTNVZRi5rfGYbQ
DmiJoveYZGBet1pVIGFpann/UMkE1cR6Llt4xAgj8lQzB9kdUz1yyvsgirr6jSGD4nPjw03axpk7
JjfGVGrirumqZl8GQZY9ssA8hXxfZxTHCWPs+eiOuXrfzj7QVg3tqQRY8fJxFTz0epPI0nmnSxmo
20ADhB2S2ICjO1LcMaH0o9m/NSsZBLDXtPlmGl3I7Oj6TGI3Ix/pb6nK9BPzlyY1CjV+8ZGjYSan
Z7fufS6E+bUxy+7O8ytkRJF5xDmlplSUITjqdNseV9XPU+FVaut0ZR6FCFfCRhdjUH2hZKmpvWUa
1Q99JglMcsi+c9rA/lGQE51D6M/iXdwmnP4Jz8Z6izBFsO2swRIblDTH+lZZuvZd19gkMJZls8c+
JEB7sMLUY+NTP2vhjJPbosyk9+6dbo7yaaEy5GGdJfBCx7q1qy3w1hQtQcMus42HdZXYpgoLwa1d
oLS/0bRMfe3TJm42KWLu5dsRuna71ZoS6ccgT5OQ7W9ru9pu7I9CDg6lrmgyNj5EPIzYIx4wCB1Q
B94Kw+210CkSnyqRD7UyJOfsg32nALgBJU1YkAqEvEI3tvKPscJ4cFeaRhNsjSSxj3h85/WOl7aZ
7fo6HyJkE81eewOoMHhEUTfDojfuO2h9QpUpHq5ZyTzG9TTv0GsVMtSTHO1dhcyN2OSKgh/qlEn8
SWuyPn0/SN4sFKWwitsWRdobD8bsjWIL20xLN3GdZ+8BOnFywG/Pv4PCSawQGZIxZ8GN7QMpAu3n
3PFP7SBqmDF0ZjXuE6+v0wPGZdWECWbQvuvrucE2Ip8jfxvZKfhaBsv93KnGNY4RIRncvyYq7W3v
jcXOKKq+eBMYSZwdEnwn4neTAxt+z4xoh6ntE6jEnpscPA1A2psA/WBYi4jafg7K2LmnDKlx2GZF
9Zg3QYbCq2eJeIsmsrpLKYc+4JMUv7GtjNJYLpCP3fjWhIGKhOnbkyUZGjccUzqwzUr8RoPYg8l3
OcxZJT2p11NkAvIKam4JeHnYn167pZKILxuoMPRepe3aovHvNLMGyT1I+RD0g3lfOPYHD0+XW2eo
s81QKY6ZcmjQGracX+7g/9HP7jRU/fUxWD5gJUMMwH+rcGgsUaO151Hu28AoEQuQFA5hM7xNqtl7
1Xvnf5siTUiSYXGAWPXbEmkMrmCS+7G3dsqyunsUNOQH2KtXRvg0KP7VEOlrApuF1wa6/HSARYe3
Qdb59KlPPKK7tA+LybpmL7Eu1i/T+Au1QhrBhI922kpcWyi8FbTS9bY4CmU7FFFw8gNo5W7yLoge
3EpTx14fPl5eQMuU/DuEeu4eaFUy5ywhPDvWb7kG4bXUVPG4F4al3TjIgDfAS2r9RndVu03TRr+N
et3YC0r9Wze3xZXcyZkl4yxQY5gI3BmMwmnHm2AggptpvyduDZF/RTkiKac3Rcm+v9zVVRj9r76C
1yeOBrevr9MatYZYa5LX5GLRVN1HkRncaGUrb1Bl6LYkp+ZwMObpSO4TV2+CPnIEhbad/H4BKKrq
digwrSjnzHu8/GFnlhjvIRwDqF+AR13PQZy1szXKlDHoS2M3C5TNpSyv8dyen77rqX5+dlEhoVCw
FtU3iAUyvxzGvd0iYFJGmf7O1qlaUzyMtpRQs1DkWNsSFfSwrOp2JwIz5aXe9h8u93fZMi8+ZHkx
Eb1DxF6/0RFm7jtRlOPeAyISYourHZs8M7gRo34vsdq9soXPrbEF+01ZxF6IKKuzQrSQRscpITud
pPU2EJnNRFf1ZoB3vbvctZdNQQ5YQGHEAHAr1/BH+GyGpgyLrjnjfG/lWfCpQFFhlwLQGK68f863
hZYhGrkAKNaqkPgSwltX/rhPbdCyDbIoY2hlCdlVr5efLvfLpF64mjM6RmGNegyu9xB6Tvfp2A+6
Iajo7rUOne8QfUb9h2EuuMEgjmsvrGqh1Xutbazj4Kkh3sCXqh4tZwqs20Y2glgj8933+hwFuJWP
SLU4peE0CMEHiOfEeaHlIXX3wrnxZV7EXB668bEtJ1fcqwBj1CsQsJdbjhIHSQ4MGEhGUGc67Y5d
FW5tTehxR06ePfh5LndxEPxL2fc/3odnWzEpvi5amuSiV63AFkE/LKCVuSwQ8HexAq/14F8my69r
BaA6K8CHXbqWdM08IV1nTtV+noK/EZ/KN2Bvr+laPvM4TzctNy2HRkBdjifOurrachPVFA+mfTAy
tWETu/ZO+ouBO/okM4KaVkd236s7FzHvzMbMbHEjyEMbKE9xk9cQpm7clNv0Bv5FfSezom82eevg
KD/H1hbmVLTXAnd8i2N57IUDBUbWlm2BUQWoAyRvksiFsMy75INowB2FoiYavyMTyTv58mo/s7Ng
2uMyzJonrbomFMl5NtGWwr+lUP6XaQbcAcH1awr/70pDZxYI1sk4cj1TkEHqnS5Da9Rr/BUixXKH
e10XKMAXkbrWysvzFqY/K53XD+B1+CmnrYxGo9wua6f9uOw7LAzeeHpxpNA0h05vXYkBT/NAyyUL
gHl5cDzrOb/gVIhC2fWEgOKeHV1svME3y7DzrXnnOFN6zExH7LNOJl+fZ+z/4Rv/RbZoAUksZ8d/
Vn34sqhtv/9WD5Qe/yr7pJ8OP//791/9F37Dcv5AeMAgnKUuzZpj4f/CbwAT/GMR0kYQeqFhPdM0
/1f4Qf+DWJ5gnvfcctVwCfwbw7HgOygFwLlDQZWUM043/1ht2yeBxzUGJBeu6PO5vMohIgpqYSXh
lseGREZ1mIwkUjdjjynGb4Pz/tep9Ts2Y73tuMaoW1Cxw/6YoVjrH5SgUY25NdqjVJ39ffKm4MbH
juFagnIdW4MAoUYCABZsi4eG4iruSB1ELGY29bHA+EyF1tRoO6w/yN3i8Z1uG6R/SIIDhMsBqH5G
q+W1QpkLBGVpmosBxKdrrwqTntSCWhhTB+WtHreDSqeP3TA3RzxEtS+Xh9RY73vaYqUSjbhwl1Hx
Xd11djA35pBb8pjJsrz1h1m+TVC22UlYLlsDhab9mFEJ6sgT3yb+KI5ubkbvhsmK8PPwhsPgDOPT
MMXAU22MzSZ07Y6yHarHy9/5Yur5THt5MYM8B6q0rgFGjlf1ZWPKY2um9bskm9E11Wt1xRlufeIy
GEvtCdQTsTZ/rqoPkY+Rjdva8gjicEg2Ci3UKdTzufjgz5q96JIl5Eou92xVlmP30CjwHx425MOX
ZPzpMQ+nA5QxL4mjzVV8h4Ozes/byn4rdWXfmW7XPyjluIdmDLQfhV0KsHptexxQ+rhJLDt/O0yz
f2WjrZ+1z5+0UNkRjOHIWRPsgD3irTAsn8RD76/c6MpbKQ11kzsEhBJNxq9l53qYxkwy2V0ejvUd
/ty0h+sgdYFFuHq19huvMqxoSsajEzXarY2bCHnYhXbeNuJKU2eW/qKlApqdWgS8xdU+1/HJcSeQ
vghouW2NStqg3iaILaQbF6QtwNDOQLNvdn9c7uGZpYzsDgVI3s/EZGtGn0gE50vTjcescq1vZtnb
xwFdl38whdBODJCuNEV7p6vKp7IlAqmNR4yFKlK+Uv8zjjGN2ThSM403jsyzzzHP6pgLP63nm8t9
PDeLweKlhzoPnsDrIzQnZ49VWTQeBQCirfL6Zl9H49OIBOeVfp7dPgQuCwHrOXxZRUmoZ4kiSTN1
nPU4+ktDfIYEZj5u7UT9Dcak/ibFZIy36RQgY9BP9YjOaa8f82wanvJBT9639tBfCabO3CAAaJDh
58PIPa15bhngo7F0cnUU+A/cyllp+2Ri045aMT6VQer82SM6m4dDUVU/PGoFV+LTs8PPBYlJI8Ah
ruXTyQeUradQV9QRvkzxnbrWRHnPrsmri+4a9/JsX+GG4TIDSxHY32lbtOI1aDmS5EI/eIOQ6rBk
hnGDHLDpe1AQnt/lPYLBfmpVN1Vd9/vLS+3cWcUrCpUeJPYw2lwdGAZVKInNPWM9Nlh9lByLfVFl
h3b6bg8mhdXOx76Hmw9d1MstP0/j728rzip4XeSkXG7ORR3otOs1QjVeObHKrVqrHuJUCfCVvf3U
BwhAJdLKP/kKswlsiToYYHkw3AeFF9+VUkR/+ylOZ4Ty2gdbtOV7QU3tIR5sf+NMtfiGpGdyQA+w
fP2+BOTF1xJALZoEqy+emmicO+mOC5m+3jdyHraWlvyQaPHcXh6cM9PCnuSxDkJocSFYTsHfYJpJ
bEZz4SXq2MbQB7XEtr7GVLL2aF8b70rwh2+EgycQSJXXARWe71OwtLAWaXvRwV71sQpARqZ6oY7J
UEtyzH0KYChqr2zxM1uM/ABRN8cbhf51YqVtZVETlKhjU/f1rkT+/r73hnEHFiO5EpWcOeLg9qGz
ZbPGuJBfCEikQIS1UqijPvETm2qSdXNjgkvyQt4E6R0yWNq46aIYBKgVT7Oxs1RJvSCaiuS7qNys
3JgsxIPKM7wJL8/zy9uMY34RZyC/QKZk/W1p2RVwuDR51CTbrM7y7rbxmuTVq+m0lSVw+2011ShS
Gj4I2aPS2+9lMHwefPfQjepLaydp2OjgQ+3h0+WevZxhk0Qg2QSTp5VN+6dt+h3WjEOxhAde4X2u
m876085Syv4RL/+//kFbJHd9Mqs4aazVdgyBpUEkG9pCAX2jA0jZaZT4EKEJxisTdrZb5DlxYEBc
HgjfabesxMtLgfXcMUc+4HZK0vzW1Ytyr3y/uXINnVkb4GyAwCBSBNJjzRfl8TKpIh7H41LIo0TS
Fm9QxRNXYDYvwzjmiQwxCRkOGhjxpx3ypwlFZF2Nx95Lm31eVqQ272s4hqGqSJPbpXPN8+R8v0j/
sCnhR66LH67WYGfZM4T9yJ2WAIx6C/U7fWWJZdFmAxCHPabrOAsG/bRfLASzwLd3PGJa7uykJlRY
jLW/KS0kly8vv3MdYp1jLr9w5rlMT5sSke7HdkFT/dAO4eQofdeI/JrGwMvXFXBKpBpJRjNs3NWn
rUAU9uqyMsZjY8s3keb0oT821I1Q2g2hHl7r1Nnm4O2SLXacBdp02hx6TtbgFtx1yZj6d0NvjO87
xHb/lrqBgiLme/9gEBczJNMjE8Ofq+55FWWKIpPqCKyyiMgKzpRmEn/odpcnawXTXi44RABIB6Ih
43IbrN3mrakNLLBI0zERXLNhbM6lvsngdB58FMhsRHObEZ4kRqxYZbsSHD+KKb1OuoJb4fVbfHm+
kgIi3Qq1ftVpMRRgDjOpHzvU8XZz1Dwl5Jv2l3t85sgi0sJuGSECIv11xaSJuskcvFY/IgqYHnI3
dh9MHoYHu/Hra2Dj5VQ/jelMBzlA4JToAC0zebpq5mQ2QZzAnEswMsDCIKUFsBrzrsKEaJu3LdJx
vTMOyJxoydepda7ZNp3r7O8fYJ1+QF4CYMLyVx67Rtp77KIhwUpNvdcMRGAuj+uZbX/S1+Xvf7tV
K4mktgcy8Ugc623HIAYHkmXXslnnW+EptKhSkXRcOvxbK9jgzqhvjPJoOKlEMKrJ7rQU15TLfVl2
88t5+3crq4U4T74HSXwij+WjdQ2VxQhHIThY4O5vytj4lg5pEHaQsy+3e+b24dmzUMVYny7OSKe9
szSiATsmMWVrVrolGIZtA0ARuchK/KXpMgqBUL8+P8NbC/Dy8wol9brqbDxbwSR9knYBpr9PUz6U
R2CiMJMXawHd9rpN4nbi/Rxp1ZUC3LnVyfFDFQ7GHrHK6lDVfYmJck53sRmSByGAVcmazCAUtCsn
y7Ocw3pGSfURwIMKfyncOLpFWtoJmSDo9uoGmrgSodHm+hurCDCgELOxkaXVHccc6fekKgMYYXFw
k4q0DS2woztDBP4OgwDkr4ze20czWPbLk38uMnfIk3FpLlZrjMfp7NdUct2KItNR4xUQ+kZR3AEH
29c+Bk4BGnpbn7t7i755vc9R6jiOU2S+8WfbDHEu0Hazm9WPlz/p7ASRTiRHCnsNLPXpFxld4Rgt
LPhjWjviRvPT+JM5G9ObuQ2KKzN0dumD4aEtMO4gz0+bmgrdL2qDznszqdh9ogqEW1NbgOXylwKV
7mrRiMd63FyJjM41zM3HGw9FHJ130WnDjVWntgc24JjjhJVt3RpYlNMKtA8KiYeMGLPZuC0oM16Z
7qVD6xXJTsf6EPgO5eFVqsGswe67sc57v4iDh8Up+RPl+25XWu50ixKH/vHyXJ47ORdMPxsdsWcU
k077iXmw4UJH5dWDAY8R1mPJo2dK7X/UDLuaVIYPeWjVLWxv0jlIJgLNrs8+ZEan7vG5u6Y4fHbw
PES6MORaBESWSf3tGsBcSP4Pe+fVHLeSnuH/stfGKeRQZfsCwAxnOAyiKDHoBkUFIqdGbPx6P9BR
ecUhzbHWtz67VVtnyWEPGh3f7w1LM4Epa0off1ESG4TVddLHYprqB/hDp0Q8bw0SmqIiRSkYAv7R
1NQiYU6joD3iOaCrdFbfX8VRaQZK1HdzUBgeSIxR9yfG5lvzb3W1XG8jOAkd49c5HmlTUiTzgZnu
buwqb7aTV/TnS6KfctN6s0d/a+roCZNCtxYL7t4BzVwagJo3cFmHC5Kz9i2ygX9httOd6xlvlYD8
NFP+7f0tSP9F0zIYuyq3d1PVDBuv85L92HjmRhqrU0gHRLh5fwq89Yyc+DD5o034ZkdTXa+GsiQf
bDq4sVVsJvRtIeFXGPwlKnSrPuuq7fsNcjN4Y5YDmtMqtqQg2Ec7uikxFWfVVg5LVwNee+1Mzrlw
zOHciQp7JbIXdwSR5WvuDXUaIquKdI+RpTyHY00CL0Czt9PiOovPstEahsD14sXeMtZqK9SHuct9
UITxuzenpP9I4dow9DEv7AISGxd4utWcjIFMlPzO8eAv+4Pk7HfuJEYFecK0Cg1JbJ/EQT4W4Pnz
YkXPGfzn71gNVw3aBRsvRGvOxsArB7jOTSb7JJwURQ+i1syuO8psm7yQXdAlHb+FK4P3uHRpRiK5
Via3miRuK9QSE18s3FvIDnMQ+8ADtwcIHh6+0phQFLrIKABmdnNpAIN+mXOMeGYMBUg70d3pSzGU
tvBtGIwPJMg18gacSPnqxTps/WZq0n3W4pfjt4PrZj5l7NU6u8RERy/IaoFsHnUIp7QRw47VTOQL
WS+d4sulTW2/bVOZhSgbOts3Mz0ywzEzxepv0/O3zMnt9vxZ/Xm1t0n9fBK4r7hCEmlCWTK6wXoz
qvwIfsdFvozupZ0Ir9kUMXY2ySTjL6a1zFvN63L1BkmEbfpamZWtn+VDpgeDFq9CbOzid2mdYTfi
Qrl2A0/qUGaiyrUvFjMy8VuZcBo+U03iAC40u2u/K2rafi6N1kBEMGbDLf7OrnmO1LW4m9CjdcEi
1Fq7QhoTnbkVDkcbhwrBymIuMA5La2/sfcvpo4eq1HT465y0tUBW+HPvxt6UnCf6IU14U7KAUm51
3XNp9wCBoq5cyXZsDZcaaKwZrISweqNwcdKgby3GuGmR/OLJHjk1vaUnjr2jsCtvFrMeJw7MBH8E
xpL3Dhk9mfu5Neso2RlxVf8oic+Jd4OTpecUIwfLV9xafQanIeArsWIz2mq4f96pNlY7nI1afFZq
okqXy9KWxZ0x9pTvq2kZ/Dm2e8CNOUb+PVcqrXYd/kRF13zuZse8d23soLeFKo0f3iLSFCYvAzXI
khqWLTbC5peqWqZ7VyS4J+lmTYKKYpD3VzKpdl20mO1G9FmN2VHvWdfkE6GJKV0zH3eJZxB406F8
UMJmtuVdai7D89JQt4Hv3vB7jjJh2psI1+zDWAzjfaIAaZHfFhu3Rly0+3HSlZ6In04uHxyDL45J
kDaSYogy9t6xItzw417JprBZ0virGG3nnBecPGPm0uuc0y23vrUXC9YUnHNRbBTNGjlZS0zfw2rM
F+924YvcAndDrjek7Z53WFyVq4ShnX0UB5m6nWcKPdjzdatdkRbNycYqbAXfmJLLAIOiMJZQJF6v
hzAbXMNfRL7cGyoUjSBaSKgKTRP+xiYHVf2WqYmJp40zWgKJjiktfKdawwj7RZALmBKU94jJuTJh
9x/3NzZ0XCsgiqqzwkFf0E7MBkR/ZF2xHiJkEAAvOmxDPKixiWvk3BehrcoBs7hIOqFWm82nIZrp
y1w4X7k5wSauB9woCWtbWGfVOmEJMAu981WxJB9Mu4soyTtV/XlxY0P3WyR2DatbJbF3GqPhAq/+
WPGrlsUtsOxBGKHhCu2W8LS293EHMovQS/L8WV9SSwv6dDRTf1Jb76Gq41r1c5GXHJbLrPAnrynv
4tlw0kAd29bwcwrvdwPRN2VYq1Vr+WrldV9awM2H2HUideP0sDu30xgD060WyeAvuehGBEa6Nvrp
7CltqOYt0iCjyEb8lBiKPI1ndY6fY9XQ+7gx2FggWiZbgNO02q1ml8tTOlPIIliqhmrSUwl7xPxN
hGZfNFdVJ+L7WENi1OpalWzUbp5NlC0juHgx1+kNt/oq4lNWiXJHNd1PtRBNGeQz/gw+8Z+ejlCO
syc2EmlBSqe0hXWTu2iv9n1mKldVGRP96c6KF10Oo2LMH6EySB2Ou1L3BzPJII1qlC+qoFnm1LpC
T91m4WCTgRA2hAV3qMOKqEW9lrj91iIO+MIVrhv7zozry7a1OCxdaJYCnyaT5Gr53DWkQR3FFRir
iTyce0lkY1pp80PXlObyVe+L4orkOZL47DlyHgn2mr5R4lG/uCq+2vyBdmDr6k3WeavqCZAq4iG6
xbYCtKzVEZb6pYaXPcNxsTFu0mfzI0G56xKUDPkuGvXhG7+ch1Y+9LfjoBjPjjERJwbNdY3xa6Wr
nme4AxYxRpi5agRCHYt6q+Iud0/qAregFLWutZkr6JdBjCa/JFuMWrvfQAZFHzW6lhIspAh+M8aq
vSJfrHQ43qey2WS8it73iJ+QvjI3gljEucLwTI79/Jj0kKqCxhuWxxrjmDRI7EVimIar1C20zbZA
+IWeZXWJ1a/1QtO/zi0ud/6a4TeyUdRjvSuXlhJDR95avWUae0TRErlxFTledZuDO16o5ZhdxzCF
3AtEksbDEOnOiACldh7IrV9+WK0jr1AvemzIii0K9iWdEMHYEnlyhkkPGWBsn2xD/TLmw8PKsWAT
zaTxqKO+SzcrjFj5qTarji9cK+k2Zmd2Ca9K6s8ZEqLC1yc1IwCraW3At67hufRMko86ISgJmH5I
1oiddtQLWamO2FopHGdUhaLdFF2eBFTDJtZ2OSoHUvkkRK14Mc7NqijuVLcTbmjJFn/ofqCAuLGM
BrJ3R6xZ6MFi+4rt4jSdsX2ggZprEZHLESkmU8qQ2SfhrGc2OzdxF25b6vZJYxHfh598LMLOXugN
KmAdWV2EhCMQw0VfYF1C+qnPKaN9iHXsEcPJKEvpC1Br6dvOrH4jdzVLwsZtqFV6nfbsrirGXUax
3gpVkYkrixRSsgIzp3Iecf3O243RMyY3VqdLK4ybLJ2CpKyGHVHvU76N3RSjRM6vMNeYZRDZC9uo
40t9rDA4m7DoXvsYA/zAnvTJJYy4S2/NaTBv6jk29W2WqYriz944LkgBSyR9jTMZH/VqlJ+581to
IGtCeINej41HtYe0c56bSn+jG9i2omee+1uBFEJyQxBSO0du5ZDmacwg8A6JQbzqTvU2FokLuS+R
G503Y6NOQbFM+ccocpu7pnGpVIqUwHoc3WTzKBrbraHkaB7ZJ3p8ZyBFdDcWZYMHFiyXPRweHVtv
XFp3SeZoz0XikkOJCRsejBqKwJ0wCrqb0x2jcdbKBTEBqsSWBSFGLkfBuL42eigEHA2N9LIvHQ0B
ZWMn5xnuiRnfvoT2PhXTAqI3NNN1B3Poi8uFq16hneYexh7kKF10Ma6kmYjvIr3PvullHfEOXKf6
MBHoU25zz7J/aPmgUJnSpizdVk6S35AhJ/dZnhcHZ8QoM8/z9vLfers1y0SV2oEzh7NTYuncZCI3
Rv/fBEGJPaoc/LLcMSIxz7WvU1SKH96/DL2JwQE/kMoB9ZL4hCNooLH49uPCbTYF/Ng6MM3OetsR
N4oRxY8OQly2vGgiqVIr7vHsFPelruv7Ca8YFrJo2Q+4IW8m4aFV1mv9R6NU7o8TX/EtkMSlPutA
poLlenwvTVhK56aA6+KqCfa6DID6qjPifpc4Tvm5ni28Y1RtgsEp1W2iVRj25UXZb7ocR8lm0vem
kNNDQgJodgIueuubQVoEvAE0on53hJXa5CuTslFyd0XTG2SIM3wB7+sEiP9KH0Q5CAIKogiiRQBX
jisW/RjF6MzN6VCnVPrJ4V5mP6s1HAcVs9rUaAw+a4jot5hkZ+dNY3MY1zBy4Lo+uadqsW+hHwDD
KxoIOAf36CXIw3aBj8LKbZOT5n0e1VGC3qbyQqMOd+Ki/hYyYLvc02HpQtY9Rh8zLkLVgNf2ofIq
9crIJhKsSx0lMmaP6iXauFPs4/Xef4z+QWazyQFbi7LHOqxmtImArLPpkPT21AfEOcHgMpiZ4Yg4
/Dyrket7eVXdiMrp9ED1YnkCfH+rxoEMCvt946fo7AgM4XwWaRzawQMblcxLx8qVm8E0s6fBkPOD
EalVtbFTA+stdGAn+C5vdTcCPGrDXBko9x21XSxybggHng5eoiVnBHlWn9JWdQ8jV6iPpCvHJ571
zfao3KKRXWGfnyvTb3CTGEVeJzMlaQx6Q7XN5LYp1Xiv2DhjmO6ppJG33i3Uci7N3KPgzK/f5rfW
FNKhBzfj0kmwWceNXZ32OOcaX6I8t2/AtbOreRnxGSisct82Htes91ext8BKAGUgJ8/8GYbzsv08
Kr0ZQTCEvdjpN5FuFIfe1OdbxLr249yW6DqRiZ0C8N9aoNYkB0RvDCsY1i9bhf8KD8sWcJgKzfGz
Kqk3QzKKE2/yrVFLbgVEYiok2IsdVSQykeA6O9KKE8vxg7vIeju0krDzqc2WkMDtej8tFeWC0o5O
MKfeWI5s+Pu6uqodTBjdLx+wyVVnoSYDCQ2yP+ihZwVY2cX+QpL2CaDyzaagW1KPgNxgHuusFBEX
htO284FuiO8do8Q4r2Bx2GSV3p+9P1reGK0QLrGqhPEKy/M40sySPVo/LWVtjZYV4vJAUgZjAJfr
yfr5OKRutZJfsNkJayvva87jMknD97/EWzQE2JaYieJWzgZ8zE+JJ1eCzQl5KGwC8Pxu9pYfnJ28
r0xPTfcH1Ry+q1KQG08idXYhV/15CGLlnFqY3xjG675PRIrBduseD2NVHRvMOjkBKLOe71qs5S6B
p4oT++ybrVBwpYKBaY12XPmEcigUzsLzwaqbcp9z9AV/S0+ZdL0xjLBUhbpIMYYC03EsY+WUS1WJ
YT7UwrLv5eqv0XG8vle6igbff4NvTEwKhTBjIK9yyDvW8+ZkYQnF9pgdg7PaqvdwC4nKy79wUrU3
WIpwKXX0KT+4raWdWBTeGMI0DEkTAgKObsfTxQX8XkyD4wE88Y67Ad619YZSOo4fLH5tGQzU9h7H
ScM0m+tvUgaQIgiK/PMeMNnMINyxTrwiVmoSKpciJEyaoik/TjXWZ5i2eOLaHszutmwj/JYhUleD
r5iKd6qi8lb/rxxxSulQvUhEf7k6UZPOsMMx5kMuvBGDj6RTBnxI5FJvtFyX7X4NH7/GuNIETcyT
5RRz+40RvZ5mWP2hfq1+dy/bL6FrIDaT6sFhuQp71cmunc62Lt7v4zdGNBT0dXNbT4XYXbxsJcMK
Fia4pR4qUzQHAElAoERmQa6O7ommjLXHjo5onI1IMl7f58oceNnWaHbCyJdeO7SL6t3pdmXektJL
6LZR1pslgUpj4iwTGFmCVN6ZvDPLiDqsoDqcjGx9qs74eslttIxJoC+i+aHZFA01MIYPwLEZJt1T
uysBXykiptq4Uex8vrJaMzpTWjc/s52k2eajhux0HvDRUNzpMl8K7rvZqHXFibH71ttjA6Bei/cA
Uhn95bNmUtoJRAj1ICzcxwe8dTYA0X8aNukhU1lNNNAAYUfNFHnZihCs3UU2qIdpnqqrQendneaA
Dbw/Rl4f9sget5kHq8cjh6CjfdpLWipHUHYO0lO4nXta+a2t5fylsZX+SoXj+/399l733Wp1sir9
eSYOJUftjYOjtZVZiUOZIfRxrAXitLl43qd/oZnV6YQzJUqm4wtgbljSMqu0Owx2m21l20+Xi+F0
d++38sZGzJMwDuDZr8at1tE8FlOvF2zw/aEao2LnZnpNVEbSf+v1NorCYkrHsO4dJVyJv9c5eahY
dSFsM06cgF6/RC5Hq4uChVXnaydr1sdE4ScDbLK8Jtsht79JpypXIQiFId9xotTavf/or9cW6qqQ
/KHhw7yCJvRydKbItIDh8/EAGmbm/qhzz0b0pOyTftI+vt/W6zEDbZVdec03R6/nHbUFl0wrBx0S
voFJbKirzbTJ1eEU/fAnY+jlEoYj5Vr8g4yhvnY4GMkI0UcFFmmLtPxLJMidCEqvJ+KuJNhAyTRj
rWIU2llO2MpnI17kR0XxALN1reu5j9bLcIrl9PrF4urEoUTFkxciyvEwNuxWI2Gj4XI0tdpZ1wzT
2ULW5KbDZexaEXl04lzyxluFc08va0jI8Bk5WtmoOIpuSWcoFETFPalF1m+rrjPDNLWmb3/4Ulfj
FvYJNjpE0mwcLwfQWM3WxLXBoLdNbTNqk7NF5H7KCvTV0PnbHgaeGHp+1ELrz3+7XSYWtXDoosYB
Uc6z5rYArmMzn5h+Pw1FX4wcWuEcAR0QnxwgkaPNj2NM25M/bR8cpSVcZWxyWW6VWkZbTFs7sooI
+hZnfew5V0usZXel1VhY741d1Pho1ZL7WunrgyZr+wd1++Yaxrn33XTWTdstUipGjok7rQPA9uAW
k3hmW7eeksyz7ygiLP2JQfBGn2FuhOqCjXzdFI6mW1uDdKJRVA8e7KptrypugAe6doKt82poI3+H
WoXnKOd3CHNH21vMHBR56qmHESD3MjVnzfU1pesuTdGSP2bjc3biuV4NbtKdkCsYIHU4GQGovBwL
aYTjpo7L5KHX4uRRAi7flERyXJVA3V/+eHDjO72OBwb5yhp/2VRvNbnZRK52wPhfUr3vofZH5nT2
fiuvVyxAk1Utb/Mf7r/HYseop4o5yc462I3dH+a4H87wp872o1Q4mCRVCgFXjUpchkWfZ9vYqNuQ
w2ztbUSh6PqZlVqnTtZrJ76cCquOmgsyoOu6Fx29VsLHjL7PNOtAuR1YNyVc6aOexmCe8+SVH1JJ
ej3Mn/bx/a54PWZpFndlaGdQ4mG6vexwNZ07a0COexgwAb0uSa9/dJq6OwHKvx6zq5UshxYu3vgL
H1tGRy0uCE1T2Acmz16oZR8qVnNoNVdZfb8e3n+k18OVF0rQKnx4g7aO76Nq5LapW4/WgTeYhoaH
3Q+WBRVB9iQJvd/UGy8NqyKuQ6zIbDbHpipxRGWb4rdzKBTYnd9Kg2KXr3ULZWrNTWdSZLy+SndN
IpzkxKR8o0txtgV/ANUFATw26h3GxMmtLHIONnfMc2Ash6KR1xdndqyiJ+rRT+zff9g3+pUO5UgI
+MZ/j+9+lHCb1LYb92Dj7LuFHzJsoyLv4A6Qwf1+U+u6fzQZ1h1hhYtw+mAdeDkqe7uwGlVO7iGx
h45KbGKJnT04o3lWO0u/i5e4viqNxQ30TExnhLurJwRabz0rFOkVyeU+iYDj5Rco04S64WB7SNGd
+Yyck9vUSYtdR6Xo/Sd9YwSRCY13LO+SC8XxtE81EdvZOEYHzg0Vxn8lFJTUHa2NGk/mB34ybcw+
Vozw/WbfeD5Iuix+q4Uyh9CjDoaagfMVW+Yhme3G9NPIHb4oXQHJdVrSr3/eFkTI1X8bdT+im5d9
OSWxmnDgjw6Zbs3Up5t6JxwEFYqwTzzVW50JcmqwqnO6psb0siWkWdCOWi062KLOHrhxWxe6V2qb
qp1l2GX9ctbEXnLiQP/GCko/csQkewXd8PEasFSFnakzjZaKoW9zB5g2zdxf+r3/dx36B0Qbruvr
Cf1/Nh3aPGE6dHjiyPZU9U/VC+eh//74L+Mhzf3Lg9/PfIK2w+rIIPllPKQZf/H/86rYZVYrId7k
L+Mh/S9OuERCAKpB5YCkzxjFn7xP/uMfiv7XT5HrGoLOYRu2ufuv+w5BwjexgWarpQjCWeoVtNQU
VmJGSp/sVZnKS9L6yqDou+Hmt9758PdK+bvr0MvpTStgjypPQTkT+RKVv5cTQYlms3D7glZqKw50
0ZtXdS2rXea18o9m999N8QrZcnmJMJOPZnc6QStzuTITMxrXZN0nYouAb4HnnP5ZpfbvptiB1JVW
DXZ/vGipFSbjxdLF+7YsrF2kqN6VTrX+QvS2ev9+B76c1L+agry9nrWRLa1D5ffrj9HgVulIK97H
mZOEUmnvKiyFtu83Ar2DP/PPfe5nM/DEWRXXSB68e4yXzWhW37GQiWQPM1i5akv6MPa9Qp2eh2rK
KIUUepn4Q1/Cwa1bfSaVcxoxbatjQ5vO1FZVr1y9VaWP3Bsj8GUuKixw3So2CX+0y/Pa8grMpfPF
SIJGcmDY5LD7YyKa6hiqiKHIa2uIJgHzLLKrsG4d42GSanHReVUF50i40RCmGItPewncNQdiXnQz
hKYscvBlM3f9CvusfksioJYGeiEM/SxbR6TvWUCNZAdSRwsW8qbLQIOqbPmJWiK2mRpMT/zU7I0P
MYWpdiXnpMUGDCOG8kdUq3lOac/bW3psoU4zpPbVzLK49BfDkE95F2kf6wkvnKCIG20JO0Uri1CT
auLuZ1EaOqf1Am7NKKvF2hkOCjB0WMm689iLrexcYx6cQLouEGe+wHnzLViv+1gn0CBMKyfCGqrT
syF0K139ngyVmYVGkrquP3aJ8ilGp5v7SeE60J5U3tCcTcYz2zSnvIm7/6MK/XrYmmWe7t25aFpU
X1H0dcVpvhWF590ba5qAL0mnKKBLY+0UZBQ9v8eKBqU+nQeY2V2ka08IuKoydBqUYyEBAfWdumCt
HEJ0U1oIvnDCYNdHmHGSZD9Wvp1LdCm1tD8p0yiLD30RWcqmGzvjexJ39qPwYN35TuKVz4OlwixM
Sy1uN2qvmBCc8hkJrjH06edUSRIv5AjYfsycZf7g6pEmA7Px5MFxMRT3YxhkF71EVLpFqQJanKZe
WwMRyLYJHBJnMe22Ynqj1MfCu8hZ576pZQNzGzagaW+KpcBujTQ3U17EjRd9bZxRwL2PGnkHv5Yo
VlJqV8IwSNohcllhghbCwiV/rou3EZY4ws84YJ/no9V9qlBTTf40JUIEqii9NtS0aYJKFeNOj5l3
1gjNn5vII8M2n5zowipId/WRGsQyhKOCO7iuN+I7eQT9J29O8qt+ybMFbK6Kv09tjoAEb37jC/3j
4VIeLYUdtnYv3GBB13EvuqmS4ZAO5rhxMdHhPVQrkxfJPaavsBiH3ejVi8tXUHXFpzbmfYDyXypn
LKqtCrkwaZXbelgNLiWWEfVmzDNRBxBAnY0Nf3Xjlbb3Q0s6oUK4RukCPalT1bAAOZuDFMBYXJft
WOsEcoxtcZORDXzZ8uwpgaVm+TlLYbyeqTWRZtfMgjWmWUWJmNqyCVUTjkJQLXBTQkJBx4yorkn9
ZBPbGYcVCcZxUCpkSwRjOmsLggq1xrtYaRTSFPSidy8zGDP3+WiIYl9nivqlXByR7ADlGJtqTKJt
mKpadePVE0UNG04+3kq4xJTkqiVmGrTS6M8jFnuSBjwbAl1Nvu2jAYkcf/sp8+TF0ovY8IkBIizW
6qb6mVhm/dKx9OyqqXXt0mgShAZlGqmMiSEtrqCOy686oQZjAHOd2AKwx7gMACCtBDVEXdfhPEcT
eRoy7eMtFPBMYvNuD3d14U6zrzai032SPfocK5ax5V6Vzg0E2USLvybuApnfQR8xBiRfuAksV4jS
4WKX6UIZwOwOM+mRc8hYmZ6lvRS4jpIXbdi5tc+FAFVWeAAqhKbQrlHiFvcZQa7ooUb9UcACleFs
ssiTFScM9KCg6AQA6NX0TGw6ywIsa/EdoqdUgpZ4io4dN53aTTkgnvXt1DMz35Jly1reIbjdRiLO
EwQwXfN1lesxRavM+l4TGNL69dRal1oyQ2xvPVH/yLJOlWGjpoYWxsTB2uGyeIp2vmANUGHPgigy
VAQeWT6rudADQe7wD1zvF7JDmtzR/AwUvT2D5JR/LFT1JiLLBFa7niXw+avJxMUKMxI4mlZqiECQ
MPat95pozcrMob8v/eJAm9GbwdqkUTw/RV3h3pdKg1qYZAGCDqwZ1zhvGRHVEvIQXecs3NLHAdZ7
tHTytP24lV6ySWBmSPgSWf2QqfrM2IjS9F6Lohgx3STrjdAgpW88RpQRKLVWHZgvxY059xCSciVF
gGuVM3TVEVjbRxcLzRv6ax2fcZHR7/Sh6b+Wttnu+7Z+bkmVF0E04TgKkbcf7s3GLa1QOor+uYD9
eEslFsOyZFyKi2gZUrK58hhbq6Gx0qtIJ4ZiM7LnkYiY1XDvCy3TBt8ypoTdlxyVey92lWErUpE9
5qqNssFQu+y206VXBxHWGDjsmwNZcyV1/tIXxOtixWIU37zZs888T16Ro+YVvurm+rYfdOy3S+QE
z1hB4i3lSqt/tGpK9swF/clDyoUrrKX3WEFU+XSerB422PNE+Z3XjqyxwIzVElRFMERID4I6043L
KY+THgdejfmpmUO2T+I+7cKoj+XD5OSqyopXjaRzlbH2qWrUnqyM1uCsSA6yMvntCOk1MO0Zb2Yh
HAnVuCKqxs8xnE6QdFHE24BFOwRRGwockYyiBoxBlmndVxWo69upc8aPtujmIjDTuOpC1gan2qYT
Ga1+QsDnEDRG6t5bs0VAOAMuaz+UKtkknFo8PNmbOPYuokTpqBGoWW0FqpUNZuBIVcpNVzYRiZBZ
3uDbLmfCc3CVZhDXiYgfRvyFfvSmHX/qxjkHmObbzjuhDBRysRAwNvTncJ6InBHbL0ox7M1R7XZW
ArwSDto6ibzIaT8U6HWYOHqD0ENjk55x4hDlZ3a/pCSe2m3pas5Q3+uFHGykOXX6fRoXedWqowPb
WYz1AdGUxTEsn9xVL5DHHF04Gn2Il8khbgdCdgaRc9Z3UOLl10izhs8Lq8dM/cCu6m1qR0QQEVeZ
PHWqJpHM6Un5rS8tuwxqRy0aCDPzdOlNHdI6ZRbmfavV7Y2TSud6UXvrxiHWosJZGUvhoMNDm2hy
Jym/pirWEFimkAfuq11cfzSWcaFDXPaqIbXTa7QkYGWMlXk/VFCnt0Y2i6/l6DofCP7OrmFzG0/L
hC/JxmJaxwF4UDRdT2IZ1lAZU34pe0/lS+oqYs6qJ5HIh9ANK8RJiaUi0RlO3pmh18XHKsqcbMMM
NL/PZdtzFJaDeIwG4nm3Tto3MnBFgzVGUxYS1nSpLFbo8jJQaHtNg7JBNm0Fn32Mn2apdpWPRVpR
BEZsx3eWILE9SDD4ZoImMUcAnMpNSpr5kt4DyCsfprZvv6WTqWU+dD17CUev1cfQIUWkRIVHkSRY
DIsqKHJBHNU82UUkIbaYVqO1aRX1XFGntPaXrLOeJXajLPPZVD3msTPeLZD7sHTujSEOqrKdzzjW
pYj2WsdpN6R2s144Q7vs4PbaLPvmZOZhExXSCEa18K7NpmIDXRZuv1tBbYQEFVgu6af3Lzsv8cpf
Vx0uOUwJqq2GeXQlLSCuO2k3OjsUwFfYa5+nESz+tss+jUr0Zzb8NIZHFDc3rr9cs8lTWb/Mb9Wr
CKvOyij6ep9RfNrYfYRAw42yKGz52CmJ/au7Io0BwlI0t6h+Ujd/2Zip9XEn0drsMyvTwypZPG4p
VX0CEj3ybfj5TIB1IBQgzbCPjpX1AMFT7eGmtHdZn0cf05WOFVPPm3qLr4D7Mc1s0owGd4magIwt
3A3nOClC0Wiz5ldTmly1vW1yEqHo+md19L+/20ppXg0O1hrR0XXZWjBlBc6lv2Xl8SUiT92pymA9
uhkBNh1msaeci44SNtYmV/dGCmDgbvzzs7t+e8WN6kS46/bFPiU56aFDQghdL3KDmHjU+2RojAvb
GuYBNWhthyZk7ttCmu1hmF08irlFHjqIuuRJptqJmsDr4bDiEyQzMf6wv3OPQEivR7cmWMn3ousE
59KSeKWZKf0n08kFk8ZpGSYaKJYOn9E7gl2aQUVptGjubqw0d18TQbkvzOHHUBTO1hyqP6WKgvmD
bDJtcVuHMHFcdO4tKGVouqIdizgarMWVoWoIcZagSzzxZC/7b30yiuh4UVFJp+IIhPdyOnH7dQSq
MnenuoMVFJkY94MQf1o+oZV1MnGBJudwJXu9bIXzLmKw2XZ3c2I/9ol20ZV27UfNcDPZyy/W4h+B
t9fNj+q2Fz9+9JdPzb+vH/1WN1KkHI5+2pj/898u02+i7urn/vi3Xnyo+8+fP45/1OFT//TiXzY/
bdlvhh9CfvzRDcXfDfz6zf/tD3+Zu3+SzY//+MfT9zLlotb1Iv3W/46+miuJ5beRu36XX5+8eir5
5Cun+F+f+AXWmupfKx6K0RIU8rU6+N9grbH6va8cMQcHbUYew+AXWMtHSLlYP0bhgg0FP7F/orXG
XxSNV4KiCz8PFNT0/i9oLdQgihYqVHAYtPD6j/aRxCHplnp7dzCIsj6AANZBpUXFCbDxGK1dCUir
mTm3XNBl/nk5FqOomhQrS2glj6MvvTQ5W5RiupiH5WTle91m/4k4UllmhyJmgpVpJexCIH3ZVgPh
ImkqjFOIzyuHMGowBQm93KzBd7ps+TQhNr1BGlE/mlqieFtR5jqpb6OWGH4k0hyIQjeVs6ohO6qk
Lt74XTl27iZShvFCNJVoNr8Nl5NQNhVADfHGapbIAsR6cOxv3i02ulZsSg+qW84bI2rYZxcvORB6
cyrl5mjlWZuCK2WBylMeWP/nZd+kTepNrsD/tU4axcfODiyW6uT2/Qd6qxV2L6ByihEQwfSXrRRA
6IYzw7pXsYDkzKiKLcytUyegY14pD7OWVUwq+uyQK8fhZTN6VOfM5nQ5GJ2s5guU68ayW/08qsAl
9gqCp67lyD1F0plBY1ZGifPLND+B7xWGXxhmf9voKuryZHKz2/G/2DuTprqxdU3/lRM1V4b6ZljS
7tgbMDZgAxMFxk717dJS9+vrEc5zLmy47KCiBndQOchIRwYWalb3fe/7vGbvmZSgp+jRcHspMUhn
6q8Jnf+wUZQOg4vW5CI971G14UEdpSx8siPs+8zq2W0YZumcl/0MxiHjcNKuZ9Bnzpq9mArpzyqi
U2m5r4fU8tXwj7oo0pFKYQQ8+szZ77taPVnTAaY4580srjmBJdI7lGQnbz9+oc8qpRdjarnY0kXF
aMznufRAXj9qDyeTqXapcUiS0h3AZNlluQr1JEPAFFNt3Zkl5ENlnJRvNf3eBf7aWZ7Pwxu/qp5C
1bUwRZ7u0n50dJ8SQN5ukDCoRBZVoygDB1fylgXL+gUR2+xuh6Lm6BSpWU+BXc8HndzdudJX3oS/
3M80RX5XSIduV7Op2udDI+tx1SJhCSlO263uRyWdD/SUrXEGOarIAw50erg2a8N96EkNbVamBXty
Y8R4NDnxTGl14pEdzULLE2PTjM8Q9wnT+7GU3pYW8VjQHw+GN2JfldTMV7OyRD3qofWVeIriCR+3
cuKq73wUmC648rJ1YnAcDYlBJr2j1Lpx4NCgAWIhz2ILXIIzNlNfdULY/XaYL2NcA2e2QJXQIL7+
KCywGh5FZPMQQtkL8jie2TGp7QmdwrIAvf70MFKixSd9Y4HjHhOqLIo1jZM45oHY2ZLqQhxdG8T8
XGAvn3eNXgyfE5/x4lgP2HCyKjOq0E69vqskp65kupXFpx6CtRGy2sP7Ss84erY0S1px/fHYet0g
W8axjq7UhSiCuJKvZvmQXuzyw44s5wjR34HfKL5vw3nY1I6RnVUhCsAqnrVLmPnzRkhEPh9f+XmC
PH609JH5OhnTnF6O1n5R4YNVHGREjcJh2rCxEHZAlEVZ9WecporzFkvqqq4ze5uFFD9C8sdoOPHc
P/5F3n61uoUSm9mFbiQVvaOvFp9+nrVdZB/CLLc3tksXjiy7aKXUVOA+vtSR7Ob5aS/CReJ3qJeg
nXr9tHvhUd1vIjRo0NH9Iq/UVVJUJSXDSt3prTxIyYWnrkD0E1en7JPvvGs0KX+saMQGHW+2CrwY
udXpSNGq2Q6aRO+3DCEerJWC3SXAeI0jyAn0TE7rj+/7WI6+3PirSx99ZpKKP7aa2D5ASICHrk3x
msql9cXUa2czNymPnNe+p7kjKW/JaGtG4+eUj8+/AgISVED4td4KgUwh46x2U/tA38veNJomg1g0
xok3/PwQX3/VBtJHVIY6h3WOWUcDODRigy1ArR4azR6dTU+SOhCvzlA0n0iE4mefxHjyHNRBQElE
on0x6XSMq75L7DlwldHp/CwJnf1UNnbkW8WMUnKs+3aN6Ns7pQ9++0Vg1oPBDSKVcz4At9ffIwSd
quxyA1JvXB8oAYpxbwjnQqXYEhSOdZkKJGAffwpvp202mQyB5RUAUztemcDjTQLQAs+HsOm1osaa
j3ppPDG5vB1ozJ5sNtF7selnWL++sTnLG1AcoXGYpDUEspb9mUDJuKJIFm0qTjhBqM3141i59VqP
e/OE6Oydm1yWXuQugMAZaEfjvJlmiUmtMA+VVlm+qL3k3HHiU7E4717FYaXncSLmO94WkblYoJYd
zAN7aHXPU89u0ihzTvhlnw2xR180entKYiyBHAWPfdA1emGtL2vnUE1S7DOlSKeViSnsts9dK/Hb
DrIFzW3EvNt5HDoRFI0mnTUqHNvwFVr7gMM5gux0pRbWhdRKC3xdVWRPZd8Xw2pKsRv6ZlxGv93Z
ScMr/ss5GHmvpejVgeUdhK2V7q7pFbo4eUFTzU/VWaqbxhyTny5Rgt5GK6fub9wwxhfHlmO7A/Ej
7wzCwf5e+vQexteqvFH7Eg2GqY7V73JC5rYzlSo3t0MxuRaad1mIFXFSCu2QNnRu4sEmr7C3yuRO
r4bsTsSmvie+ItJ9WwXvR9fLQFfRgBpot2FUIMnJacnMvjoJ52vmVLpOYGItznRcUuCGzVHJgkbL
xeAnE17+wI2a9Ek14l4/gx3iwXLLBk+udLuq/65ts9KulcoeT7nK3/loWH+wqyKfX04vy5TwYsFH
HTXR30vNw9i4JYoYeHJ942T3H4/yt/tP1mubnSelaDbvx0r9yhvNOqYOfiijcLwu8N9dR26XbJy+
IeLZyYlgVop+9fFF35nN8FXxhYLKXnATR4uMqUcwFmbEwrXW1TuwDwqFNIPMUkG3yYy9ZN16LsX3
rsnGz89qGI2ZZxDVo4g7TjXQoTwVAIUcQJhkxcdxaq0yycb/4xt8591xFSS7sMjBHx/PnSoZ51ra
Gg7s1ylfA1oy93ZlV6cW62V2OhrwUB3YyWOBoHLnLL/Gi08EyawCwjd2D6njJdtIUXrfGrRqW4+t
2DRAsO5nAFdX46Am1x6v9pGVPV71regfEw7aJ6Tt73xKy0l+qUFTI6VC//q3yZscMhuBuIekEvk+
NdMLAepocJN8iYsfLz0Y2ycqCMuy9/oBgGoFbMM6jo8dO+zrS2Lrqi2ndwBZlEp40UlgpnSWxI4x
fAqE/vbueJsaxXtophTj3KO7S6QVNex8FSI8tTKIGgSS/iSdGs9xWHR+NKvR3w1t91OBAW9vkbeL
JJPdIAOU0KLXt6gRV0KHXygHpR3H+0IRULWcptVvQ5DvJz6ot4vx8iWxPlH1Yat/fMbAAwwTbyYZ
WsGa5wRq3lOAKzIXzwcmg5jOpdkmIuhNj44ZoEL2pVVTwdT87Oghzp4TDqcr2NwsZq9vGYUQ0kat
jM4R2oMdhG1GHeWT3gh2mVyE7hF8YSwDb9oGcVJ0pL4P0bkjapuyg9PdzF1MS1/G9gn6ynuvcPFg
LBVaZnT76H40jTdXkUhzXlWFvmu1Kd80dJT3VRxpJ8bgu5dC7soucckMPT63GJmO7tvoonNNgrJJ
zHonQ/N2dvLm04d6uPnI4pFQgD56s26QlJUipPOic3SbykWn9sUj0NlT+XBvBx0L4B9POHJh8lJf
fwkyJNGPLXVx7hSutStaWZICJ5qfNdDFy1FE3VWDju/E63o7eXMlApHgBXBF6qCvL1pMVQskOSnP
U1dC86MbX567aeH8/OxXTjkO14rLIYebVI++irHSJpbzrj6PK5GcFbmZXErW6e3nr4JDkkUCbyFH
naMZMiYqJQ2btjkPc9RNNaCGIC8058SIffPZ0SxexOTsPekmYZJ8/cjq0O66CW/Ied+77cqQEpur
M96LGZnJx/fzzpUwTjCI2BAtxJ2j+yk6K4rcQhfnbdKg51XVB7NpD44dKav/iwtRL1565stp+ujT
U5pKxcmkiHM968Mgt9kjAOoEKwkg9MRuAUQRz+fVOoaLkZ07Pl1O/UvZ+/XzK2Z2yWxYEd+QHBtC
DazlQU+9hA001Nt0pei1BumzT5hrU/ScD8gSKH1GoDfo2q10vFUcO93M3qdJCgNBycefWlOEqBsm
L6Oj5wJOqMZkqP22aOEc1lkZXVBxRDCSmAl9YRSapYJQcxq3Mc6XH8sHde7OfVIHM/uwnzX6vdSv
2mKyfLuyjMSfiWa01mTI9KPfiVK5L0QT9Vt0/1A/MMCZN0PZA04lYgE55+xYk0TM4VQ/23GIY79V
azKRMjOOfmUJ2hZ/Aizs1dCSO/yVZRhN7n4uW7bvZapEB3aM0N5UUE/ll9ZQc7ntrDmfLycDxbOv
z7FrX4ZlAmmv10O0W8hrVG9fMcSeXBNS384U2tBAdOAstLVixZHrdsLxfqln/OEWJmpclf5QhlT0
03wOk1WvJYO+pmfuupT0HX1vqwTZ7lLHgT03RpPcoWSs3ZWOqBxELj7QB733nF3lNuAzm3I2ostq
AtF62UTxGB009FrexhnCaGuUqlueJxXUbUsFEEWVIUrTteVk9d86p5cHK4k0QdVBVc/b1KZ5bsvG
fPR6OVbbTpuR1EZ9otZBGhrFt0IaxQ1BmvImFGbW7tAQ2eoKB57T0owy7WpV2XW4awy3ZB0vW2sP
VjPHD+jg0oZjXDymbomeLMbT/QNkb3Hdz60dgdsb9DHoHNjU5D8WxU8OkdypmgJvD6yWPZbvjUbW
rTt1ECroYi9yFlw6yhq1K+az2uD0tRu9Vut2Vpfo4yqKTU2uYCTTV/GaTJH+ohHvtkC1y+yrGpZ6
6LeDMQu/7wbvzEUf7CF8k9PF3E9Ti5UvUc6ZHPraLy2jNjZNXSNo1ifN8E3Liyc0Jz0GbVkr9nUF
3RjmclIlkT+YbnLdhG48ccCsOfoNGRha3wkjm5DeYYNczV1QyfQlPKW3eHq6m98xK5SQSWeBoIrj
rfll8ZA1QVqV4gyqMgL53NRRWldeUqYX0DU6oMIUtcbVBJUVzZRnxiqCzwoId+5ObBUzNc9Dvxkc
5z73iCPCuj0VP2TdyyfMsPG3OW7tpe/RgXPP0kSHXN7kjeFHypgCp8XMssJLnTw2Tk/iVkGMzO8i
DscWuXOX9hdKZfSXppXWD3C4oymI51A+NJqDNTFHg/pYqfg0g2Q2RrRUoWc+cO7sydtp0jzzJbLg
aq26kbjLQqt5avgor/Ko7y6TvAGDPLRDfWuiwP+dTzwSRontfFVaLUo2CNBzpv5GfdBsgZvBkIaV
+azr6ZmipsC7rBRw/l7xvLTcCSW07zhp69I3SywzvipB8QfFVKPQV1EfZytI4NkdAp9JX8MPibQV
BYHxG7typ+c9gzaHbGTVqFwJrstW7mRGv7TItfNVWswKn5aoQjUIo9n7WpUq4E/R2gDkJ+JF7xJG
xe/Jwa5tTUn+OFlNx9MLM+UOZ0Wzx3UAwwRTzXjRaUK7LYmB6Ve2UU84S8w8ihfdmfK9t/X2EdKo
eIjKuXuIQOV6Pgb+5ct1BolRhdFxSDn/VKss9rAa9NmIqbjTtAez7bobEO7TbyNt7btaGxI21k0d
U2ZJp953HYGAEgWq9yUmNu5m1L30mq2ye98DpAcSTJbDb3XGaxqk/ASqcJQ1MJGl+WuQqgN513HH
CmNMO8KJFVX3a4wHIPxoAX/BiTduCmvWsTbn+GFSkKwYVBDZowNdlKWOUelXtM6HX95MZrcvR5Uo
Siho7k3sJuYid/WY1kyrdv25turCjxyzzRBbjRnWFbfNrgZJZuu6TZwhCWxPV1KgHhNx5IqUFWxL
FZBxMKqNVfj9HJq2H9O2UX1k9s6dKArzb0yggOAFvdxbKUxV+EmNWgDUro53pElSpnZHxzfjuW1D
Yy7KKFM3Ydz92Wj8f6XK/8I6hMKdLcZ/7zK8rn8/JY/5v779jshe+lf197/uqwg30WPbPb4Uvfzn
r/q341DFV4h+g79/cYM7HJL/7ThU/2LqW/z1FH5gBLGv+0fEojh/WQQpk/XCkQWxgb14w/5tOXT/
YmeJppDTE5wkOm6fshzay6btxT4LXR4bbgsRAAIKHsJxKijToVV0kRmfkds9f62cTrmrokikflR3
meIbc6gdWB9sJRjJz1rSB5IpSAsPNK0agsRb5YleFsh44c0G7OW6rzV7+J9d7jXfNbWLHN8aq+E6
iez6Zm4mHTQxIxfjjSiywZ+hSzSb1ERJbrt91J+FdRKPKzHE4d8eli3dxyZjOH5II4FyY3qp67nr
rpbl4Kacc7ZV2WRU3zJD2FHg2Z1g41DUKvjkLtbBzem5zi0YP3PPqbZ2U7f2FiaMfu7UmmoQSWpa
Z0rlNKQnpLL9ps165m6oYMTRgm2OEljtRraDzu/eYtt4qpSi/KIpsdD2TgTrY603ohu/GOGoPVEY
MGBtDIKp+Pk7+3837P4HSr+efbskpH40ov730+/45cj5r5/5M3Q8vnRyyEjaMSjlwYXkYPNn6HjW
X5hKacNDFaKsRhv4P0PH+svDFIk4jMoMjXr21P8ZOfpfKL4WfPEf6ya9/s+ov46aZbQsmDAYt/SC
kJKArz06E2N/NENLetamoGzirmwtYpHT9aG6nr3KApCPQeZXNbVpj7dLyXZeJPv7/jlRpjONeIvW
MdXWdanU96EdsSVtcD8qAc5cbBovnuvVn9H80vH7TLX4r0H+53flQeJ5VqlLUNt+fZiKHTXF4ibN
jVLM/S3hKfoqHS13pXqz9lv2vXJdem3x5Jnj8GUM8yiIaCczKpzSWplF4d3LqFcD1WbJ9meiJIJu
DJvfRTu3QdmycfebsMufSPEbL+1MLdY6+vrVlJTTwp0p1pD0xZr2ykT9rImvP7651yoH7o1ai0W/
kikRZ7953Eka9cgTzSjMjd5UTwon8qecZsS9UnbaWnp0Zz++3LG2+Pl6ixqPjozLifuYwUoakIJP
cTQ3cefol0rkOL5bCW0V6w1hR4MaG5dpWFgPEE3Apw+1c901xriROM++lm7WXjg0v3a2GbpfP/7N
lnP+q5fMg+CgTHWQ7jxVvKVy9KL0LcA22EQhmBv0Qt7Gy2VOFLsoPlU9+fO4+fQX8RRfvXb8uJ2l
MQUMm8edt9WPyoaHHlFQOVFwel3TeL4Kukcqr1jhqWUfw0krBlMU4QTaVIMQe4RgUyBVwqowYX5O
2LdcClQm7Q+qn3RRyf47emxeCqASIfVm6PLsYNHsp8uunnI4vL0hnhUdXeDelK3fmO7LQau9vlX6
zeCk3RrArLPHWAucHzvv/Se/AwSzCEKgxyIDhwZ1NDE1UZQpuSWUDbwsKtYVCRvqWH+uvoVeH+0L
XVVktmiYLPO4itbEHGL6rBw2rLfTBdt9IjVms/yOx78++/iGjp8dl8IbYi4tdwTC6nGBKy0jItPa
btiIsCAYKlLyhlqJVO/oNYEy/fhix7b75cZgKC5ldjqAC3js9fdQFE4Xx2o3bky89lqgtHN9LeIq
Df2Y9KOD3g+m4nu4Zrdap9Ttnib2/F0Ip7qRlRFfESGX8dRxlfzGxOJ9TTmN6gfd48DhR2old4kl
sRnKAW8POxZkEXjVvQHd5TyosFY4+vlIF+of5qxwCsIDKi5tstOMlTbn6t+OZZInhjXc+WYM2tBf
cLLwSHXqMofSgWtFX9W013+b1lDPa8PJ669VgWtxVTkjPd3ZDklM7jhe3JOgPO3xTneoJXAt35gd
GA7klnn3YPfxkAWThunRD4k5y4O5GdqvlNrGFk8u31dQqMLezrHlya0bNvNXV0+0p6wlS2htQ+KZ
Vr05mt8YcdnvMirb8jzr1bbZEStWkoHUt+e21padb0xWi9Nf6M4PxxjDU6Sgtx8OW2WK8SwMCCrY
2L1+lZKkF7AA6rApwtTwm5HUJxPt5GZMSSb6+LN5XZZfhgOXwt5C1ZqmG9uV15eaFJfWv47gNWs0
5dB3PJ6wb+YN8GPlSq3d6qBQw/328UXfuT92QcyQS1QEIJKjT9Wgh08kvJg2dqao6ySS7D1VM9R2
jqwBD3z+YrQWYYfAsEP6dry8RKKMEWKPm6kYJUb3YTzjOSyVjfRUHPA796XDRiCbkRMOE/PRexNk
ythRE02bSfHibVoX2b09jMUOl7hxQlm1/FUvF03eGxwwLsIKQPXcOpos1TDqDdiF4waR/YBINvf2
Na7IXVIW+jn17vEHDTeJNXpKlRPT2jufjPGsXuTFu8t+9fUnk/Z17rhFOSKjBy66MkAR5EHrdtpV
7nTOY0co4vc4ihL90y+SMbGsRtw4T/hYNN+4XqtXslc3RA7pa2gTXwkiM1ZFdtIYdLwjoVcA0B1l
AUIKmwSNozu0oTdmdujNG10iT+6sEDDYlJ1Qub79WLgIN8IKsZzhj/e27HbtzpsqdVMldew3rd3t
PBnLIFKl88kd1vP9vLjU0VahEnZNNEmhbuoeCST+/noL29c+8V28e0Podm2N14RVbPn/L/ZxbPIK
V6Vwtpnx6vuGBX8wx46OgdiuTjy7d14QrBywbRyiwFS5RzckaoLLtSZRyYe0jHUpSbuszcZafTxz
HO/QeWzoyFAVslFY8KdHw9lrlU4VTJwbPU2hz/X2YECjgCXwk8avWBsTK92JS77zDNHSeBhaYDZx
1eNh3be2WjS2unGFfhspSXdw8vhBd0T7+ZfFGRAQnLN84881pFcvq5hElJUIumy4kDf9FMl9T9N8
i8P5lBAVFfqbycogkht3J6BnB5bu0XgKbV1xplrRWcC6OgRIKXNn3ReKdzPXeqfsOWPIcBVnUs/W
RsPGbD22LUI+XWs8SD2Z1q1JXc2vS5qsgu6EQStpMfUFrjNT6cQWIajDFImbr2NQ4YoPLk3PV0aY
j8nWMyf823BHJi3gZGA9NWZjXg+yMhXOWXma+FFbzj9HSxTtqp8ytTyvZZI0QRvN4z1FJig/2Zgj
MYK/iA8EpUGVBYlsFupD3ZocgLOkRUFaC5gEmj70dy0FJPuiZ9tFn2AA2rsNUdo0AcUnb1gLoTeb
WaHkSm5XGj0ZoxjrHcl1Jk5wpOiQmaK4XpEUBoS/MvL4siTfFvgUVMsnVD/WhduodEl0rXrKCT6f
NlSC6h+YVFV87HA1BzRwkWpS+IpHJRDCSB7Somu8TQjPRgtQT9qPFI4zBXySDG8sK686fwxbh9zi
sZTbsCi9MSDaIv5pWGjx1rMmsnCnCjHRlHQsWC40/Ia7FN/6d2F2GFJdNadZQXiqNLugIJGrWGuA
GZytpw4kL8eD2aUIjxvFoNbgZuPtVBQAGnqA43j4ObTGX7PZpovICU0fz/Qiywn402h0X1nNFGcH
2fRx5gPLarWVHrXJD5wIg+nTglvyAK3emNflFA7plvRxVafQF9v2JUz9ZAx6kAT1Y1QAZF43pXR+
D5FhZL86JayozhXukGzLpCPE3hBnls5fmrrN5K4NSzRXpaPat4NIkvsU7cKTYOm5zWhjPdHdAKpa
t6MKrXZQH1scKwhQCOG6TYsyOXjInq/po82qT1tS9nsDVJBYI1/mxYTTki88K05GQCOJweq6rGft
IrLUEn7FjHGOfooXKesSqqhLmEgYPahTWNsBaCOaXXUXZWQTDr38IufWyf2ZEv0Pu4UgEIgoGTcE
wvYDiBY7kzs3MuV9qqThjUQfO+7dmoYwLRRBFuEOfEU97HnCiU6WalLEZoA9dygPTZuiOpnZUJ25
U5c4V3OdJQNMJAMRz2Nd0h9l3OSz+wM9DElrHvsQHsWgxB6NhZaw1cpuyjSI4Eo4a7yPwlrXxTjI
YBKDedOGNcETfuso5sEzSxJ1VMVq90mO0DtQPMbyj6nrPWKVNNqCa7UJEXA3gykG4hk0HfgpjecI
OIlQflZImKprN6qsgZhFdB4rqHCld6GmWh7vu6xxNuxJGuxdWRI/pHohlaCFPmQENUDoR8+Oh/Z+
oZGZJybzIyLvsrlmG4FVjWI1dT/3eJNmGkOazbM+AX7O7bWS5Pk96UbTeU0D/Aq2mXc58YzMNZWs
cVOFUXWVK4axTujKk9BLeXb38YL2zrJJuR5XwELnRKZyNA8X0lWqorLmjVQY4EhJ7jsyCIOPL/LO
qvnqIssv8WIbkLJzTQx3ZvME54SMzarRKBGOgSKn+cZo8T58fL1nrvHrrTCyU9wk1CdYsBGzv75g
Keq5aR193rSGQA+B45uGe2UlyHhDq6fNLYyKcE7ITtGtUZSWG0y5pB9rgN120EzENVQmp8mvCfXK
DtkyG/utmSm/NZlph7nhbBE0jdu0Z5PZ1vfPv/2niuT/rTf6lZ/6Q6/1/8BSOrJgAgHYwPz3vanL
qu3if13L/JH6ePKypv6fH/6nG6U7f1GzYe/AmscWYnG2/9ON0o2/UOOzGSSDg8G2lD3+6UZZ8C8Z
ePhBiGUwn3cd//SiVFzY1EjYZy3/5oTNPuvZr46d/J+yNE50nv5//fllmfpP8fDFJ8iuZhHpw60C
F6m7fGGvP0ElXGB2WmOc5RNhACMy0l96iw0C9USU3fZsjTdJFM33wu50oo2zynCCrNPsfWjSAkIE
aueTX44mPzaFCsqkVtdYC/PM+NLXAwufR0s9XyeT7GpmrSa/mCjx/+RAb3xJemsg7N3Shnybk313
l8nBvpRJmN+rY0sUZlWFbbjBJqiBW0Np6mtymr7kkyQBFYu0uBGeVn5pinn4qWAndX3+7NW7Ouxj
6Vf92HYLgqiZfWztVbuCpWzu2khN3aDG+fnNypr5l1E5er2jdJ197UPQyVsjD0W3slDT51ciQT4S
kJ1eWes8j23cGYnSBfgFyJ+d2kLIAIMDqEUlz22Nxj02OEGkPWshJa/bcSDt008aq7oi+m/YaFUN
y0lDU9/6bKLGdjUKN4KTZimzE3hAn26Y2NurJBcYQRq9rZ6m1kzNnVsX9qUj2NJwOoEX4+t3PNoB
3QdbnNxUeghhsX4hbHdMgtnOAbylYGQI2LZYEOOcn5CkdgdlmacHQoPFkxSKcZEkSlZulJmYETJx
nVwEZkHGrd+LLlJ9BXoVyDLgPISEw0M8s5vYA1DpqT9YY+efQHJm2u3xqMmtmQ7Kd3cYmmQP2Ef8
cqZMU/0JlcddaU/gGiW7sXjT1ouAKwyHaDNOsX1O1C7b1VSfq/hiVry6g2g3NxoG98rofJv0kTJo
B/RfK08XAymJLk5pHOj5TSUd927BZDqbOEu1b+2MktLnB+p0ZRdVk/hYrBE15cUUX3EQ6x/VyvEe
5nZMxdqLtJnwypzI5YA1uX9y8zYuA43CROIr8ZR4/pC06qVSZOZNnC+5WTFR8mqQ2YMannU1qbx+
VjraVT/MxaM1ifLOpJKzzuoZzFAl6zoMcG1Mg991HixEB6UqfVUsZQGDWjun+m15QSUUjgNqT6Rv
MDgqxUjqV4PjA+Bx9gykKlxZcTdGq1nWm55Beu/NTnhmGhPpVlGl1w+j1Wuf03pDzuH0RkGW6hYl
WdwJ+usZIexqmbOUqPtJU6ZNJOcqGIxe39eGGZ6oixydrv5cCsq+rlLLU+nKv77USM+n8BJ3hjjo
1n7WKzetOXzVwT/5XWw96O2pbLSjFf75gjjRMbLQseFkt/z/Fyu8npAC6aDZ2+eFPaIaQbY4jbHj
g2j7TrHt+sWS8M9s+3J2Pdq0LFeDIqHrpH8wmTvHfau2sWqboOVxL520WpmtEhIW3zXrj69yVE/j
Khzkl56KizgZyfrRQ1QWxFNNWs2eU3H1y6o0OLVETW7HhiifsBHGXU4RYNOBV9x8fGVWxJeVvOcr
azQ8SD/RKPUeFw07I8SV56TDHoxWw1Q2i5XeCLHi15k2buFUV2JESSBsI/liJbF54us5qjg8Xx41
4BJ2ic/hGTvy8mW2+VjPxjD0+6wr1XVIplSQRKGKkGrWTuzU3n6oVHZpPFq4drBpvpFJowfVdVl2
+yKX5ponmW/yui63yBsAA2algQ16zE483iNmxDISn8UqKiNxyc86NpaQHqDGSa/J/WjANPcVxa6Q
IOlV9SOsXDKTC8ABP0Eoyu+dGvfKUm8YbtC3IKuMzaFIb7TURC6izSGu0Kk34tnPhE7BoXRQNm7M
MsPiX4228C09W7SvFii3rva+N9EAw9DojEn62PmuJZTYXVbb8kuB1DZnkhbEf09pl101EZmNH39W
bwcp87HBVslbKjzmMVlrME1osTAr9iKcyjNK4EClekmaTOpWG0/m7YkB9N71sGHQv8OEy0x0VJKz
+ipJhS7lPoE5FEgwBOdDMcSrKFpIiJM8FVz49rtdxOlUlRgytBGOudnwGTE1Wl2/d0f3iualfeG5
nX475am7/fhJvp2AqIjQUIODQWYIk8Pr6Y7AjYr9hS32vfTCIMlt5OM2ZY6Pr3J8jFm+0wWsxctC
GQDL5ugyOopZo6bBs6cF524EC30ACUxFMOqO69lR+rO+sL+NVGi2ZKp0rJL2hH2+A1GaFUir2+63
hInqJ30/+XES3c5adNvkCgTVRjkV9fl20qIIT6GSBBQMFm8sVEVozSMnPbE3wpZE4BhMZtuBwFbt
xqEZWP5q9W48c4rYDYY+TE9MJO+8+wWERKeFp8Xe++hRJXaR0pmavH3ez9leT0ec9QQHb+0O8vzH
r+Xty19OlKgTcClwtePDpT4XnejDwt3Di9SoeAiCc6I63Hx8lbeP01wSnZmGqScxSR2tPnzkYLOZ
l/axI6NN4wn3jH57tUvHLNwI0We35mh4e68okg2atuzEF/528TM5BpFOtBhUiWw8uvxcwErULAzw
zTxZF0SEnAM4j87ocM0bNjdUK3tN+4Ls59SLXF7Uy3OTjkuCK2KKgzAIg21ZMV7uJMKO3ficunvT
ye/iZoRlPadZMBsch0SkntopvfMyWV+Jc6XvT+7Bc73mxeXs0W4BdRvOXkkyYy0jOewFq+KJmdB4
7654nZxFyeFbdqyv76qs60bKWdH3ujF4MyVplRWBAsVCiyc7O1B7QwVlCi57DCx4mR7c19+s79Rm
I0ub7o1MDN0ZKyV9bCy/xY1r9uUUYMFwr2Y5ROmqbsbwOozhsQez2egOOqa8e8R/D3yVyk82+2id
HZQNrQx/DEmDEn1yR6nsLK90zmytu8gjFrUgykdhbCJOC9k61BRb9eeMcAVk67YLW4gz3ClEnfZ2
7BJzig0Hv9QiLz22liLOgT5WkmM7jLULD3+AOY0C6G/KlAg+OMQa1xhlQLAAVqLdIrthYHJThNX4
iYZ9egv8u98j31ZNKPdpeBbZClT/j8fj2wEBbI0axKI6Y447jjAYQvjclhXp+1wjyI3YozByd/Uc
TekqKt3phzs6DuQIytdyNcwjmUgfX//NQ+K6LAFMCewM6fQe6d4Udk8xypF03875uEUokWyqXEJT
leqpUMHnne2rMbjcI/5mGo5LT+245TSZIdnUpZntqfN692adepeAZ5udK8v0twTHvQGulq6B/evn
jaL+iInbWOWQ3Xapls3XYRV+jsvIjg0uBscm3B8LquaNnxNtJHWEecj2uVsnO00tWezyurrRcutE
F/3NhLBcCdsx2D2avagsX49UCNSdMsZJvqffPDH4YOSmiTuc+JreeZsQu/gHtxh0y+Oya90mFgLF
MNmjmHFWdlrrF5Xez4EB5upTXs4/j46jIH15ndoXgc6vb0hAUzdAy6V7+qbzSmGaCPAnnNJQvffN
YPcHMGlCB1OZ444uU7ZxpWLE2QNYgJKSa1ST4TFfuEIh+HMMHTIyRHae1129zT2r2rRTZAf/h73z
WJIcubbtrzx7c9Cg4ZgCIZGyMkvmBJYlGlo5NL7+LSTJx4qIYob17A6ucUB2N7sQABzuR+yzNjMG
2c41IrAUFPuuvMqLI5RXSUjCKrbQz1IIPP1JpRjy0qXzAs9Gig9dtpjbPG2sfZZ18aabbThh+DHu
VTVpt0IB2//+F3tGVvrnk19jIRYUOCP++vT6UHIbunRjEmjz0MJYdhg67aNqT+dfHpgA0bd0FQe0
WEP6LI0i3ujOaG9Tu1iurLb12Z99zwSPq4aOVpKOS/rpD1GtYTa1zEyDQleKXUiX3C+J26/c78UZ
Ry7On73y+IiLGac/vQqj5dVimUkWtI2NrMxeQt8omBTSqrHjKDGvxWGXadx6QcT+JkpEAqTz24pj
2sPoArMgFjA9VE3Wftlu0+6mrLpib0UdJPt6/It5vHbXlYUNk8/UwNwk4uDaQ46ZgAx94rfkLp0r
dzca9l/ZaPZ3I8yvIM0oReXgozbs7sntbBe11/TTcNCqLMeK0503kUjzfds33zHOhklfJn/PAvNt
AfEgiRZAJa1zsesC/y04caKY2qIy1oHWp+F2WZjQGSciLtFq8U6ruzK4smLXFXm6UBBhEfaxVsg9
CMNOL1jNQ912Td0EuBYbDzgjU1cLk7pBJQ3yMqJpU0U36CjBpY+xQ5CR9Clooikf40eK2f2wj4wa
DfX7P+tys0Q2yxQ/KZvOoXRODBhq3epFuDSBMVgLVI/4p0o85eM1cG0Xu9wxuBLPmp1ypSmeF14i
2v6aKLsmGFo3vENr9dOssRpcSktuUJWvk/3C2GST5R4sZ0mu7NR/uE+kTERBjI1rjNecve54wJDS
SroqcLRl2tOvbX0M3RqKl9c7ZBfhzEqcMpELw/9E7ndeAgkzJgS10K4CFB7uZoQJiiQ1Hp4GF+VW
wiBDUHVT9wBMEUuZcpQ7paHn1VaNcrA1hE+LlVA6zSz3PgFLsB/N2HxgQLe/4cayH++//4si0fpb
ESQSgIFXoGB0uiohITB6xthfYBsxtX5scW5tPAseHai1j0wua4+aXQ1XLnpGu1w/vpXMvCqK6DKh
0jv7FiK2iKwM2zTQ0qo9uDodlalODThV0a9ISJWIe9A2y9h+McnQB52/mA0aLoqSl3eRLnGe1535
E7YWyUbHA2ajkopvm7nCAcaseL/oVV/1tjb2iVt2T6WmLR5cHtT3jKbfNeHYILQftUPZ0x5OY1QS
1iK6fVmBh2WgqYSDbeTbsCBjwV4DO5XcNG9jHUsQd2jrPWOg18A+l8cIxY5Vjr/qGWFdneWEs92W
xjgI5VhOQ+KnEXN7HPrXAPB/uAqxChVXF+UDn+LZVZircjvUM+ERQl/8aLfT5xxv2uf3l9SfLkJm
i3meg3iQsvzpksr0pbMaKw+PrNl8V8555xtZUl5Joi8/aBqecBlMpP8qELSzXDYzMifWzTKi4o+y
ZpkwMK0Kxs9iiznWtxv6W03jd9vBJ43j/9pe/h/YNH6bpaKx8NsLvqBvb1/xTbzv29f/8xERdvQq
X3/vHP/nT/h369j6B9IL6voc3/zD32jcq6kiB8B64DJ58BaX/2eQkaVC+3SV1q6uu2s17t+DjJrG
QBaJK0kTmdMabP+d5vHp3gy7mlIplQiCNaa/6BedLU74uYRrWikDk3QrlXP9pBV89GrYpIcQNtte
iczRR5ctrnwVpxHc24XprDA6gqUoy/V8yxtVI8pBvCK6wVPpaFojnopV1e4mfdKJliLV/+0lPf4z
sPi9j/OHG11L8asbNF0WtvbTr7BWpsUpzZqpGBs/ky6W5W6ZZm4Sv+FN32njLiUf8mfTSK98macH
/Xqna3sF9QClHw7Ac/MCq4yF0SbTGMzqYCH7CC0/chYDY5m89BPdnfZAt2pPxV79ts/Sa67zZyWP
t+sTzKDV1umxEMSe3XmYTcuCAHAJqkVXduiMhhsyowq8bex6at7ZG0NtjIPtSPshzuJ8iz7d3Vuz
863qw2ZvShlhcaM3d3Mk9CtR4OVbIfYgbeI//FAmVU7fiiKw5xNiwIoFG82dqONsm09lvjeNhVAo
VNFxVTCj5Dqu/nfXAxV1HgcsTIhfpnlW49BbvTNnddGDsqiTFxCF+Ka1rTisjqU7RpqGQOMYPvRw
7Q7vX/ly5XOqoRxQmZThwD/fqeNGG3pE2UZA46s/9nP6o9LC+BAPtrkdHbyX37/c5SNeezCIwCgg
U2s4V7+aDZRyBgvtwFAgRkDMi0BbO8ZuKep+a/fQkBZChm0xxd2VK1/eKD1NciWSdE5ZRrNPX26F
rI9iimIHI9kLLfk6AwGm72pdf3LDqb3ygb8d1v9JKNZ1zmAhUBhKVqQx5Ianl+utMdYUPbGpWlmj
7VUlUkVFmwbaZuGi4FLVCgIIB+UkvIeu1V7CdBaPkFdb1bfBGw1IJhoj9SsV4hU6Ryxe8qxBfgCC
xD06MfVPYuTFOhYSQsgmKvDQ28WFrh/iSa0YfDL6a2QnfHB/T5Le7mkd36I0z+1xrJ+d6pE2oUJe
RBOkIbSZCKpx7RV6Ur0awKhDL3MW9QjmPLKxLpLVz8HIsmzTDKmzj0IkEbrdwZEWPX3AZGq+W908
ul6OaeON3g3xX6Gi9F/ccQw/GYpi3DtaLjwlsZYHV11anD571X1CIRSl/jQUy51I7PzVzE3ts9Mz
kOClg9p+KfKCxu08puSsNQ908RozwYgzrfsl0OsFpwPK4dpnFEPptWruaWT19nSo2xMvm+C1iOPW
FPO3nBUI6bqpuE0gEePe0VXXdpgZOn/7e6WOvp7eBFb0Dc9TAiUFkAEytwnaKP4qEqXCMD3+mZKe
7BLq41f2pfWNnq7i9WprDs5cJXrCdUX8dk+FYlrtbKRN0BupvUn1FFlQJBWvs6voFpk7LdvMvFZw
vnyQjBzRNqU4T5IGiO3solGnWHocy6DGQW0rChsRgL5c23L/eJU12lkZ7ox0rv/8t1tzlWSJMm1q
gmWqHA9zW30zhOa1RXH5yXAvfCn0+VfVhjjb2JVwxJGpTQgszGW+BfU9o0sz603cdhA/RkdDqNkg
GXIj+8p+96f7Q4BHY1LX1rruWU4dWsYkRZHJANco7B4wFN7WDO1d2ecud1XG5IgYySRsjo9zG4Zu
xqVqHrr1XSXpVmHnQGlNrqoW+lejS69h0v54ufUxsiYZ139LXX97aZZonYWGpyR66G1EKfqAZEGN
dyXwJEZXq/DK7f3p9QEtIPSl5MEnd/ZNo1eAapCMvL7Vu7EY4i8CA9VlBMykLirQKFzIACdpT++f
kqfp07qVYE+yErH5+ChVnHPnOmBBJYMiMoDhAS92ECqhkZL4HF3XFuifLrVei4h/PbHOk06lX4Z2
kHoTWApOdHl6bHDb3Dio0zfv39OfXh3aJU59evo0V88epe3GCoX/QgbaYt45zYCNBo66AH5wtVya
MLuyc+nrl3W+dbE/YsCyAkap25x+30WXMnqrcj2mEDVvVifroCVd/hAJpz8orqrsTKZENjkzBx8X
drYH02nBINUo8Wttnlf+PTiwZa4+xC4V8jDqih12Y1h2GCX2iU2Gi2cYKVe297dSwvnPZp6dOS64
GQ4h4enPRnCt53Cm20COufVaYaeKStNVv7lISwGTZaoLtcwhjEcyk4F2cyyq+57VTCL3mgbnQcwt
teiLJCr4FLfj/CoWJIYeMDhpeVrbo+dOkqHuPfIsBGvA+dheE92SkadmxvDk4Nz8odWWcfIwz3KQ
TE7W8gFVVsoMRYobUCcROYTMjWMapBQGr1PvHvtKd688iT/tX2iJ0YG9+SKcz6ajuA071craoKG7
7It47LddgRz4/VX5FoedPW/aXfRIeOYMqJ8DFxIq6E6FLWMwh3pHqXMUR5vT1NNq6LeW0WylVHBQ
xFPUM9K4OkTAxvy27q5pJC/zsjW/hmtCYZJx/HMdIdhyukRY1wURNkh0jPBwb8vBDpqsC/CmusvK
3L6f9TnbaGkYXhkhvLj4WgugQwaHk2eB9cPpomuY54kmejUBk0XtPq264akrakyem3ydOVPsg92a
ym1NCP3JHhzj+dpLWFf1yVvgumtKunZ5XaqyZz+AVDu0GwZYgzV9/Rg1dohnjEPnnYElkgRPi1XY
dEk23S9MMQ1+1k7yw8IEmrsds2G4UfWyTjZaT5MeD4PS7jE1mnXhJ/FsONvYdVJxzAB7QUTKnaFd
AX+92IoyHf5CuznijJaOAAkyinJ7shNaJA5WJJ/mToB3aU23ezFXL5JDaK92pwMC78WbqwZ2uTro
bcfATj4FajeW4ACEBVVOzRHSMnrnhMtmqZJFenHWWC6j65E1+fiV0/eMHKm53qDi0n2AahkT7oZ6
Fm7qhfFACPVYk26GNp/CbTgMGJPFPeRGv2qsEQ9ZiAU+crkYuEErFWhzS+6EvmuF3WtJxTpitMia
C8iXiZthkG7Nm6o2nK9dt3TpzsZQG0jfKESxAwjPL8Kbok28NMxMVHvlHNWHxnVHd98uGk5ZZmYP
8sPN2E2ze6SACDWu1VrxVBpVwWjdqHSfHDHKr9FaePQnAYhyC0APz2e3TuubUXbOT3al8sWK5opJ
u8aecQalC3+r90NzOwkn/xEr8Pe2WdygKUwJatoNqPaMBAGWYEhvMHfuuw6eCFS+DDWmkZjpdyGF
+GjhLi22mMRgMirb8GVx0fZ5Q5TPlWc5VVJ6CkMCH0SMM/ckVpLGUlcNu1mM/gXNScmSf389X5yp
KPHA2TgElrSu/jkh8VuUAl7eKbHd0IIG9efWdTvMPBPGumBruFf2r4sAfb0U+i91DS+R/p0dFwgn
hB3RlwqMyo38dLS0Y4NAZFNOpfKT7T/aErnnV9o1l5smVTpCBo4nRnNJeNaz/rcbjKa5liUDDoGr
uPoBq5ziSAhh+vQVld2IHdlxcUO5yzBjwt2givf1kAlfiPLa7PPlKc/xwEMmT2BQb+3An/4SxeyU
HMd2IwD1peG8XlS2l8tx2RT5WO3J8oxdkbBacbmHCMbkiRom93xs1Z1Q4/nZ0uebpXOK7Yw9Hnju
9BHbzWjfW9b4yChGu1syec036nJ14LJJkgkEBQ0l/+P0JzNe2dsN/a4gSyJ1w0QuzQR1iD3mQr6/
vw4RkF3sq6sRr0oNnlCI2u36z397USKeMMDO5RKQgijxq2HEzkNSpH2+zVlLH0SV9N+rMR6+oKNz
dHJjdTTYeBXchuOfuvraal3TPsumdr5MziA/yprvcJvjzleUGHxH9lAKr1zM+cassh9RZSyf82KF
ThZRk3ndgOk2mxpNDQKNlni50GcpD3ZmYcnFzPCkbM2GoWBwoH3oKd08zdvaddvFWwVgg5+gcvpk
MazM3Fo4dKYnUlehOBmq4UdDzaSzmSK7tjwsHDt7r6VGsUCBY1/eVIxrPszGwmgNkNEiCCfd/FlO
DWq+qE5ozUc0fDaLNmL9XlRJhdNN3a/TM3O9cn+5sV1KH6jxmNXs7jo7H8FpmsPyoLVImmszqidP
TOBtdyC3OZRb3mC50xhkftGqHKvNvJ+Mb+zb4Psjy/48QvrsvMFR4zSYJhvEnVpUxodeaO4Nnu1i
C2fXYugHfW9OG6uk4gwPGiBtPeSJ41uwhdcCC3UHWH3gW3em1LCPCQdLCYhewsVP+a/IExltN0yD
4+kFNSzHiBDMnEKAKTMQy/BQP8eGYPDTDcd9GmrWfmiUltMyd5SKuNJOPnYzxu+bhcHz29AdRnW/
JNjbA4zqVYC2mf5Q5tH4HJt58isWaWZ5ViziYmMnBTZd9eTE46abqvk1GlvxWEgT+1jVKOuPnUmz
fJ1Rhqgcu9NzLQSvMnTjYY/dY+YyHTstzMjWepZs5rCrlK0OeKLz+y6J76O4HB9DLfYwbnxMOrM8
aE5ya9RD8rnAOAVByzhx0KXL5GCcrdfyL7Vz6Q0OTcnK6JKkXMEgUI3QLiNU15AEdnsMq6Ob2slx
8w5pgtG2TJJqt+CKedeNi7zvik4VO22IKs6TdMnupVwq1UudgpGjWuU7IhRgTHc72KB5fFlVKAB6
sxp/hZS5GE1m7ORxMkoj25jxgiVNWTYwJ7KxPLpRXtxpLGQFHS1pHX9zMjSvMNIEhV8/xx8TfMe+
LuuMqu/IwX2NHfyWN001dD+7LHutADW8NOOiLHd5Vef3tWnGT6Q7THkNYdN/YLbmxzxOUE/SxB1u
qX4Kf6C12ax04Gz2Rmug2MGEkP1km5P+IeH/8EOk0YPLuiGtQN7AVPas1jre8Uv2rTGUbyEMgYca
NpzPLEy2D2cje2gYvWeEDHMcQhmdg3Y3S9gvKLXHocKbnOljrx+zlrO4GcIXDYzOt07ths+aKNLR
K9VeepVgEs7DDqLmRUy2+sUew76DCBs1Twm+PvaWWSyn2QAvcmdPIg3Yp9TmGVPIqp2Vuf3tDF83
3onOsHP0uQkOjDGW7oNXcnLwhEvDxfIKVanua8RYT4SGJsX8yFS+uyU0A6qSjhi8lffwzVRKN/e1
slwe4QZgaw37t2RbKkTxUg9D/Ik+TXZN5fd2Tp8GwOT65G2rtwr11fNCG3ACAUZWyW7UPhxMBuWG
5oci1OzJwCttp2rTI3UY5QUvT/0xjqgquwvSAxE9ZxYteRjAnfEYq80vstTqcVTQwDN0pQRFGaON
xRNi8FdBFuEqAsfb2ezNb2GSumCjsE5B4aHWQekYylerl+VIoVlGs2ej+XmJh7wOPWJGkLgdTizX
FJdrYH9+3wTV8F0wUUQPeBa/5An14rCM85tqKvqtikhvn6Ej2F45CNcz9ewyhEkQ23DVBmNyLnam
WmQukdIUN2rarOtNztuhFhrUeH1rK+EvJ831XWHU/bGB3XAkVAf4OKr5wR1C+alymOrLqjHcrBx7
b54EMaxSfSJMz+8zQyS3ST83W0Jr5coPvzy/qbdTmqHPw0wbdd/T89uuO7Ue9TK7oSLubBms0b8C
76OPrqvKjW6yGc29CXVeg5txJcj7w6WZSkKqSY2UaTNrDWN+Cx04joxknNvsxoRIsunrQg+MdbRS
RmK8k7hkbJ2QID1FNuq9/7YuAyTQKDBxVzIhispzwTFVi7icxZjd1FDkj7w2cxumpsP3Ol0bNLm8
SXSBq836qmteaYinN+nms4iWOC5u6EjMB62O5oehderHHE3qtktNZZPlyfDdAiX36f2bvAzcebr0
+igr4ioElu30ypOozV7HtetG8LXtkzrSvtSm1hytqkyProIaphpq7co7fVPbn34HZByMDTLkBunM
OJ+toGGl10mn2gGJbSL90Oq0aK9z8WqLJbL53e7rb9XQNGag2DETr0uab8owr35Ukxx+DvBH0bwh
SfI6NTriD6TcEOuYP/KpcA+zg9gwcgYmZEVS/yrCyZC+aOL5+2TkGCEjJYt+lnk9XCleOAaP6uym
mLpB6coYHcSx89JJQ+ViYk8UwZDMzUZllOFjTelq9rtSQt5X3dkyCTTSBHbNQvHFz5R5ebJL+Dub
KsHZFwD3kOs+ObUM+CJKUoheukwV61r4PZ9mE4wHE8fAuZusOVhajsdc64zqvLHV2tA2vW7khYcl
iRWSrpZhsZ+zTj8WDLf8xbcVRV6YWOmXuCTu5ZCsa0a63dVZIqxnA0Q4ri/ePAyU4+oR0wig+l3x
JQGE8aWzcdQB11faHyc5tSjiShfvsBYdFVPZcw5txiLuInDU0/jFyaTikAS6cQeaqW1fuiIzXs1W
OttMq82vWKpStYtHJQE8Iyf1PkH38Zxn7mRvnDI2UWGHE6GNXY0zDhh6uEMUWDCpTOMMKEnsJNjO
4jAXDFVpH+TcziqxVtR/LdVlKnwd2AtmBn1M8FfU1UsmOeeu7A1vo3OnL5sRJ2QiqKQwMWU3P/1u
RAGPf8B1kKg3c2ABDG7W38eKPj+YhfVYg3jcay5pRDPY2qvDrf3QxTA+WiP9vjGO+LiMTEtCbE9V
BfBLX2pxIEQY/uobfV71EFm+masqCnehzC2N6Bb9/5WuwuWhh/Mdy3Xtq0GnPp9uIzChOGJ2bjBp
iul3CGu82DTnK4/qzdbq7FGtI7TIeXD8ITc+28Ent4jJCRQ3iMIov5f9kAZAceZ7YU4l33ffbkFJ
DpsxlNPWKivrIFoLUxUE5RjQmOK+lXX7TcKV9KwoDveUjcfjrI7XRgovi49r6AOtE2YJveXz6XBI
RfkkS2gjshmGTYHvQqc5GC1q3RFX8dXToi03lZrsrbr78v4mfPkiqCfiOwzLlQIoudXpYuoIJ9se
e+ibVk2piy80AsmYr8m1/3TI/H6VsyWbaWZrRDCebnqYPbsiYiXaxhRtI2VOPafqiGTX+oTsmHF+
//7evobTJYDn00rjQM+5th/PlkA8MlC72HN+Mxat/AvReGx4cgxDFNzNVLJVMBGZWNEIgIwRIMBF
eQjwPcrgUNWu+lljmug+1OzxCypVTFOAQWCb0Fh9hDODgl1wJiXwJVJn4wlXy/4lU2RYMTOtFTZi
4WJ2fOMn9iec22VCzdXTEtM8OEtufC04KT5Zdl2/dJEYXrFgdndw7OnuD6PDbmQ/1nrvPlpDx/6z
9OvEXSF/RWVGtkHS0MweLbu0vi/JCWr6+y5CeL4rRQK0wb/Xm5AMFf4UpzZBcBjxR+bLJDagmbqH
chD0XCPVrV61LuO+Ggp2mIcmZZb4JFM6P8LWS3MXAasKPWyH+k/1UinLPh9z8yXqqumWXjvYnPdf
10Xgs8q8Kf9jRk00j4nE6XLM5AS6NczDQGcKbaeHc3W0F6lvS7dSrlzqIvxYLwURBWQmYm8ISKeX
UhDZLbCwwmCaR2MzuGO2xc0RX6V2HVjGfnEnGbS/su9dfAhclCFAypQ09Wl1nH1uETSveXKSMGhy
oMZGbRffsSmg+Kykya43I7HRZkX7YQ9GfXj/yb4F+Ccfwnppm2MDSc469nj2DepaW8xTxv0Ocbjs
4XsbWyyBzJ3d43hKABzfVGPq3JVtX5NmmpY/g9y40zjRmAKcsysP4k9Pn9F/onqiT5qvZ715UYfQ
txmlDQixGWqmaLKri6raSFE3NB5JvlLb/vj+I/jDNRHjQvB8Az3bb4Oav8XzRR9auhxtAINycrcq
H/k+z+ynxh6bADlPu5Na9vX9S/5hPaMMpadmvs0jnbdgWQGRg7+rEiSxMm0LO9EP01BnO/gz396/
0qU0CfgaEpV1gANJB9qy0/XsiqRUIyWLbqxey3Eag5z40OeRcTcbNa1NBixchuNjLQCva5Y7kS9u
v1VYAXcmRr+hN0gVlwk68xoQBNgMg1fVSqlvCY6seNdqY0YdyErAw401iq0lBQjo9bVl3co+yfeE
0dSgWiwQSzTuaAm2dBIbST3PjqP9MMX5V10bAzVuHNJrTCgzekNV9AshO40YB1+i20iJWXs1yXpP
1Nw3tCAr0z2+/5wuK/frc2LdrW1xFsK57Sb94agyHZ6TDannUDRW90z7P99Qpi4OSd9jBUwbfBPj
8HXXqG0Fhy9sfzil8S8fmv/KiXoTep59kShHGJkCYEuu55yltm7Yl25MHxtPNEUewcHJ/dymKAJk
5YT3Vl2VnwunPZp9r2zDhKFfz1WjRuyTouQjaZWYWNOADndrKJ1b+3lTVqk3QxnSNxqQpOVAut+y
4S/N/DVF7Vd51VTbOLYZLo4jZgnFZ6tMZn0/8jbEmiUgIoMRVC6MXFtK4ydu3lH4JC7/DJRPe+qd
MSPsDOcl2um1Mn7Ue5RntJykA3bVmUtcuWxr/FLGMcPFXQaAkalYOEA+aW4rvCRDFrtl0FXz15yU
wMtMURywQYQ/pSMh+yyF0TUMODsaVfTGeQaiNLu+m4r5+f1lcLEXvO09gk+FMXPYd2dfC4l7Rs9I
jW74MEGDCh4lYFBtExbpdMwEQhCt6pz9+xcl7uQjPHnlaJ05dfhQ12bvRTdCG6gtL9FU3MyamEGY
W0k7+aWyWA5wpKK+aQxj+k7qqgjaEyPIOkrPhn6wU6MfIDzOqBEmNx9rQou0/6h3FtZTCiSooocN
5dlqytwqmGbV8TtnUcq7nP1Q8cAcleamUAzxIzLBVTG01XbTlrOxyDzTLbqPHaRGEhezsovtNObD
q6PY7QuOFMLcqdNE6T82ksXcJGPkWgergt7nj0jU203HdFayxaU4znaASjUMrmhZlD7V8DHZVKPa
3teomwN9aL9FaDMYmP4LX3vhpRHM9mWKKGskLDT0JPJDEo0bYFm6P5dd54vEemyqMAzmRWXXIipF
3bF4E3ZlW9Rw2rPaWndWt3zKprVFU2tH25bm1oafrIXRto2Lp0XKxhu7qD+MOPUFNCVZ1QNtdQ9B
pfYFMWqFnZjyfel0qEWJhQkX3dbOi3vVyv1QxQCrNccBQJgKvU35ssCUNbP22SppraZz9qSNovqm
Q42tZGYL2sza17GLRe7nsD4RTDQIEi35rIRISrCw0z03N6ugwt7rHt7ZdHCt3DyGHeNeVsl0rh2n
j1PlIiGb0zXzmp9sYJt9UWa+yIYPFlTopbwptPFYlvZLagEss8RU0N+1drXoaypzzOShZvhgpwvp
ewLxazLmL9lbcddMSx9y3D2x3paOUuepIjz2UelXo/JXPNGGM+0er8RQu1tM9TiP9iES1LrnMFF8
szH2Y2yM/qiSbbsk5crCJLZuFLTxtR4uGaRZS2sfyqbcqqnzCaBWtLcl6P2NNbWKxcBvKn8JxNU7
Rsa0BHWHFI+Scoj0JZCuAi/g3Do0faneFbCjbSrha7kNT7sKo8ahOiZdYuzNZngEBfBl0jI8DVPd
a8RSeAleTvu6nr8zcwA3dDUCjOscNI+IaZlZlJdqjO/7WfnLog92hNEmXiL2oNcpyw+UPv6ys2Y3
RO6XuTCWo1k34dOc0knV2+ZecaJ7Hao5YXDHvy538NdvRk06/lIgPJYoYTcjxmUd43OdzO8EB/Dz
AP5kUO0DBM/nUBRP1qLTLwsRtehIrX7QdgvCMdybo3hVssnZQqmoPd0JP68pq8c529Ck73sqNQ3d
waSFiyDx6PZgo926sf2MJ8pyLMgLk0r5iO/iJ9Qj91PeHCu4wda4AA8med2IOEY5nA9Re8im+R4r
Qhtoq7Ui5vA/kEaqAJJIDBxJNmWLlpD94WOuRhpKI+e2d4uncs5eSyvmjVfDXdMm+7imVZjbtF40
xe+MgZFZ6NH0bg3gB1OKFyjOmjsDBD07Aei+tJ2eBTkRF1oos/iUosaPA/nMiwFUqfEapU4/QAYE
351oOteJ6uxRq9e2A4+wBDCH2kgisvWUHHfYtDTnF3RIcbrN57qJqTn3FOyFXdpMi+RQ4jwzSvrC
AzpaIdqhQsQobxeuTpuKpvv8poo+zdDxlI2s178IO9Fe2Tcp7FcUwr/akHA/pBblzkpJrR8E7Pw9
l2YTFKPwGUKcU+ywtKN1VOUieiolPZmdbtbGHYF9d4exsbybcU0qvLi1qpr9Q1W6I6C85sUZa6vf
FEMpf3bjdcDsRXKBgksnC0U/ZdFJOOe2wJ1mZJEh8xsyP4sql2Fpj23RGqDmymKX4XkbhLT14dao
5b/0U/87g/Z/EZjzoNB3/Hdw6d1r3mf972Nn//9f+tfUmWFi6LXGzoyOrSXpf9NKrX/wxhgEoTXD
iMnqWvfvkTOdf4KkA3SWC/XCJXH5z8iZ+Mc6906dl7oGbSM++78zcrZKVU5iEqAaCLRJS2HercL6
08RBN6jNQMkG95O32pYYUKM/n3SbRhv1TRlZYvvbs3n855/8++TXRU7EvVB+x+0AeBaXPAt7I1Cb
cS2dIaCcK/fo8pa7hSN958598fD+pS5vDbYMZRsUCLQZaDWc3trY5yIflWwMNG3q6W4lTGskbudn
RrNsVfgeV25NrGHj6bNkOJDRYYZEGAXEVe30ghMw1oZymh500QoEh/c63OEFqNuHWO/zeGsXpsW5
MMay95TMVXdhK1f7WSfrObHy0rZ91y6z1i9r5EQe9QIz38V9k1hEJ4qy+LgDW6bvpJnpw6zHKTY0
+p0o55jarjslr5bWGS911E6voKrCFtHIW0k+kzSBXWlqD+448QeYvbr8yoniNE8wRfYcC5oV/GFu
XB+qYp4Tb7ZtGgIdE+uEamY2veRFN9qf2VlxQkOe0QT0hTAKnuDFA7xrlBWHCnlyOLh4CU8+6GoB
Cz1BGggELM55Fi6qrEgZikfNjK0fpCnuDc7ioU+9pLzp00rRfKoXuA4nmWjIO3WInLVrMS3TSmkH
ZTWWy6FfFzNgArX4MYcVYFKi2KolmixWfFIkYPJU3Wx+mMe4ALSXzxKdMBJA1nM4ItyRQ3irN0at
bGOlwGO2rAtJX6MBN4qEAtp+ObrlzjHa6JAig6iupADrijtbIOukGek5Ek/rcuaC04NQRxoBI1/T
Np2mlhkz2/qWzXq000yaKLPbax/bLDE+IqC0ryzQywSEpYm+la0FfBmzOGfSqzB3WiNbHCMomdR5
1Y1sqjdG7UaHpEbvHPEu8TUujP7RkJURtIYub+Iaus92Aoy9i0OORFoGzPD5upXNV+Hdlx8ss6B8
qmId7eGDXY+430o0jQXnPp1jM2CUyPT6JsuRmLMuXEFKTgEXfVvfyzvkEtPBsirtsyJneC7UWDZO
E21kZt22Y/40dDitKboSXnl8F+kbcDud9hqze2SpYKZPf57pGsUkOOqDirzZp58+HMEbzld6lJcl
ivUyTEDgfUaJAmrC6WWY0ppyvM7NII4w7PGmqRhDv45jSAGmNM0NIZJDTVfacl/YtINQp4bGeIBU
OXzXw837e+gffw0HA4fU2kVh3Zz+GjDKqTuP/BrIS/1XRa2pNi82Exq+nncTOYNRLf7U42PumUpu
ejkZNaQQprSWTdktLOkrP2h9yqff0DplhjptpX/znM4WCUgSk4lC0wxGLLlGT5Eu83Q4Qn6VVYqI
kTmHLPLRskePWuR2gZyN/Kspo0ZeeTLrjZ/9Dvo1cAeppvJFn68GV/R4PaBVCbBOFsc2AuVLSys9
pkwOX7nURWhngMUD26mDFKIsfv5dGNaUyMa2+C6SwYUUFT40ef1pXPTWMxHktErW/z/OzmPJUaXb
wk9EBN5MJSSVClVV++ruCdHmnMRD4uHp70dP7hFSFNH/uE0KSLNz7WX2wHobE/F2uoPCL31llOE6
j7qs1v+sxoWENSQGXJvJVjMipWka9l3cbHSvb18jj2aQXYgKFzboDeYPxWycwE0eBwd8YKwMcWpN
Ye2q0Z02XuMtG3QxhUda4sGzgdqx9pxtTD2XHv6yj1WrgT9JZVafh7Yc3L1R9DVGsLmWvK8rJ/+X
6NASXBJGOwRs4uOPRKZUNX3nFPXlpDlfMsfRfpKCLb7GUubvhzGFIze4WfKBQKX+EOmxGQyKeenV
DOvlJJbaR6eZcBJR5OwEKjHZUA9xWfxlZpWZPxhFYzbnUtrqSw8RFScP6bRgY4UaO75I9PhD3FXj
+3KIs5jklkYn7kIt2/dcrcDvSWVtUb+Uk8O2KAU4rqzys5s3Tu43QoM6L3t82r0Qme5BT2DGby3K
252beQKgRRSYhixtHcA8Jl4EYld4j3ikQK6zW9pWu6w1q68UsfnXVB0w41TS2MLOnoRki7i+5mdn
Jbjiz7ob+aqeVhDSZsMWSJUUDXZsX/Y/m64Qn9/eP+78Utrn6CyInYYtelMUekPryKEI4XvhlhqX
lvUiUhxLhdbOfj3KbOPI12+LQmjOFviuSv4mfgOr/Uoj0kXoJB09wsojwG9qnY7pEtsXD7fGr9RP
YIBhXLv6ybSyU2mkrbHTW09/7nQ1+ZZrvYchQj/+E5aj/JjqJdwFLOmHn4MetTSrM8wB4poMW7Ny
VBQUXd2f9RrcYGPx3HaQuCXgRIVOfwlewMj8ejsoc7xXZ8q0x0L02qe0zxwfiB8SmKVFD5NS4ocN
ZxU2OYE1aWpW+xob8mMlVPs78uRuA8i/2ZxMdv+FGGbSYGEprzandipjjkE9DgrdTPfa2HQnRerx
1se7fWocAeje0K3j8dDjrr4ezuYJVhCJDAgsEEfFRJG7j1ysvyjAe805VIOROztedwL9ErO1Z/KT
iBbWsz76KEHG/+H/l78L3P0DJDHhz6ow8+JYwld7bhvhYV6p20p0MjrCBoAqB2XazTgdUk2bc1QC
stXGQ5VloTzAkyI1qoq5jO50OdT6EWugUJBvzKTd5RQNS4RSmE4+be55POC7Xf8jw1D5DG+mczCO
1Hp0sHRW4o8ZJk5flVBltdlwiQHypFpKgo0jvLhBqLTnyht76mU5mQe4w+HBDVPvSxv3mGY7pAB0
2G3W6mPb9fx4pAZ4dVDNsKWqTewPSr+scw9c9+tgVuPnpDbqZN+6rqBzhHqm3U0ZyVG7tg670ZeW
Bl92QlfV78WkmOZO77uzMqp0us26LyGiJ/MLnv4Jxtu1HTlPiVmn35sSnsve7onq2tdzDs22rqI6
yFmLLxBDTWWvCrcQhx6+8z+zpZcDO6Te4eUUqRU9XqD4L6QtQTvJownCUO/C4N73WV/3xwoE7X2v
SHw9LTuuPiSVnX7S8tCO9hN5WJ/EZLs/gEV5kqHs2OC7LGbXJ18aPwdwHm5bXKJfo06bKJ2R4/gp
Rd+Tg9lBtxvnsjkUcxR/U8tChg9eamPd1GGy0SG1Mo30c5O4/ZdBC1PkX103lr6SN4iLS1ct9rqG
eSsRILOyD8sIALJBEfY01IYiDyXGUsqTIyTCoyY0ymzn0s9OHycHQIu7Wq6BKit6K6mtVXGRw+RC
25oKhhetJ74Ppo4KnPp+CY3HesDYp93gtjsU6DH2rKFT/xZ1h04iN4yq3HWjasy7ONfH7pTLRE0X
2wp84AolR9AwULuGrpc/TjkH55e4corw7NVtGR+5JqcuBX1Z9/jI6Q19p0nNx6MBeNzB7ezLFJRK
J33LmrLps9GUHpniMVpgn5IOCp5uh85PIRWhkqSrtu/KMsvaQ6xNxrhPMVF5MYTnfEJ7BUiJuLdP
d2nnysR3opKzNXNl/0nXCX16LGY1ej82+I/tyPXz4pOh1M0FiLSo9mZZV3StZFaT7uo14fJXICcc
ihEVFz7bsYH4OgZeV4wxKrlJx864PD0cvFRR49+ZVZvHMdfKzwbwYnGxe9fqH+xqIklsBIo5IddG
BMM9/atl1yUrPPaI5cjMqY4f0NyKM+5rBT2TyDKewb2nai/F7GIQYoU/pCfiD8PoON9w6g3PcW02
r28flDdFJxDiYlCCsZHmLDr66/0+ig2JsMyugmnii4cArY+t2vaHtO6sEwyWbGd0SnpwvcHeOGpu
9nYAMbqiULaWSg1TvOuRMyLSJgboA6GqXxOjVY5ikuPhbx/vj8qYGgD+Gbqp1QFiF6M+tMY4wIhu
tD2kCPcD4dbTqRDTN0eLMrFjwiKRjOcvbw98K9nChp8+PYfJYmMBkHf9eIUw9XBUhjGYTCV9nYYa
n/YIf8PdNLXMozqhEFFBg/ajjnsGtfev2XLjoA1j7cHQJNGDhZWeOwQMp3J2lIB+mnG2y0SeUthu
O21UHF+LNLHxwm6/yoIPghSS+sKtZ30JGZ0BDwDV42dLkQbGtFjSa+qWP86tPxJZZNzvuHXA3IPM
sPoumUzpmrvRHJi1Q2nTCHkAru+eE1JmjvVsVg8ObfqnZhTRoSdegE1Da86z4lQnJe60g4TTsLeM
ejpL4VYbM3MZ/OrOB6pHEaRxKYczh1359acjCzsN57LTA6Cb/JK7UQ8PNpLv0rIlSocL/QZP5vb2
TQgI+jWs5Agqw0ljtQjjRp/ySS+KoLeAXrCYVg4VtNKdHk2EVBdKdG4U96syV9FTkoXWIYks/WTU
VnV8e9LeAFcWPesFrcW9COXeWqag2XXtqUMnA0shUi/PiBmsJ+sjcAl7dFqgFkY11sjiPc/x6+2h
V/7CwObL2Mt2gEOmCoVvmZj/uYdadQIDf1JlANoLO6IN9WMPUvEYlRYZiK5T+4h7OnpFbXc0stLx
TcXwfMo24xhao4JSNss3XsdtWYgRHMA7EkZuyNzLl6L/P7/JGLgCoVJuAnpo6lPo2qWvzWUdxIU7
vweLUj/iS/yq0QH6VBK3eEx5fQ9tJI3Xxibt4+03dLtTQ5lDM+9w84JrtGaSxNwUSxLO2wDdkfOK
S1ILMVtMrkeHEga/2nfEUHnkSbmnrJD5VmjM7Q2HhhO4q2VgNIFgYQ0RVSnGz6asukBqfXXUkmHe
EwyPMtCxkGbMiUWOipKYTwoSogfFdatLw6nxMplV/OylaXIEJvaokAabW1gPbx1ho51i1+uGHxBC
R34oQRw9bk47ErXqw1AIb6PQd24WNi4jOBJhGQ3EAj/p+ntOrlPk8DmKwEz68tR35Eekg2fsZ1dM
T2iZ8cSDPLDx3ZZz7Ho3YZODAo6KmEwJToTrQbmpezQr0xK0LIkebJt7Q17k2YMy69pGK+TO89FC
5jhHs0zzSF3+/D/zNdYVY+D7lUGpysavJf2XzijMXWFJ1YcWBAujbJyNE+PuoA7NFxVq82Isfz2o
qkuIp1wsAnSbtV/QX73QT+qDfrajA2VQeMjrRtvAk/4EMa/eKnwMD5gb5tAyK69HTSN08J0eVwE+
YEFZqBeqLIzdzB4TFEO2Pq5b1OBW1uPNKtJznTgty1NDqpEP6hEfRPWVGwPFqJ3NB42406/5IBD1
SzM5Ikmc/EixU/S1WBcQs5KcBlprLyWWq4pa+sagvXZTiE4hjJKN6fJHx3H9ZBhEYOWCRA4MGonh
9ZMplkhsqedGMOeZHchkVk9ZZYd+XXG38dIyDJoiM85pKKrj1KvWsWsTFFxY2vv08ZWHsYympw64
/PcUh21Affrt7Y3odkLjHUnFqOMkgpnOunCz6sGB5NGagVM3OgSGtjwKa4yeSa5RNnbgm5OYabU0
9lRSCpDAr+/legxVu+8tK0jn/Hs5zK+kQbu7qKwdqChy4wi6ea5lMNzzsIzFJJu4kOsXn0AWx8uX
dy40Jq1Gn+KMtqh6MOYkenr7Fd5Wh3/GAnJApwS8sfantXqv7SZCfwP2UUgfVmgiUbYzv45D40Gn
9sd3I22PkSOGz47UJ6TCYJQjHYDjaOnjUc3wpDHtMrskDpmIqOudx0b3opdiiKF1q7F4sMd8K7vl
pjjkV6MeQ1qITzftm9X+Ugkz4i6fOYFpmNNDFlnWA36P+entl3OzocDWA203lq0MTEZfLYA66tpx
JAVtqT6JVKRFVXjVz1FXz1brvcs97/Xt8W6PeQZkMJcOvLlcSVY7GOJQaKJycIJY65+7pPaTanpU
WNmyv3hqd4zN5pDiuXcsZ+/ZKXBNlcgTt9a9zvS6WvfLr+BY4g7GFLTt1eEUeUOGHk93gtDNrHOZ
qPWxCkcrgO8D0sTG/kDnNQ9yV1S7Inf6c6nno0+bnSRQp+8+vP1S7iyGhWdCxQHfBOx+vRhSPPHa
sHSWxVAjbcYCCv/uYm8BOm5873tDLV0exEJs5Op6w9PLOkK8D16ewFJ8dJHDcymbxkMBR81/+6nu
7CcsWdBZChk6BH9Olf8ckER7OjqblhNkZRftwdHcd2oUAvd46fyhdqT1P4zHxkU5vEgCUABfbylE
di8WgrFLxHCUviudIXoevBofy7qMfNcOtyIabm8S6H5ZNPQtl/ODC9z1gFlITig92+TSOGP4WOtN
86OCE/++tXBQIILWOBdkkx9CvFm5VroWboql/uyk6bAxnW+3Cs5lrOQIGqC5ifz0+ofkWiFJ5TCT
C5Yu6n5pF5KaQ8/i7e95O3UYheYVg3C3v7mtAs3BxhFWcmlxFDtgyDvvu97UThSq9cZQt5I8UBLK
RkNfqDqYPq5WhAFZXIfXmV5kYc0PRkcdkHhGdTRKewDqrMPIr+pyOOAqUp3K1PgoZEKGI0ahF5RR
uZ+GefE1cfXkyYHauO9DbC8cjOJxau3UUzy3nd+qWvmdm9AWCnK7o7KvoavWWc8L6rK8xv9M+y7H
n0lR6vRSoHuxocUa1V5t6uhgRMl8EE2GZ1BOBtjh77/OwlHjrdFZ5sJ/PWyY6oraIz26gPx6O6nb
cIV72e4qGW9J3+9NhP8OtZpuyIGjNJVDegk7ZIZhgU1cU3jTIQnb6OHtp7rdQ5aX+f9PtXqZpSLL
Oo7m9KKi1Lu4KJdeDNk173LQOUzz1WnjLd5bSfTCPWyWIFNhF379Fgun4n82GG8UHbS+hJzbRmmF
/z88lckRhDUDi0nVr0fhvuZhiKamF7B/ZTHTOI2tc9Fi+6mrCaB+e7C7X4vbLGZ0VPCwQNaDqVZC
MEJ6GWIHMmjeT4cw7OJHF3uyjbd392tB4oASTE/LdFZzsBxxXGC7TEF75+csS3wDVWgXaRZ05HBL
8Xp3j2DH4RCHtIfubPUWu564mqJM0wvuPBbm5o2DYmO6mFhV7GtuSi+D1poHORfaQ9NM4Wcnjmc/
NEf3CV1Y/mDT8Hny8kk7xcXYnMe6rPddadbPhVp8782+fegT43nurajb2N3u7RDQXZa3xHHlrPul
FRaEmpFnTOqmAWnRCMK20wFldNSYYhfpWv/Yo/75+4+zwM4Lm1VdwIVV4dXWJQzqhFU7t1lzmBp6
76hXxIGw5n5X0ZDaqDTuLCW8YinwMHoARFkHXNiRa49dxlKKsdGBVG3GDyNN142nujO7GWVh0xhU
dNhfXc9uY1L1NtG09BIR4ObHoTM/qiScHHLcXTYW0i0ow11/QQwXCA5T5vWyjUozz7CAyy6eouRf
pipWiK7LK/EzwnvuoyQL9GHqvRLxYVXWxHArE1Q/x60Gilu6iP8S+oO3nmPX8p3mZCQimUZcfkhs
+JqlYs3/YpRCNlziesrOKBXnX6syuhfKdlIi/3pLWFI0PLYedjnMTK9fGil3Wocsl5c2zOGzUTXx
3mphCA6D0v18e6g7WwKxx+riJ8eNEoz7eqhkxC0wUd30Min259SIib0jBWpOLYKg9a3JcGdhsR0s
uRGWB6dsTXyRuG6AGBYZyS2E8Fpaoj5rbqYcEkX0j2Uy/NCiqt3Yy+9N88XsdqneKQGd1S5kM7k1
2JUZ2X1h5kfhtGSQxebGKPemObeU5RUCqblrGqyMBjw2ME25xJXxPJqKchJKPe/6SWylKdx7Hgg9
fxpV6JrWF8LS8vCs6M3soswp2iHPmY5THo0bM/DetEDEiTCNPHUkq+vSuSALHFFhdik81CwD7oYP
Q48lG3YZE1KuXN94f3efClUaJJWFF75maRIKh+uUULILQc54Hvc44megVhsb+9Yoq7lAyWBEnWtn
l2kuy+PgpvXB7EDU315S90ZZQKslzxh7bHs1iiN4RCzLsksr4xCSGp1+u6QJ/vYot1/IA3zmsPjD
p6cIu1641lTPMA+wUNDQyp0gTvzbtWSzQyfNnhuuRRv7+J3hOCkIDwHo+POFroezi8LolaTOgtaD
A50pc3aoazyqUd+Ty1RCxnn78e7gEB7WZPTD8AJe9qZVG8it8D0OEb0FuDHVkF2tOX7p47oKTDGG
TxEh9RUiar/S4vwMqYS2iEE0l6LqQzAZ8E3e/jl/Pto1IIGrp0lQFk5SLIq1bURoYx0lQ35OZxMQ
c5SNMDCo0HBOYUnYyBbNEtcUkbX5j1ZB4HAaG0/P9u4w4kOgVV7+uy46D05dFybnLo+x9gvL1BUY
1sSe48deOflt1epwHgjkOCKJY+5gcWgiJR2kfKg1e/xlkPD3TjXqyEO+ZCQVkwvV4hmv4PnVjfvi
S1EpQOkzXgg9No31LoO39JhygNhHgj5nPP6StHT20ShzbVe5uCPsZGfUz7qeiefSCGfL9+JEH/1K
OPo/kzHQS4JfD2u86eEHHMsxHLGAHAv53a4H2PhWVdtoJmQFRyjTOUCPCpwOdABQaZRTZheC9IWi
9/7h1iMTaO2q8VOmqlSPujLR3S/CEjZK1o9NvzFhb1YhXlK4NS4tVewVgOquJ2yfewVBh0US9CMm
kpOjJH7qZZvdymUjvJoXDpmmDsJqWgxchdb5GLhCz6lhJmNQexWWorXWBKpVUO7WYY4hLQwnI7Or
k15YfZBmeXRqpjl+3picN78BfifVPOc4t1r2g+tHjZqyYNOhW4gXmn5WqCcW7hKtYzHYj5bV/nUT
Z2EjLzTkxa6clNrV1tN5tqINmlcHrR5W/uTyHZM81E+WGm0BgbdfkeJ0aYzj1sL2sw7JKUujyefZ
rgMcOn60Vmr6ECY3XXNuTm8eiAIBSMQh8gJW7vULTPOowhNsroPGDd3LnMmw21cz2w/na4jJiA63
D0kskPjH1opsFvRs4TzralX6IzTx2fQHitzfYOMQQYWujj9qZSo+vf2Vb5vC/ErL1DAQ41CBy7k6
kystaaRjT02Qy7J8zod+OAAU+k3xQxscFHkNUQha1kUoDDtHnArs4f9JYC8eUyoyv5Riq+C+ORMo
Q6Bna/Q/sWW6aXZN3NJNLLObIIy61z41u5ewa75Y0jUe1STKNk6E5f5zvdK4HwPoQUdQNdiPq1k+
zE1oKnHcBkpZ2w+FkcyPc0uozL5KSnKF4jLHCLyiKor2pje2p7x2560Mr1tI0TFZYSZ+IksCBtj0
9Uxpu9pSFSjwgZlZTu+HhTn8HtAyvQ6YLGS+Q6LkRzQZWnvErXx6x7UtfvGcls5EnFtf3p4Qtxfs
5ccsgB/uKng+r2FFhElV0ibhGDQzTEH24lSv98lUpChzWTZfl9YQFsewfYydJXtZ7XBonj47pEj6
KDXbeSfwhzfeNZXafqpUQ2pEHuDthv1JVvxQU9WaAUcbW91X5GJ9wTMg3uO4hWnj2w9y08xf/CBw
48AcBLIwOqHrl1oY9qQNo90HkYksnGzgf6O4dR6UvtP9qMbE1lRncbExKttonN5OKei0HBLYQEHk
ppF3PfASH1yJMB0CRyfZxsCFdWqNs5bCsUsi9C5VVqqHUmpzMLobz3zr1AVrgeIa+aEKuchb92wB
hBX8RzgV2qEDCrbKMjxGE7yBMazVV92No7PdD9oJd4o43zlJr3zGrcd4GLF/1Xx3bOPHjKZyeC4x
A73Ug8oOhZdDlp4BroaNvef2C0FPIqWSxcfPZrJdv6iuw88qK6cpwFSfwGuzS+1mP+RLSImuDK7w
4Q0V1c4xXRe3SMgZ/Ub9dbtDY2q9mGfTEXGWmXL9AzxCyQepNXMg0r70RUf/z1NDUomtamNV3RuJ
Y4BdlovcIji9HknMIx6oraYGRWzZD9NcNQcWhjhp1Wie3573d3YTHAzBz5n9bCfW2gEW1wqTdCCp
BU5mhb6iyXbvQNI99kjznsy4tU5wSJKTkw6XtFX7J0Pri+dB0aKNyXi7Dvgd+BItYgYasDd0IzIU
cJP11MAbCKCTdSSCXrS935R9R3EPbbmWBEJx9wX+Knt1YxnefQ84IgF6LRs7fLvrd+4kgpuFtPQg
jSL5EVK+xGEBpU8xK5ZKBq2s2qMEHyO3VFRqxfenfvZtLR++iaHUtqD6m9kOFMvdlyodBhqOpOv6
xiQwsSebDcNzLTzErSF3NKZ/e1XqfXKMyfOtMjTfiwJSxd9OCAhNpP4CPZOEjUvLavLNnTVW0MHH
wC408wEnMnFEVaLuLRJffKWfnKMbiualrZzKp4jGm6+d3M+DozYbC/6m7mI3pEcBQ3uJfoP8eP1F
UMUSPmh2ZqCAVR4QrbxmRR5vLOrbigYxCjxbpNHgM7QhVxWNsKdExdfAZf7DhzoYGfjqfjbnxsT1
IXPfG/FUfK+iMPzimj0OpH1OHw8mfHPUJku+17oJWyulqNSthKRlwl3VGssP85ZXAJGHw3X1HUq3
NBTAUTcYTRc4XqjZpffq5glDD7RhXtT5f/3hKZbgjyxCVRWrnNX+Ngw4nsPldAOsn3/DOH1xBw+/
umpmxQ10Jf2aqJiLqsbuRUpukOgVwne65sj3b/+Q2++OQyVyO+5OC1i7zgRXZSvVCJemoMeBGNW1
Lf2xIAHo7VFuPzxZgoxBqb10V6w14xWrO0uI3NCDqp3sg1VFxclCz/Ue0VyxzwrhBFLRKn80B4xU
LU02RCBm6rseKdgu7Tvnc2Wbzl9/AwwhudRAS0O4xLxcfXS0A30Y5qUVTCmYRjno+o/MsMApeQ0n
V8VYKo+T7gJnrd4JgHJkONquRaj47u23c8uHWdolXFmhHi/13RqZn6yyj/rYNYIsFfbvqBjLQ+VJ
fI4sWZzLXveIPTAJ2DAIqlHjCSTL7iWFga0dXDP+N9IIzvFC/FM8p0weowRFRldgMOW0ReTPne0d
HDGpGzPnthrFmcFSXRRf1FJ4ha4WszIs4FHeWYEqKsJYDGxaMeJNiex+CYvO+c77bX9MuNZ8YENP
+j2hBGQJLrclxA1K3id7zBjpUua2EL/GetT/Gacm+93q9RyfvdjpPiDPnMcdHEWBp0ij1oCFmvH6
9su/NzUxDVxEz8tdEGnf9c7n1iKtgaWswB3t4YBNcvSEI/b8kCtF67u9jaeSi40C/i0ZNmYThjPY
5B+xe8apJp/6bxXC1Ld/0r35AOF2UUhTf9HjX51HI3CiIA3RDvA8dk7laIh3+iSQYeqhiq1ZhKJ/
x1fxdpVOy6yyi/nACeb6RaIrX9O6z58kNpmf0joms0OWxiXOZPy982T4NM5EAKmK871OrHijqrip
pDg5qSqw6ANDRhu6Xk9JmkKgrzAtr5X01GKhv2taXICgGG2hhTeNBSxPoQkhjeO4hgOxuht2VuzW
WpiQq4Halp5PoZ+TurH3oh5y7Nw81Z+9dlO7v8zoq1OCUWkrYGdCQjXgxGrT9vKuaQtHegEfP0MJ
HWk7zUxyv+sc9xQVrXuU7tD4chblu8nr9aOdbjHF9ZvSbXFYWSpVDBYgfaz5Ql3bxtWEiURgqGO2
N0A+X1o1nt8lZE9id7pgtVqPZiyMhkMXDnjaQ6A7TTXT1U5y5aBYSbRT+xEH5HBydnbhli+NXWNv
NDgKFm2O+ojnakZPwzDOik0XMkIDcLCBCndN4gB0YeS7j9no90TvERXKkD/fnv+35eHyjPCG/hzF
ENNWXxcDmaYgn9sLsHSvXlvyPh6MuM73eT5AxBpF84x79c/RxLXR6XXjgKope6zIKtqo128Oxz+/
AzofrgBw09bMkVwOidB60wvCNNQPSP2MA87cxv8yCicvABvz5oaWpc0OL7LBcCsHAd8NSmjiHG5v
VRw3FQ7PwqQxkHUs4tY1UXlU+zZVQKqDUce9l4um67eKaft6oyu0K0Dc3/6I98aD2onPHQw6jee6
3ladavTgQEP+avJE+xmFqrG3Qo0dlZj5Z13gq/f2eLeiGh4QowK2cehJcEtXxxGyNwAOj8Wpx6mY
jpkovD1+cclnZBtJhTVw2L7UmJG9NmSzejvXqNXCV8cYOVI2IXfdj8Uw1aD7JtokE60BYQSItH+8
/TPvTSnQTZbuUnFy6Fy/lqkqoU51wgtwrY/3TT6MB3Xuxo0T5M+NZbVTmWxW5HcxCAm7K4QF3zDC
HRXTDZDrhvGuKxLzO6rSBvpROsOf6DIV7/tYmNpPkrwspLhF3cw+DoLikYMd3rdepfgFv/3wt94s
bNbccal5wc7RIazOWm47JX10JmGFxuL7wm5G5tONxQtmPfjMR+bgXYymIyU+S/R59rvKtPE8mUcF
3wADz/0cTz8dJRn2g0IY2sZru/NxLH4gDF9gD4vb7fXH0ZSSBmzXeIE3xcWBPMjqILxiK4/izspg
66bgBARC0GKtdjcldIZKx1IPMiuGp0lIGkOoxTvNKL9pyI63Su87hxbDcWAhI+HoWuc+QoPHDQEn
lsBtMECaksw+Q2EQD1Gaf8ck/6lqmwlr0yHe9wacHJPLxttf/d7zAumDsCw+wd6a71SliDt1KwmD
vqAxk0audUmGGGWB0qMlxel1ayf4s9RXs//PPQNaM4gt8T/X31GMKorKIo4uzejODaob18QzrwhD
WllpYbyPaoTmO0GsU7+z8bL6l+CVSj/zWaJXMmzdeKc0WvY6qU4Xobh2rIPplb8iw24Et/AQmkRe
qwNOlwDz+q7A/rdiypQmNBHRKcfIcnhQhdDZx05L6nRHTuBYYW9pdSfPS7WTg1/ypxnDtXQX1Y2o
92hXzF9eM0a4ii4qsZ0cxEhw6+iVF9nkOmaVzvgDbSJGnRPxj2cuWnTX8NnrEr8ws8L15VQ7P+Ws
up8j7vH5jhzJ6mNKxtbisOqBlOtwffdgwvWwXyyoJf9aihFHVduK9pnoiiU2Pes/ulE38/fqFtsQ
RZgY284YdbrdJPCOcGTkG4kjuKphOJbt56GtVV8jZ2jaT3Bkvla0VsiuwOz7fQ3CStCc15FmG/WT
9aEu5sHey0gk56EZi18CxVSxc6Pi65CXD16iDxgOauU3TzbjObRS990S0vDdyQW8MEWzwLdnvAAs
Jf5ld9b0ryNT8Y8KBxxTx4jveEhDyL5DZRSvkYpOUXq26HaAcRx4WjqPE3Y6Thfvib5MMWbNDO3T
2zP9zl2CTvESpqPRlwNKXy1tinnIQxVLOyQ+ChuAJtmRhIyBZuFaSFrxTzAQFPO+tEBTCSLqSEc+
pK4xv5vCQnnOy1bZWgx39jTYFfwUGOYWZ85qLaSDNN0hIsQltPL0yLwtSSHUBoQzQzO/N3LT/lLY
juJ7oTp86zpcpbB3y35llaDdrAvBhtS0rveQkq+2BQPe2RlA3RDUQQSh0b6mNEhZDZFW9+KCCk5+
yMkOi301UeeXjMa/wLDBY4FGGsXDjvCZJvST3rbFnnxBDWfXxDKIHGjCEvdMQl0PDaeF2OMTa3t7
RSM2bON0uHO9ASdBEYAJFgiRvTodbOT2PbLHMLC7LvmCmt88ON5Q+mpuiePbE+nOR4PRrTEQsDTc
wNVFY0xtuzbZsIJhMsUhjkb6MGazlRyh3Tka4HIvDRGqW0C/1RN5nqT31WhhUBIf+V6d9eJceB65
a6I8LnvLUR9KrOnUrvikmR2KDGw8Nl7qcuJfb9VcGXlMXK7QflAVXG/VS7IQBiu5uMy5Yh+cXMek
Indtvx9ZGch8ojN5hDJwE8THGfETD3/7orHJwfcL1gBFKs4+18NTWXhZ2bvionG/x/K3FpTGcoss
tiz71UNqdH0WgHWRVa/BPiyB7LqPbHFhVmvnBtXTCda54+NpNGC4kE/nWmmbv5VDsqKwsEGsxCOS
Hbuqtfo5EQ3Ue/j36bwv7faXNSnNHtv7sw2C6rvKhqrrdjEzHk0b/NOoNLhpXL/K2M1YqGEaXSj/
lFNbWO2jyOLliqqbX4AetiS598ZjcXDHWJDLG480kZLVIWspLlbrNDtlHr8mUvsd2iqpbs3Yb5RR
t5ntywZlo/lD/AViui6jRgdhYlWHhGEhvw5QiMtvmLERjxxz6zraOD6pu67rSYxX7WqJNcV6Vz2K
1o1PU8tm9NiEWC1GQ0hWZhEbzSuGN/luIDwBLW44eiqxT/q4UMgsrvB13B8IQMLCs2vqdzVRbOeu
cscf7MrjBwzxys8hnXjNbwc8X/y+bEmrqwl66c4Z2UxI4gaiWTuC7bbKydtNELSPNibHHHjuTefG
ztME50hpB44RDoEV97+TznIeYz378fbK/IM8rxbN4kKILQmTCvHQamlOHmc1wU92UKZwipzJUL5H
ruHuKmyQoixTzqL2QC0UvcFEsCk/tGYjjl6+3GKmRJzR7GaHvk5RbENT2UtW4AmNbkzqo7YF4N7Z
SOlpEFi1wOjIfW64R7WKURJ+gYEr1MsAJrHPWxcUjoixS6413T5uAQqTrHqcs5lYYi3ZChy+PTF0
/GZhzFg0bPlE68rDzFN7HCo3yActPiatraID8byNVXDvQQk0Y9VBTIFmtYb4Zhq9vURFim1J417i
8CMByzTRByyIwP2fCBIjNFV23QtoaX2eRmPeqGfuPSezAQES12cyLpY//4+YR2Ibybu2HaDRqTiI
omgeK8PdOhnvjgL4ysm7BG67q4NRJhDeijFyg6pLYAZNAzFKlRlunH13djBgMgAf+gYIuc3VDt0Y
sB2prZygjIfveOa9J3qPewpLHld9bJfeXlD3non1xJbJTgYwsCoEo6RKrFn0boBNr/vQlYlxqAhN
P7w9ylKZrFYt6k2a2wvHgiRO/fr7VL2e49Ag3SDEQWSgyA28Ufs0WRw4IDALE9sih94a3r097J3K
G0hlEY4uD8gevRrXQ79ul4ruBrAr7NdJmYsvhgrz3MfDsj0XltMJ36jT4SvtFJzHuGMl5bEULUx7
VVPGI1FZmL47sDy/v/3L7r52alyUZ2AxQDHXL2QgLrjNutkNIkXRgBPEtEe57G7UMXe2ZQB33vqi
JuGev55KdeR0ZWy7gdkn/U5Bk0fwcdHtnHnYus7fqdhA2OCl0ZlYGsarFZiExlhxxfICDGKf+DvO
O5IM2qBEn7sLO/l/7J1Jc9tIm+e/Skfd4ca+TPTbBwAkRYmSZUvl7YKQN+w7Egng088Prqppk2KL
oz7NYSLqUmFJiSXx5LP8l/pAlNV9xG3njYPow4X9dTYC0SylajNXEsMphEfos7SKoqGdASvsRmhd
tGuNOA1AXLdX9aL1KDW733twWYfcRl4Zw51h9/IrPffdoodKM+XXvPgUfpn2Wq3hGOLe2G5W4pAq
lFuJhfNmVJlTTqJ9//Jy53aQC5KTySBHDK3/kx0ENyxKIj7cZZRy1XB0gn5p3PD1q6w+pWzUtTF1
Sg5u0ziRVsc+RWdQXitYiW9gJl/Kt8++PszIEL1aGxnPdk+MckvcIDF804x8DkMcS4TAYTOoWDT4
gKZus9a1g8lRqyuMusvrJJ2y/8Hr4xNZtQc8WtOnxVWjtx6dD0JFRiZ7ZQz6t1EVy+2sIupgJ6ax
ffnB/kq0T0IiDU8AtL/m/SZS9kdHVuIqVhMtKtOM1q1/1nWTfOayinvhDQYuLQsN5wBnPlFiPV7j
fu4qBnLfetsuuFrj0HCvq43xYdZG4YVLEk9ofOR58ehZWfEhNq35UwMJ5hPA6vnetIf4sycc6wtE
fuMdUlkfGQrgehxlychUQTa7SNEdIJTQOkaoUHb5VvUq+q1NNeVlIPJicTZ8RNon3OM7yezd1N9O
ak2LzHRrumVpSfdYy0vzUph8XotCLaZgwawO/wAEmI6fkhPDFBPRWotaosMXvJ/VDzJTrI3ujQGy
6HoXLr8g8JbWtw9FManC5x4BuqP4V9S7Upa4Qjkovuco3VZZvu1UdyBtNhs53tr6IN+pnap+MEXt
GmGDdUwxOoFtjKnjw5/WawQRR6QmzWTCKTWWiF1euV0HMMDABuh9XeT9W3qjyycVjs+V1pcN4lR0
tJptDu4W6xxhq9t5WPQP41iAvseXtgatAwHeNwul+PnypjrTSQc5SRSk5GIQx6D9+HHpiVPlWUzA
TwdXvzf0UbsVeqz5DiSXra3VHLUI8O1jVIcCzcLIuUmlu0fGIQ4FRQgGXLFzbyHz8Oowgm4q1SZo
ZUIJr/P4ulTFdJaG2c+NW6eLj60VLdfKu5Q5PQdTrto3zGFBryEVTV19vEyeW/goTnBonaFUD60x
5ldJZYFyHXI7LIfFCG1Pau8mZy6u437G6g9jlutYjbE8spUGv0sUcbIqbe7xTtW+9JoVXynDkF3o
cD0/lsmEVMADqBFBbDkVJHCcsluqKYZV1dN3xGM+3WUYCfhTU10iIT3vMXDUElDBVsFQgEhz/ERU
pYpLetLlITMN3KGUucfbOhJ7F/gALeJB28pO5hfSjudHEwBtmAjME3npZHzHi8ZxZHr9zGuYiglB
aMYMCNTXl6Czz89b9JwYHTAapEf1DKdTa7Oaz3VSHKw8xTOnM3dzAVlmKqOt4k7OhTz53GqAI5Eu
BJMDwuDkQUpS/trT0ZYZtVwg9orIl15paK9pcGBKq9u+/CX/qsyOjwckIIEGu+xmvpnTF5dP1L9t
KsuD2xvIYWMZ5NTMRprmvtHySfEj6Kr3rVG0V1GNVeWWjx4u29RnQGOaBr8rIEwgD2xZd7d52+8L
WVvSlxlEFT8pWuUuz2w0uRer7WiLZ+ZTD9rW3Ui17ouNvXT4Bjnd3N2NBQRxH1oeRxAS4PJrrRow
sCWsLxpjkZ359ThLxqTLotAuq9/Vsa48qvOA/UThYfvh48LXf5xXL7XQlaJ/MhtmMH6mCefR0jhy
Q9g5HjIzvT3vzKXVnqzF656GCCMxphpGczsjpl9tSO7mLmxrmaubohDYaed1g+6vyUZgJBuL96Kz
NUgPctY7v5y46cBop+V7zPc2+ss4uPe24ji4fejt+ChMk6OuZqBT+426DDbTbgiUr457pDM6hRzF
D84Tpx2ASUn0xRR2eWC0mASaseByXJfLhez3zEdOHoGuO2+IJpSxHqK/Vb8aWL1GAArDSNKyHuPE
yYNSL9obkWpVAGEiPQxmeonEe+YjXyGR/LcyUUjajhfVvYmEHs+ygxqjzARtPNtYg7pc+OzOhEpS
erRQMc5ZnXFPVgHu5RUgfqvDjJrTFsXUdFMJE1F6kfwP4slK0l7JP0inQLI5viFFwXFuhNt9SFJ8
YnPRXhW6kAeTedKugQF14aWde34W0AR0UBkKges6Xi6pvFJJFKM61Fkntp3tRlsTVegLG3ANSydh
hF7Cf62ybp3ftgajFKwhyombgqOzifhIr4UEltePjrajxdFvEJNOtumCG/TLEezcm6PLTNcLmR+q
wpMjv08rcECew/7oh/f9nImNN8QJhMUxDl5e6UxoprqHT06BS0/7lHSdY/+B71hcH6ZSeAGOOQXk
fTXFAVqPQOZYl3hiZ+/st/VOjrcO5Yy2x27s0Bh2+ihT7C/cfFkOMs+H15+kdO7oqdII4jA9zedi
I1FBwOar02mGTxIy2IGtpJds2M9tRRYAerzKWDL0ONkk45jZAKbqQ1HYEVAwx9x0QxW9fkOwC7gN
3hDjslOAA30hTA0rrTqUTG39wlDkVel271s8tl+fX63cOFDbGlAjBjjH9xMl7uBavVodRrv4rmWO
fkWtJH3HyK0LH/GZrXe00rpVfvu8Eo124yBcwlNc1Hfx2CsYLTk1g3Mj3cW5cK9f3upnCmVinEqR
CpqJtvbptBFNwLqbhVIdMpG6W7bdfKBY7oLKQb6I7Fds8S2x7mtHrYPScr40Wb58e/kaztzzL2o+
YBhQjwiUHd8zI5cU6LPdHHS3GHdI5HtbRy7GdsKlfde0KGa/vN6ZEAY2CL2k9Qxli56EMJpvXua1
SXtYpRWCqZ60t4pQI78kfwHfkGuBXqbWoXDRHH955TPtQ9B9sBqZ3TNq0E9vta5bB4f6oT2YhZG8
jVBfvZnmGpFzt9SDnHn9VsfNxLctOop5M1pfSyNeDlkDMDl32nKP3XJ6Idg977OZroeu6FrgrN1U
/fjpFzWd4262K6LNdI+9wY3dqU95U99kWnad1ZDX4nl+KFX3w8vP4kyMgODM3qMbtBKETr4pt1fm
KYv6+kCrtfzYziK9R124uvA9/Zp5Hp9X5EvAA8liGJA9P+/tRRYJceLQ1qnhbkZDkAq69PZ8vVoY
8jfw66eN1s1TGWRK3aY0F1NR+FJnPzaN+jXTWudrYjD18YF8YPItLHyD/cGEyRS4A1PBcIopfQOU
3pQhlIWlp2EPw4cGh2JsOiBTn6H/5YEEmFFsESSjL5zEna1eR4mRf4vgqNzleg6YZBzK2AcilBv+
EiHr5SeWUX60Szt5541i/ICmVPtttdI1MV5Q2ptl0cpbR0ztu8hqnC1mE+JW0ga6ziGOS3axZj3l
ALPw5BHR0vldD44818r+p2pNYHJmOqzfvBavD781bFkEVPs1BKAqW/CVlj31tOTD+ALSp7R91Z3j
H844oVddO/hvhDGbsaYDgXg4aKy70Yur2h9bRX0Ug5qga28q73kaZhoYmHH/9NomGUM7yvRPhZ7g
NFVDGfim49Hymdy//AF8yv782j3GywcUiq70inA/HSMlxdINOOfVhwRfwM0wRsMGzWbtwlf9/Pg+
XuXkC1LSQYKMKerDXEA/cIQ9BFQT+RbnlvpC6Hr+0bAU8o0rxhY+l3fy0bTThNYhBJ5Dg9cybA3D
CBpkay/c0BmMK3KC1IkreBKG/KkKtTBFktpJ2aITVHwGadnemuWC2GnRug/RUKYc6WO2iydjvFq6
TgstNbOxgKrqHf6E3c5IWnuvN/aCQ6uXXZj/P49XwEJJXzgm6XWQwhzHq4mBWWR1fNBR3mpAzCaA
8JOs4SsondjjiZFd96rRfCylVeFSIvoLVl7PTw/WpykE3pVxC1H8eP3eLdJxoLtyMJPB/V4V2ldb
Zsvd0lk6iqX4SQPYSa8sxngX3spzqRDWoz2xejmQfxPTjld2vCTHn75rD6NsLXzEOSkWhJcRwQAU
ghjD5DbJvMUSpftkA/gtQlW0lb3DSS6+TjonLv1qpEXoY8Oj0ouGW4CWolI/WpGbfsRr0vpkCejm
vm5PxJ7GGYe9W7WZB2fOXqZwWrrkcwG/G7xzSyaCtLjQjZAR7rizV3v7mI04qWX1UWTudDvgSq76
aKebhwUVGTW0TXyOfNysLHebLPDw8GlpzPx60brqs9p03RWnZk7JnqatHjBjtt8DhcplYBlLc2MN
OFD6Jk7m5m6IbVw/cQjHxUZWDfYtcaM5s2+JVK/DLrJ7KN8arjCBtJg3+Aj5yWozCUbyIZi/6afe
GNNbGtmN6Y/diuMSTm5fSjOeF9H0/in7yLbRMUSB8/h1yTKPPbOIukNFB2nftcsIBjky90JpujCt
ChEU9cX2nM0fPTnufhG/V59WKvdT/fp81br2rIXdmaZ4u7eessk9CDKg32To8DwvBKQzNwmwakUk
0FNaEU7HN1ljim0Pjdke6PNPN0U/1lddb4zMsldFbUfPdiLtvPDlsH4maUWgyGIot/LCAAGtT+G3
LNmJ9cQ1y6k9rHnieztnvlHNYnyHd3Xt0y9qriYNN0sckCSKaw1u3F5mzRdS5zOxmPumEqUTvRIP
TgJR2rqD3aATAXty6QONoBA4SXQJK37+Xh1YIUCdAK+ddro9up1IFajtYWLC+94yR5diQI57+gky
5DTI4XHGy601TdMmr3J3Z87i/cvP+8wBt7acHHLzX/3Kk5BnyCXX0pRLsIpJ90eVrZt37nezlJdg
F2cIBTSe1o0LI59u7+l8vfLaKarxFzrMuKNjeAsq6+1As0j1Gap0S9CPYEw3eZOqeRjRtQ+WTG13
aVSM3xW9gIIwlXNyAeF29vaBSXLockFYLR/vNhrNWabqSntYVBltltj6iJNTfKd5i3UhFz97+4y7
Hd406TgTquOlPFj54Geb7jCCNk53TYnFBZRAM79D9q3HwVUzpF/0aY9LWSNAHfdJ9q6xATpsHC7e
3Shk+pcQcL+22GlQ4VNbvzSYxLS0jq8q1xYbgp3DVelj9WWVTOg2uWPFn/ROK27dolTvM2vMsYFP
VSA5GaeMr8S1lvuN0k7tBqcZcWtBxdyNi5CQAJTqSyHmAkYZ1jcAPyPIMQPd7/9BcEKKl8xPxWwH
++/j6+50rU7GvugOiOqY21TYbqjUWoWEcaNtkz7GkWxJu/3LH8uZmdGqaUH7FA4foyPrZLsMad3U
tTd1h2gs5C0WJebn3sjajytXI+jaiHmo7c07u12lGYaR16oiLMZuntAmtmvMxeys2TtuO4cl/UJc
LnXlgCqPcSF+naG/URXBaQTPtYpSnII5uhXUICyrO3hpkl83vVX6qqXEV2PpDH/G6LogCW8+9A2W
SFGf2f6ceGJbSXS1Xn5iZ84sBKaArqxBDhzUSVJrIywGMbZvV5V9kKNG+tVLqhwTsDxlQmBfyN/O
rUZPatXwQr+L7PZ4U1hRLMktOCFrxWjfJXkr8DnCPp3OvQyEOYmrl+/uzDGxnoygHVapUriGx+s1
WWnMuiR45rKFb4Slmj9Vo7l5eZUzWTHykBzEINZI2U9ZaWWRahJgBecwudlDj7HcBgKjdZfmy3QN
DQRC91KOgamOS9io8pKMypmk+Gj5kwixgC7zcFFuD0OtFcyAkne4yD0sMK5gON2CEf7Zeta7198y
lf06nkBQA73w4wcr0ooH6jjtwSuByNc0ba+F3lqHKOmK3RINg99T5V5N9jJuvcTSXt9+pK3PcQAS
Ew4GfOTj9TUjSitMitHI8eomiJqBGVq7zkdmyCsv3+q5x8sJvI4nib60rY6XUtJZ6aKp7A6apyxX
Q43Wn++qcj54UZ7uy2bGlzDTh02pRpeAdmcSPLJYWLK0WekTnZaCTmQ5UTYl/aGanfhK5L22jU05
bIVuioM59u2VLcuLQNdzNwwzAQQhYRTA/sl+wnwwAxxc94dO7ykG3NIY3iKY1uw97JtxErIwaJuy
6Qq5xOpKqvJrATBqB4Dh0bKLKsx6xbyOx8q6lq6dH4zEUEI6DtmDa1XzhTP7THYAQmy1v13FCUgE
j99NFkPepM/VH8bK/kiTbgrJV9wAE8hL2Nsz3zjqvagkQX1HyeP0GI7Gpeik1PoDo1PtXZc0qZ8a
avwFI7Xmukq07H4uxoIhaSKv46GOdy9vwjM7gSk8GBAkrNnzpzJxZjuS/pj1cBAJ2KA4Guft2OSN
r9aNQrvYRtBcR2/j5UXPdEzpagFpWNuTiBaf3rTuyZJoyeO1oZRhiqkV+Bx0Nm5LeBliXZQFfVcs
YZGnwzUQCM7MoZhDvYBVMpQCHaliVTH4dVH//m36X/GP+v6v1Kf/z//g/7/VDRaRcTKc/O9/vm1+
VA9D9+PHcPvU/Mf6q//nR49/8T9v029d3dc/h9OfOvol/v7f64dPw9PR/2yqIR3md+JHN7//0Yti
+LUAV7r+5P/tP/7bj19/5XFufvzrj6fvZVqFSN906bfhj7//af/9X3+Ah+JMJJL+++9r/P0Dd08l
v3t4IrOs4rO/9eOpH/71B1ihN5CkGSdw5rFlVqkr+eOvfzHeAPoD78xoCIL4SsyFZT8k//pDMd4g
MLmyso01whFv+Le+Fr/+zX7DT4PIUOFEUGlCCPjjn+s7elv/9fb+rRLlfU0A7v/1x+mJDEMUUTt2
MpNEcu1T7UcTvr1iiNjceWIB1jA46k66Rn4hZj9bBRSlA2qKm6WkIQM9jgsAOgqh1FLZAXjQt0qq
RGjNNtqFc//0o+RlUYRSliGaCRP7lA0jYzOv7MKLdqWL0paP8omeX9XCljvTjcavjtoQJfSkwTf2
t5f+90P9/SGeW5g3idoOkyPiwcnpawFvVJ1OVXatWqoQzDEJ00Y6Sn2dih2sY0S+1EK9cOSf5m7r
3a5jCqZ9a8J4SjJUSpnBQjKUXT9ryYNCuriZcYbdN8Y83lo4R154h6cRl/VW3TDqexQiV7728TuE
QzMv2MQiuo3xuz82/Y9K1z4UUGWwp38oI63ZlpncQ4q4lJuvp8bvJde6MpyqVRd4dZk5PVWido7M
GBrqVa6o+VcVzccwatDbkYNlMiOChDpV8IFUI2591IJVdIxq72ky2z9HeDlPdOzwYX/5jZ95+FzS
Kh60Au6ecf1bYUbwIWF0a7HEqs2tZuys++G6jvNpK0dvni4sePoF/XoGRKT1gwercSouYDtJonQV
C8btatPsdugSF6+22/prFagm7GR6Ob/6L7/1ktCEq8oJ88Arc07igL57F5oqJnWvfng8NGiOIK/A
tJ92rTWjIRuvkvTKLiPMATIsEG+6pIaSalvMVuLcsl7/9FY3XvAnNC0YfK1P97f7Ume8RFuzZ8Vh
KN8OgMyu81RzHl++r9Psh6dH6OGLNGHCIyZ0EgaK1JvcOWvSK6XI642aUHLMCn7Musgv+ViciTj0
IBgSI4YPsUQ/ybeVTgNzmqvpVdY27fsEad2rxlMxZ8curfDn3rJ2YJasC82fv3Azx58ik/FVLQtH
Ing6p+YCQp8MszXKiIyzqpC0Nkb9NqOOLQIVAaLvWt9X1kZaYNc2jaZWPxTg/MrN0NbZPoUZgOeu
Gw/vOy/Ni3CZW731DTOPvBAPb4hlCFCg7+15Sv0wLLbogqSn8x6K0VDn0LCx+mySdRRfuKY0bzKj
svZVh2jNNqPP+x5tTWqPFBqvvaFLZv4pmlVlo+uG+GG97GYzWKLpfVyYHZha0+h9G+taHQO9amTr
e6J1253ed5jqkB9HP2XEs/UtZLzGO70xM4JLNOhmKNpe6cMpV0jwksp0D+aiZ+9UK3EeyyHl8mL6
y0tYjYDuabfjRBTS+kbegy781Ppm3Rst3YxmaOCMObIMAQo17x1UCdLAmSsq07iKmsyPhamtjueD
6JNQHSieA91YnOSDifoAWo18X/EuQx903qFUppt0PKPS2pRmo7x1FLT10KOF8O4nMkfzQnJELb6l
SfjahLYmCyfPiw6WR5wMnHGcvpSDOQD1XMDQBfkC3mZrmAVtGnVOkj2YT5sWkS719y4qvJ88HZFz
v3es/puIFSH83DSVzDdEim+5xdwVBHZb9iSk3VAGk5t1jw3gxi8QNVEvlYunPdrOnE9+5OnKfd5l
9ZNQYqX2QcrMj8KO8/tIGbEUhW353RkXxrJNhOSyH1lSG4FS22a1sczUuWszkoEgSfC1KvukAKk/
VYAxE3QM8DeYNPUtVMVkwf7dKhq0dxExYAQfAda2Fl3482J4X9BH6+80o23FjnehoJs2UjMEktH4
N1gGzUKef4irxdzgT67NW1FGxR4iUyT9OsEf0B/RcsHrFNELzVfLNrmfrPoB5+TFz/uuvfIG0Exb
tTeUtxkS9XlQiLz9TuutewBw6uLLXZbmk0Dz/dFKwWJCtFeZkoMByOogBVif+UOrtfm2SiXFnGrI
LHTzbE435DT5fdfg7wqiNLXqnTuK6VBlcVduum4cwPGLzgbbr8fOu740jLdzEYk/h9ZSsoBOiQkS
1ckWnka2jqj6aviklOqUbyaoa9+MqILQhJJm4QZKYgC/B50yXRXD4Iw+KH5IR5Wi1Tn2gDbjGz1f
DGUzL5H9CW6B+jGzVPUuBskR+YqTtvFGGTK+yMkYhtsJaRTJDq0qNUTN3vrauGpUbVNNcVPg8vmY
BEZm2h3OUFyIGdUlEuHwyotDbw75B4UpP9M7K5si3ygb7cZ1uwTvRncq7pJ2iG7cjuYQVdg8Jn5k
zml/k/Wqe9uhbaZsZFb0TWilmf1Tk5n2mODH2l0hAmoi6DZ2DHVnTU+zn3ay2B+SXOqZD4yWv//a
A2ON3Yzk2RcUkc4a5X87llqljaxUY0KqAnm7qRidBlFd6XdpVDmv7LzRsafHB9EIoBu4ltMGTZ8I
dah1B/uhavrOl9GGq+r77uX7eZ6kYCJLjmitMLc1gTi+H9UaMqWLuR8XCP49okO6vwrlPb28yrMy
eL0XFcDSmnJDQj/tkbZjquplbSZXU2kWX5CPkAQH2HFbly7ntjCnji3RoTatLLbvdU6yjaJMCRen
Xq4Kw+2uVBtF85cv6nl2TDkOcB1IAs4jVG/Ht64bQ2sscwR/hSTtJqbv9im1jfiRQ0v8mSADdgX5
Kg6thiRx5DP8K0d+VRX+39bWR/X4i7X6/5tVOIgs/be3sVb6R1X4w1oZ/9vNU5GWT9XwVJ2U43/9
+t/luOa8IW9nHwCFAdKx4gb+Lsc18w1sUcZsMKzBFaz/8k85rr0hc7RQ4Ed4cyX+rEjRf8px8w1f
LywCqjH6MqpNKvaKcpyRCBvl9wyLi1obS2xw0LYQFE6+IX0ooFB6brzvYuQP/JYPt+w31aK5I2a9
0oBrxRnYI/zgU3IDl8Osr/6UCMLzZlAcEQViMGZISS2KAdd2m1SMYh3U+vyFuhsUgKzzn/Daxnrv
JVq0zUaz0naqKXu5V2fHerSsIrfQ/JZeHNrwVzBZL2hN3kaiSiZOgQw5zFmaZhty0DqfLGRMFl90
I1ZeYKN09BUmhUR70qY8yFxrRvgMaHK7mbzGE5s6MxWTNKFBib0fCiNCW4CvOBiLoVACNRF976Oe
VvTXacd6iHQkGpgJ6K6B5mQtglk6NmK4jKjwxrrJVdwwg/IO4qW0qi4Y9MYtA+j6EwSJ2pm5JkeJ
30VFYkyH2pp07WOfeXYWqIsB69BqqnHwpVp4b9uomI3A7FSaHyDt7dYfHNEuV9JasgeNZKvdpGqa
dn5dttNO02MRB0ypKwX/F2f8MCRR9XmhUMSrBrWtn7EmqZJV1Y21a6f3UPdGxpRx12xHhhtQ70I3
jOBMaQEnVkeWZ9fGGBpt5yxhJk0N5kfvtt+mWCr3mCmlH9OkMXsccMi7/XR9RcEg4TYGZmzHH6K2
L4pAa0uUp4xsjJ+W1mkrHxdjvHpz5O8y3+wj1QpNkSlqgLMzJgaMlsUY5qkplwC0Vi39Hgii55em
UkKnWGq0oVKrEoovpj75iBwXiC7TTlKSycZcDku9WDKwF7gviNLXctqRdlRjOKFjLvzCIn3bwNEY
zaDXrFCv5wUigzSmrR51vbsFYzuR1sSqcw8OjdyjQiIsJaswyqvC6ZJbvmPxvfMSLw/geqnXaYzR
rF+obIKhsZy7QSniw8iAEMVyBoixP3l981BrfRJTAuWtnW3mskZGekJgXn0/TrqSh04blXdoCWl4
qutK0W2WptcbdD9ykIG2AscF0FqafJwtu/6YdeP0sZekM3B2WitgVi13RTFkcgO5vbuZm6qFhdji
yVpHibn4pUKyl7ktJl7TjOh80JS599YhBUt37O2adDPT24OcZMrllmXh3iPHneLMa3WGzX4WC/4R
Zq2qO1suFah+YInSV6tVywzZRP1hqKh9bhKa7LXvjWAww3JWLFrAMrGiTQKvvg6s1NMA7y5V5+EU
NGeJ9JdOTgec98SEAIEO57aqvddqNbnAeVcYHhxJ8HLYnRwfgQgOpRQvU7lPBVdexVEUNO78J52d
fv9beD/Tb3seI1ciOBYF4EVJZ05500bqqoK+WLmXDLVvEUv7jJ4nztnd/PH1C636XWu7HQmqZ7AW
+LcaSsvVnvRVBlGkukRiPCtQm7vESVsThOO4T/+Q9j5pEyv+OvF+zwWnKVebuCqIypVn3VoqHNK8
6D94zTDtR9SSN4Vp/Xz57k7TNRjhzEgRAqMzCyrudOatUlqhsW+U+yiSTijQ0dtrznhJavX5y+KA
pBlCX5bpJI2R422Rq4ooEbGt9ktbpGkwy6G4xnJRoaJv4ktsldM0jFta9agxjyE3BNB+0qSMrU4g
QrrU+wYmGwgHmyDnd5ror/rCQ31TL2bVNzpLK3ZVNVtlYC7itaIfXAM9IGZSqCDS+j/lnpsdt5hP
ot47dQGDr+zQPKR8cy86PT5/siTBuFHBST6nfDe1SBXit5iCjxDDTd7rrb0FltB9cUsXauDLm+XM
Yg4oDsC7oCSYE5x83WYzYznUldl+qDwwhklPBaoXOaqMF1H4p81ViiGXL4ABB5/3KlN3vGOaiHm1
hoj1XilXOoDpiUdNa/twtFPjQ+S5l5jNZ24NBgSD6zWFt8BPHa832DPys7HI9iAp5aZYpKz8yK7U
w1BWyudXP0aXgc6KHyLbhHdxvFYyJbYX2Vq2h/4Z9z7WUXR1bF19TMbEenjtWsBZmLlwGIAPJnM9
XstyRWmXjVnsAasY1z3No7tUtsoNeuHyQvnzrCYj+BvgGmz6auu061TgIUciJGdjFPuu6Tirsswo
76a6rc17vegX3U/bKMJ2Qo+c+6zM6J+ZvQcWUh+jPAPgVRfvxdBpjq9Ffeq+euvS9cV2FddaUmLw
LsfPYYGpPsf0tfZG3yQbwNzigzZkpfQzK9E3Lz/z5zEVeSHojbxkxnS0m4/XUsB9D2MSV/tmwVdk
6m0rdKbU3l5Y5dwymDaukB2mD89HIlyCrZd6ua+JpE6o2mJ+yEd4bMFcqqj8D87gPpbmaNJEcnqV
jhudORxWHL36ismzk+84MAHFQhcZ0pDUNzP9QUnLIqxUDajRMrv2n6BoBqyRM45aP2+q+DCoDT+t
KYpZbYem6f/s29qLrsCfdlUYwfO9V9whNp66wtRuyjj38nBBHMLYQXaaW+DZsbD9ZOka/CZauD5X
c6mQUUvkXLpNw4SnJz9OjC7MKgH7uwcjbWETn9mfEfi0OOAXaBgbk+v/66v8/+UzQ2ydMSFD5/9+
iH39VH5Nj2vmv3/nnxG2+cYEZ8EkmuoWJAox658RtvaGmLlaUTANYNjIOv/UzOobwBlA/hhSIEDN
EbWS7P8pmvU3Dl0iSBWckmh70jR5TdGM1Tlf1e/JEzkk4XR1EaKkJ7aeRLp4pKG1eG61q5qp/Wov
s/00uShibUZYn3eDhm1nMEUzDepanwfXp38bJcEc11WL/rapTUHSRg1GaIYt0BFZJln6brTQuZYi
Nx8RJq2kP+v4J7d6bu/7oR3fdgpdrtAYlykJe6/SP8XuhORgquu47NjzVGtoa2uq5lvNZDwtGUIq
AfL/pRUoSkYlKI1Uv+vMXi/DChFDwx8nBFRDa0RjJsQhbgBHhRACysGW0ii+XpfjRy5heujqtvsA
j0FOoaWX5gHatpsEXjZHbwvHLR0KEsXqQ6hm69kSK83XWPbdT1NXejUsE5NhaNyYDSUKgL8xLPBk
m/xUrTwtzJncfPfQXbmjS421shyZUvhGUZnX8MQEPpQ1Ms5XsWtPYzDGxHffHXWn2RtZnnxr1GLV
KiirnjECLe/hXV/M3Y7cEJEUenGTsgRohkkzbNGbcQJUiDvDT4VUECEuzcS9re3ZQZcoHsy7Dnts
Gcq5XJoHGBIAn0zcM8xtm+jFtJ0EiYNv5dlUB4paFO6GpKx/20WVpoYZ+UO1jeZ4ivF0z6P5Lpus
bt4OrTcAOO1EY/kGmuw4SYyFVQQTDL/+nWjilHvF4ZDJ54jK3QZzbmrdQVrowg1Z4gz+HNWuuxW1
rinUesZCMGrMsqRVwHx+N2FUDOS+1JRqU5NGuH96RQInXOVPJzsDw5mCjNRTH1XmKugvJ+j8ukbv
/alnZjz67tTi95BHKD1AyXxECKxr/D6O3Cy06ZQsu0GM5TaLamY3XiQpewu1qfdlF9NLyDWoq34/
T8OPFQvt+qaKOgKdoqHQgxmK260c9PQe0LLyM1YU9zafE/G5Ma0+2Wpemt5XWlamgVCN8p0qJpkH
DfvwFlCTA+kR+uhPoxlsJaxtr3gAvdwi9GhrDdrZ0cyVZHan3xmTI74ObUTTX5ZTYexoLVQ2k6FV
QiS1yvQJZguWnkWlL1erdUTv13WRfMiTwWkI61mI26Ux8W7SyNwQWMYsrNMauo2La26/t8oE8SjH
EO2hlw58FXeZ+XNeZMzfMzSu/lyEYid+a0r0KzImZbwMg0FeoYA3ifR5eh/hwfsx0s3uBx0IJL+r
fFL7wGmHSaU+/9/sndly3Ea2rl/lvAAcmIdboAayKJGUSImSbhAaMc/IBBJPfz6U7TarSJNHO/ZF
X5yI3W73drdQABKZa/3rH0oRXCTVZJmfwYgqYhOopW9gHHOTGHRvqrbwxf0yjh3Rj2BLI0HDsvlK
EIq8BScjRQcHLzsPZZ41uLPEXnM1GCK7qbzaT8HGMg1qGG/oxsiTxf5a1tJ0o6Vr5a5AJVXjxCWN
n9A0xzgMhqly9gtgiR/VssM++tEG/0wDfV5hryQywHBvtfKhN7PO0OpiSNp2Kud2vzAZ2dtMSaK+
k4BJS4Wr5GK1H1++3nm5cn69sx6wWqhAVYsTVkExcklBZoTSM81XitDzOn69ClU8dd7KnGI+cFp7
Cd/PsnxS7b7uugDdaV+igxqZOm7AP7398Zb+f8kAZc1YiWCsiX+vGSIYdP3X8l9A93/+hL9Rd+cP
GhGqYjwMV9IS7/9v1H2tE2CMrmxR0NG1r/irguAf0P+BI9EKgk1QZPxTP8Ccw3AVMaanQ4bBlir4
nfrhT7rO4/oBHh37LoLCFbiycRs+XTn90tXonAd1EeOOV4ZGaS78m9snvfmw4HjQ7lJfT4LtnDVz
eSkGjswdAF+Pr70JLWrr4Ft6sGZo37tyyW25nRWazQ6uLrngH8omnr9Ivu5fnUGgDcPixnE3uUt6
QaiPnetu9N7QNq0IZlwy82n2IttanHo/GCaJBLGBz+L7ysy69J0oDUGirCPRViWTy0FrctinIcnx
Wb6xtFhWlwixjCUq7XbAfD/uHI+4Wqhx26JoPbFZ5tGaolmNconYBwx7ayxJ4OKLnc3DpSprplTZ
oFX95Vwrv8LXubYhWAlvIhTEBc1BODnn3bZJ9P59P2jNWt3Xbh+hXjHvSNcgqDo+opZdYzRi6yTK
0Pe1k+ggm0eUE/1jnnKCkaBwi3ERSGinIygyjvioFRtDtu9W2LRMAhDU7IimVvrSXbRHjLXwgnaH
mRfIa6lZ/VV1xGP9TJv2XV/1TjR0g7cmcs0PLiZGD+4K52ZiMbuILJ5V/y1Hq90uGdXHVgwJKklt
aerrXMNmYkNz2+vvMdbOxMYFRc+3NhQOFsO0gssUAeDMpLYUyJpX+Bn02b+eTYzGGJKATsOc0w8W
wUKM+B2Hkgi9ytvFiCuOLQ902yqIJgxdq1puNZF7eYj7X+/v2iMuDvNhYWTAu1A+qHnapfOwLVUA
mt4ckXWN5TDv3aSigKnNwZ0iuQLx00SoG1lwKz4vXIe7JVtbC50k401XOMynEa4SsArmP1H+YJ6X
KDGNNt4ZGGxAGZmk/aOJ+T1bGxeu9zj15TAJspSqxB4b24maUeuxgQblS0IBl7GKxrxevsz9mqPj
CUb5N4Y3mQnfQ66s7cQZ8rUncfTGrGbvtu+y/pusswbu55iQM+EplYaVWeQ3AacQzqWDvRz0Akfp
YCpxFockIiByLFNFPVFCApj7RJsjnxibemOlmfNOK2vvhmKie+eljv0QT4Mpowo75retp5ftlagc
F96JNVXfR91QHnMD0/imZDxB66Ccb3YaFMl5S0klP7Sc5t+GbjYvEqPPaRJq34W5QU11yyrByKDA
K3KlOqT2uNN72YCfj+6ypWBU1xoszx9NHxA/ktB9/Mhcv0ui2UQzHnZVX33Amk+faTxAYjbVNBrd
Po697pZJF0Ut7a7nUvTrw4VYtFJcZn1B2aoyKGqVM+nWdtBE8NFMfDVfjJKUghD/sfTe62vz57TY
yad4cHIt7IyW87vLixbOTNXGYwhAsKgtLAthR1ZPwCyzO22Y9obdBmgnAry5YU3C8gGZybtbd3ZM
sR0rw3sYrToVEScpPLy6xA5j1xhZNWwyR8cXATqUfK9ngVp2ZREkPJZK6JTJpkCnxEZAvTinYgJI
I9453TSOYn8aek8Zm0Y57A699FkovrK1KZzxkSX4VjXsakWVGPdjV9MKzV6h66tUWX0qF5kOGwQW
wHMqoXeZybaBz5IM1tu4mWtcK3qC0iIMarOfzjBNXrg0TW1FXkGEA8M4vbIjPiLrYKW+mV2j70qm
0HXL/AptN/2HaBV2Luw7jAx16SCaFQxbKdRhx9xhAUMbZPtoiUOSUF2Mt32rVFsWmemS6RFoN1Nv
lkjebb+6H1rQMfq4Xtz1qa3/gA5B8agPA6aXdbK00ZgtuMhLR6N6TvOhPpTIVfWdrGyniHqcE5pN
11qtt+2YcBH+XJf9Z6X7GHHklnCvDcUkej8b04I9vTerCw2Hns9L4EzlfhLD8qXDwTN4kwxdGRWq
QMtNV9Di1JZqJDgxilSA4ZrW3Go8aorYVqpfvVN3JrCLTY2aVP6c7oaiwdWRrMjxTVH4xl2dLsW1
ZIbwQS34SmzRxlABF2ZuYSHXYuAS1lT+U+S7k+lsjGmc1FbxkBYOupzBp5RZ8tGh+Wx2i97omOiM
Sb8+Jo3PAiIaH67UlwXSFR4RORbqvtPuyNPJvtkQx6cNLS1fREcIKPcOTe5r3ufkJrd8qeBFRcJB
oHwdmSWefOKtnBLHRtvV65dTlwzajVab2c7MyqlHMmqplHdnJXG4BPbw3V8yCvZC47/MNoRvZuCX
PI2xnnNmZvYoPytrmS9X/eYYaYVuYtBbaoADlRIEb44kmT9U0um1MI177IETq1nSjd0K7MSb2hYX
48RxG6YCCiipR1JeI3msZk79iv1k6cYOkp47+e/m2NS70KN+zTdyTBWyHewyZ9r1fLmqunb6OXcD
AJ6G7VD8hthRewRIc7DXsxgc75Wy2wu9XMptTiDbrVHY/EZmaHrKX4tcpz/TBm2fSQQeMB/Tcdoj
JRm+TfqyLWhGZ16921Z03kZ2t2D4QyYe+ePE+ZBP74SM8SfayhxHFiRQRR/5KNqcKAaJyLcdBsYw
BWZ7TWGYzWGTZuWyql2bnHCgZb7v+rLiRfmT7m1dSpc2aic5e29qIZ0gYkpZa5vcbmrAFkctzmVX
mkyRHb8KnOseUOdaUNb0Q1TluTGFmZkMP4hgR/Ut8TvwI2fEdwLnol64b1McybvNSMfzIckWXLlt
fQTSbw0tb7aa147QCgIBq7M21vPMKBSm1phgkmdZd0i3LspSauW+qhMD8kI5uO227rS+iQZmz9or
UPF5EwYXELU+HxbBHZCYjpLUR+yvrJY6r32xLuqJZRPhQzzcjqon2lSzY4xv/dL6s+37rZ7lRf7P
CVPoX/lE6/X+I/D579DqHDsOur6Xepa7lSa0NiT/506UX+k/TkDPf/6Ev3oW0/4DohlCf5w21hDH
f3oWU/8DGbVNp8lc5U9Jz9+oJ8Cmd1SFwWvGKsZaLcT+Bj3dP5hMAsYyHcezBOaP9TtNC9qHM9AT
YJUmAnv7o7gas7DTpiWvXZyUeq84pDGpLDQFpXblEORr4Mvu5NjESwVDt53n9IrEZ4g5MvHJ4KL9
mZcrPn+hItNbrALgP6i1g4Iv2RHrWqGihJ5CeeOTR/9tigkv3U1TNs0XAvLNoVOJfKASTb2NY9Tw
XajEMQn1nar8ns7a+Gm2l/xr5o1sAiAJfQ8t1uptinXy8IqiysYNpr8J5q7VpLkhIUdJEVZd6dSH
3EGPxF9dgb8UU6r3QKduFzViHrWLpi98B+vNGscUnfJv78ZD1dMJBP29ZhqzGw2qg8iaS+zyNwmS
8Z84UYluUzNR8JnCGB50bGaAX3vdwV+1zUV+rQvVsMuVhY23aQq5FcG5RiHg1UPihvA+Wxk5gbW8
y+LY9SPU+bINVact11Zb6j851bwHS3rGe1Flwtm009iNoTvgsXI5xhjVz7Yp8j3bqvGJndPOwpRh
ox8GaPHvoX7DNfJMob8v504TsLBnd7jooVDUHKx27W2k0ub2soi7YriacV2NoyZpExtGrh+/Sxtz
qaJexLhLClT1uNK4uUOKt4OSnhrMS94EkzYfVEW4EqR3uQbvmbwPfKiHDceu46Lxrgs483PA+YRD
K5MfghMybzMtXUKB4FaaCafKpOmJA5kb0SLRd0UFTb4XmkU3TJGd6fkVBi4w1dnCwUUdTNR+CA5q
jZO2qW+s2Wru2V2N+n3n2vPX1NSzO8/kHA0xAneJ6ungIe3wDXGJb3MFLCertr2fQHwEqgAVtskN
kq3lhpVNLdPog5BR3M1jEZpGZjSRMGO5y/FdxyjAQ4ERae4cf9CHRlL3tvrqBT4NPmC8zy0R+/pm
0qcrmOuTB/LXO/e1Lo0vHRR6wjmHtuEpWZp5Q/cG95oWkAfW1eVADWtN8S92ZgxW5mbgQacsN/6e
mdo7Wdvth3GYW2YLDNa8MDBGCOFQ95JvaVGQpWf3zLhccPKDTic0R0FWzsUF1SW9iU3uvR61a+Gf
zX3/tqEU7qGbaL4Hj0Zr3Q10OQ+rsbgvnR0Jqbj/NDV5SBsDDngTetUoPshMqi84EA9zqEHWf9d0
0/Rd8ypqNwtW0NvZ0pi7kUw9payfZSk2eS76Pf4ZU/qWQq9gjFETqAOjXVKeFaUf/0ig8kmsPsts
wAvYopRRkwp+ZW1CqnFhwI4JXX/s2QQ6V3bOLtExaYgK3XPvp7oRxM8iJAreprjEVVHdx/ltiUaG
sberD++WfjbiaLDjhQzpoNDMLemn9u9Kkhl/Y+zAZ42gElrd+UDWKvK+Mf28PNhlr30o6izeWmoR
W9h49ebRcfIMqrqimI9RpPVSmDboEBcYuTOTOt2Qh7b0YbSI8uA0rX7IyX/dt4TNXKIG6aI1y49B
K7Qe0hb+xCI5Zv/fRJzHCyM9RMh5tFJcf9ijSmIoTch9flUezFwTWwhwU4hBVPyKDu8cXj1ehTE6
xgqMARF0nl7Fo23BcEyWB6Um94e1ykTIA+k+xbBPXvGlOMeL/7zUygNhmAcWeYbk6gJHEcfkUnHQ
mzvqS2vj+8WPl1/Xk/qL13UcXFpAfjhRrv/80VPz0yXHa2/hdbHWb6dZmGQQW94cEfUgM7hrbGSv
4O7P3RdDylVa51BVnttgDYMBZDeV5aGal+rzJMrlysun19bhczcGMspaX90vIAic3hhaeKNr6ox4
bql7OyZgdRQoxV8GPWC0Veib336QrAlqJJjRq7HO2fJTRJv6VZZWB3yR5mhZyo+DVG04FvIyMPJf
L1/smY8MNofOWkf0j1XqGVnHEa4Y9YCIgdjf0Bg2+8Yu78w0qZAA4EgsfRivAbqyl6/6zIuDUwa1
zKReh5l09mmrAAO3Im/LQ6FV/qdWxuqCVTnXr1zmySeGBQ2OT0DaK/YNtfH0zSUjA6UWsOZSOtxQ
42vZNWSy5tLPOuf65Tt6MjOnfERhDtlcd7kSTMDTa2l+PnmdFsSXXk1zFM8mYqzZn8dvbafHl0a2
jG8SsxO3ejpb1+vo/RZydfG1b1JOjlFZlwHQ2b6q9OH9kLbuoUxmfYcdYVaFNqfSA35v9m/aHa4/
GX4WmS6rIzW+D6c/uWztFT8YtEunqJoVJOp2U1yPQPFNv9NKwl2DtEou7AzBXCGW9688sSeLgHME
ZhOW0eiMVkbj6eVrNKQLiVoYCGpdCTpT2NpmNNxkH7dNf22Jutum0PH2acBImE53CIeiv8waq7kO
hq7+WmfkxYVLOb8m7jl+0acnj25TePFFGGgz2TNPf9k8Dfls+nNykJplblPKy5uyM9xL1QzF9ZLW
3l7LcJsnfxewP+zRQoYTSN9GTiMU+ZZ6do2tyqyRUqcVr/S5TxY1tsJQUHh4LvoKdNynPw5dqtsr
d84PFk6pEf5t8wfkAm5EcWtevvyKzPU7PH0QnE0ksxBHhqXwE0/QWFM4cs5FfSAXrHYoUefy/YzW
bscXMKe32M06wFJuWb6dxVBXWwwQve+F3o9qP0A6dA5pWqXOhTG03b0QifnT6ORyJQISg6LOx+4z
sqDh71wZVJ9Hss8m6PYQGDZl32ntK+PMJ8ttrVwgDmBSiO6EhX/63NI+iXvkF8Wh5gVFizYblz27
w+9uOcfthtxkHY8GdoKz/bQzhrzI8EM64N+tX8qu8HZpbRUUyIv9yg0d/6zTtwMNz0RWjsiF+eza
HD8+cRdGaY2uMGjppFPAlocMSaYwGr51cOIB809GS7xFXw63DRjhV7camExPHnYOEXqPXoTSzNQ3
A1PurziTq7u6iNF+eeOQ3uXuTOIOk3QsH+DX+FHXk8wSWUrAJ/OLFexzANhDyhs+24U8PvgDMq7u
vWwspk06mKmDMhGtxaYAP7uk8khRj8wUATsD0L7eJKMs7o1qodrtW5QC7H2rXML3icnVAzwAwryK
vY8oswESJzm09mZwMLiLFjyX1c5Jpri5zAYit7d1m+vvYNyQ/22WbvMmRlFcRZ7VM8fR0EabYWF1
TXJo6jHxIkBkAWnAmsaIJtKkZE+SmRhTN7+n3c/fweEu2h05sYSYJIiq+9B14gVijG/rBmqAgQlT
OjIe2sSOuXr1dX1zRQBj88qR8syCRR/lMZKFuQvn+2zBxv5gc0zm9cGZjeKTAx/qnTWnwSvbiblu
ZmerCAcK6KaQFxyCP85WkcHh65dirA8q4AASVecuFwVUqWFnphg6h/yt/Bx4cS/DXMuhRhXLKp2h
NRnyA0ADLX2mVDJueog5PaIOY2Y0OWjGd1jGKoPiIq2f8A3hHtP9JO99oN0uLERM11UPpr7SEKtf
C+rub1qDJ9Rlx3IbP49ST0egBFIA2GEdYlxe3tuebqNAR9Dm/LX8RvpwtsdXEo2879j1QdMK7VPJ
lyQjd9KNrXI157X8kecuhrEvQkv+tYZlnn6puam5ymBgd8CXARR7zknERnnPxIfT9+X7OuKcp++T
Qg7K7OpqBG5wbg7jDczEwVCqg2kJ+6ZRDTmKnTW8RR6OyE1f6uWSk6/ZxNpUPhi19EGpSnPaEYPK
4fXyj3laOsOXpAQ7onj8qWcP2cuD3PAz6ryFI2qM2rLUNwr8ClpWj6a99Y3hleX89ElTO3M00jXS
h1Cvnz7ppoROVCi3PDRTZkRaAuhgVqIPBe4qr6ygp6UzukI+HP4PiYR57otnTn7VI4WuDgjF+o2p
3tbwt3zpQxMbV8TfR0SusOX9HzxT7sxjY2D90hif3mE56Ci3LLc6JBk69lT6m8wtbdRq9oNcRwcv
v8GnmxDGghRDiGlgRxMOfHq1WmdbrDO/OlCxIo4aLNBP8ItXHuUzb209wLgERzS0vrM9aOkBw4hz
bbEcYF6MV2izzyWuEgGv85VLPXNDsLnRq3owcIEwzrorAc2yNDXRIhue59vMC5KLuNBeizJ7ZuEj
JdFxb1u1sdB1Tx8bdvaGZmdVexja3WhIHlrNCMyeMw1WySsL4pk7wgKafZWHxyM8vxYGeqR5Stke
EnOqd51Ig12qSnX38kJ4KkmAA6/TtNExuLSnwfozHvX3k0UJERMgfpCKahPghCiByiiHrXAaEgpS
c/5o+l6zD7LY/bagf9zRfmjXTT7mG20a6u1ou8XHl3/UM+sGXS8nMSMlRj/HYLJHv2nwyHRywTEP
fdnTLTEqCJ1KCzZYagS7ly/1zFNmO2XQQF3n8E2Yp7dv5To00CFuDmmOG0nrdOMmZ274yup85ob4
qIEaKFNpjc57ogWUuV56k5Dt0UiiCneiu8pcgr0lcve38SfOe4OBh8/Zj2HZ2U4pvYwJttV2B83h
JVK0BVEFbBspQ6nty89ubUnOjiTEIitlDaslqHBnn/fqoSBy2XQHe1jciy4d1VcI8vavdvSh1jp8
fw/K6sTvJhpwY6ukcdXJYSXE2Xv6yuY5k7llTN3ByCZU29pkbjVNe63if2ZhAKqtR+6qaSdF6vQq
ZanAm8egPWS5xBxFW0w/1BQdzSsP8ZmDHbdK9EeMwdb961wI1wyV3wnIUYfAz8R3+H/DvaWCxgVm
LzKsm822HUOSrMwGyFgO75UWQHqjnLbNTeD1xdeXX+rT4w8JIucQ6isgRaygTu97Ih0B4lEjDsMQ
lAeSVUljGnK1rWLVd1GMOcbntvcnPGJEiqPMyxd/+p2sFbFLWPw6633i39WDkg/VrIuDQxDujrGw
CEmWHqJuIQHl5Us9fb9cChsOfHZJMCaa+vQ+B9MVUz254gAVLN9Jy5x3jaf9bnYcsg2aobWUYJwJ
1/bsKrg2MeFrE3kojal6q3kLu+swOdb9YmvZa4f6MwAH4BueyHz2FGiuc/ZlSMvJh14a00ES6Fls
JnMlkHEgdldB5mQPqdcrhohCMcYaAaicbb80zkfYxtb7biCyrDSrEUJRirpVkcd6+/ITf/LzAg5O
dGWwbdjZwYbOtibXL30/hRZD7ukI9Qr/2KoLM6W7O0fJ5WuZz8YXD5aC1C9QX9tXmvIYKzVjkP2S
tg1ZAs7MRdyr7JWsLqBlXvbjnWz9ZYgbeVecgIgOzxZ9C4tfFNrSH2yrC0hulAgJtvznb15SJju/
HCEeZcJ3PqCPs7NNMGTy19L6OTYOMMxg4hUQt9Fp5dZ3Et9KZzvIufuw8Phv+8Q3THyWRgZKk1ci
dyO+JrjLAUv8bQcZEEIRdsS41blKlG/7ok8PJdtq8b4uM5wYO6V0aBrOXKEG8wjKFTSs1wacul/L
qOzvMNihtJWVD4+D1NMZzaRVwmbFlzvXtyCi/bDtG6sot2nqtl0UpEQZkuScIPOx46kjJdhq1j50
1D+MVgqGoLUVqDELbZxDKD7NhHbEx0dirmNyiWtsjYaVhlEeIOzpAMqtNnzJoe9/mIemayOSBwbC
o6cRRhywIwm3gzOpMky6RVBQKKiTG5GPjrFt0gTDqkYO0J+caUzkNscDYIYKpSCBZqZmIUiYTeg5
cyHEuyD2ctyjhKl/JtMk+2XBp0p/1okN6gCHvSguSw2VfwRTD+8OAjyvZOOXMHnSdQiTLE5rMV9K
5Z0xWfhnWG1q36s4ICrNxW/0QgYGXuKlbWHRVKZjC6TSzHq8GeMW5wkIuzkWtsK13+mkkuCbyRxd
vvHa1PowxwEvt8F9A4YPDUwd5ZULR4ulLVTIYNL51Ck91WAuCU5iuMLykz1Y7Q+z0zOH8bUdXHpT
m/3oxhytkCAL+Vtlzng7obyqsQsz6uI6d/rUOlTL6M6gtmr88vLHeb7t8wWsqrA1sYCm50gjf1wG
us0QYEHViYNfBupQFFkZMaA3PnTLiBRBxs1t19MAMx+2Xk2pOf/4MKv0UMWhdePvOHlOd2JhVXMP
x0keRD7E964k23YsF2OvdPzbhqFxL16+1fNDBjQfnBC+Ev0C1z1PVAOVWXqb/fhAaaFdYLWeh5No
091sDD9evtJ5u3C8ElWQtcKtgFhn24rq2gwLEn064GDXbAuXpPMgm8nzxoLvwYaZ8FotcX6oHS+I
zzJxR2smxPmteUJfEq/2pkM84kyZWsFw5VWDHYombt74/lB9Zuk4V9XiYXSjzAANSDntFzbMQ25C
/FBwCt5gI9i88sPOK0V+FzUFnpyM2fC/OB8vp2SoMueGZUGCMIG/8PY3czM217jMotxzc3nnFa9G
XD+5KA6TpmegoORtc92zCo4wJ41I9UJB7Uj6ZqMLYeZU+H5TbPTCqu5BsehwNE2Mr5RQTxbYeuGA
EgZ/A2pUzzpd0GRMZrabpeowTC28Xb+23Sg2CmszZLb++eUl9ty11oE2uCV3iDDj9FqpU8bIJFt1
QMc57tt0Loipa7Xys1Gmcv/ytZ7sEdwXTmJwBKhlqFfPeiVCAFQtW2ehV+oRKdruWIxvJIxFnGFI
dsYlJx+bGqJo2ekR+0jxu00+wnnmtVRRDhNNPCPObnYpl8aWrW8e8NFRD87UTpvcsZrL423+7/H/
/juZfZAqVkXvv6uRQs7CQpTisYgZPt9f/7u/+Hw6ptoej5gd+ej9xUfzj4qZ/5e/9pXMqRgt/0eD
pJl/rBbvK2ePchpge53I/s3nc/5YzQ5ALZm80d4gTfwdPt/5cmesyeG0jsnWXh3c4nS5k6Idj5qy
mr2TjvJmEcratFre/XCL8tujZ3P7Z/H32K36mMr2uCZklwI1Z+egmYZDdQ7I9UYsisXvlr011f3D
OBaLs/W1af5m1Ek2wKfXyhsMmah4RG33nzAEhkpVNcUIJwmDWXSnaUqhjRtW5+3qhRwEqMyxBEEE
c/uO6gch1Vza/kENHnYr8YzSiT+10DZ03PIrERZ8Sy/fE6AGz+f0ptakmdVjfU2hQhV2+vwY97Uw
4Ctz72EdeWNBYXpQI0KgFdzWtjlEMTdiDdVw1qskwAW2Tqw2NIx0+QzsLKD/+d1MXHrjdkY4+nXD
3GUW2RilvdW/bRfGuGhm5vhtQfdK/CtU73rrLQkJMJL/urpkwqje176mupBkzCmGK1eSxVH3SMt3
o+c3PxuZdGh0/d4nLDqeCyBsB9eMqHJm+zMMc4punNiTG7hlQ7YWuAX5vYaj7RBVGMVuAGvxwywW
5g9emW9vtMQbfylp5h9hZk/LDkRCw04ZEbWOqWdRvZGgANY2VnYah50z2XNoehqZWfYMuxrKup0e
/GXw9llSVD/EaPrvAAyq7gJrX4TMnegEtqmKSPAoLsuUhC2jims0RzUOE43hrydcVRe3JjHvTJFV
b3shx575lSRsorgyST9/S40qbFRqFD4MRxp1Q8Rc9r2oagdTCQ2bro2adIQa2JIu31M5BJ+zti1H
Rme58U4sffnOq6dEj4os9w2UzGbjUBNPwdWIs+ywq5q4/qBAEtptaviw6ERb4Mca8wK8yJBmX4ez
hrsXWaQNAdmZhSszI/i14FuCxiwjTQVztScrr0ixpevzra4njMeLoLNvm6P0Vj/KcFOrKp39eJTn
xg5KXV4u0zoZS7lDAYyU1zzKeln8883oVPGaA7EKf/20yG5GXzVXnkR1/kb8qRKeV8Ww0yl5W68q
YoEEadwhzMRdLy0W+wblidpDhXfGy5zcQdZk4/TTlzbL5vpb0C2mgjTrxuJ9BdXL2WaLlf4yERb5
O4r92X7X5WQ93CBfGIgv9OnPIm+c7Y86JnTFj5LOxCZ0dMDR56Mx066GGUN65odtOur+u64yevdi
REx0R7ziaEdm6aVt6DGMQZgdl1iOTEsaf4TrGXyUfcn+MAxEb4VZmwbQQCqym2TEN2PKG1GJuNiW
XuLWEdZsrrwwEEyY+IUg1L7LLIPG0VWLWe3scVYWbq1ZVR8Cp1BBNIxZdYOqEsan7ovke+3GDt+L
dNI+1GTJbK5tFBvKMOF01lnjrZhTvvPfPzX/lQv/mAr/cg7Gf+fZukJhnHf/frY+/DwS5quv6H3P
zte//rd/n6/GH4DaoH1wFkCGVpedP8/XwCfnwoWzBT1M92FLU339R+ML+eNoEoLHkU2lt5Lw/j5f
LVxHYMqTvOqSN76GMf+GseZp/wBmzGHHUb4y9tep9zkoxmzGGZWb6Tsk9d2eNnzajbOVvMJbPIYP
PT6F+NNpN4GMgd7XaNKzU1zmQTEKBRO2G5v4V6EhdQW70O04sm2I6bQhwvMY3ef2GFWiwhAzLvTp
Y22QSXlpaXh5NdkE+92YO/Ul1pts3Ba9Lg/BgHIY66LE/qEFprIjUSrSe2zaahyysDMzNnnv+fkW
qhcKNk/69k+z6rJPZCRlbwQGmpxKnWYjtYw9DeVSnJS/RGYn33xoj2/o4cuPDbYLNbYhFmckQqyE
DNKmXnAucL1ChERb+FdmpeU1GXWjumsRJaebLDbdj0sea0MopqBGe7jgdbtZDB2VEKHQJb7MZI/u
YJM67UWu1bX21qqH7kbPLfOD4ysQJM3UARlMq9KNL0PlyPZBkBfq8aaK6mc64+YdqcYIfsSVhZQy
LEWVDtGanf7z0bp+pi46XSJgmdi2UYPBK2RECpp3BuLl5iIREhrWDqP0+iLlkUXVavHyu1dhLTMD
QjfCeAqXqNM6JbXxLPFM5e2MSi+uGzkah0Zv7VeQgPOGxmaiTH0XmCx6vHvstdp8NGdipmyU3uh5
kMXb6pZ4UG03aYm6JsQj3eALnn6OM9o2W0qxe/n+nrky7s/YbAG6UFKfW/E0OY2wL11/ZxvyAlUY
J3trfXOG+JJ0lus5dsHXIQm+Uv+dvzsw/bXmgzFF/8aQ++y7M2rfnNGeOrup7M3NMs1ql3XGa6kf
T2p0hvQ+FT+9GiX6kzYxYZqSZGhEd0YPv1VLMv/byEe8QzCXvjLseuaG6ALdY3/BX1bzg8cvULU9
am59dnZ60YrIKmf5SeX+8go2xu56WjSjJidDW1+jTHAhP6deJKK2espxZwe6vqpBlqW/j5upmMJu
mIOvCDEhmby8Pp55hutcfjWdZHnSiZ3eGPLuwIfu4O5iZ5kQS/T5Dh602pajKra/fylzdTsHnAEx
Oh/SS7fuSULmUtKzBIYwCE1zDHmxukf88PKlnnuQ69JbR/QQK84tBB2CcQwXBHPHflVGpDWaX5J2
wEMYKcrttNBM/Pb1mBWyg9DPMtQKzvC3pS4dRI2Gt0PpmURJhxzURc24X4WSGyvxXqOOPHN/x5kZ
nzQ9HKf86VszJ7LGYgCwXZdnHmGefb1bnZmwfhAM0DA8un/5/p5ZJcyXIMqbeLrAslj/+aP9y87d
nL2N62G0Vz80HcL4wajVZ6jm+Stb5RM+2ToPROEHwZBBJeTRs33fmHpCzLsy3nmz7D8lpcvIooVZ
mETl0DginHB9QjFqrjZZMSMQEkrmedCIAG2ydFuUUlQXXY2ncTTafu+EPkGIbeQvjPmj1BjIhwva
SRObvhXYgTpGoq4azhlJS+Mud4FrDDLqO6NZODYr+J1eYSEEmhut+M7mAsyfV6l1mel988qdP91j
eJU6C9NdKyO0K2cPGZ1Z29mat8ucpcQaWo34Eww/X36Tz10EfxeElNi88TrPni6TYcDTBL9nOycH
q2yIxlMu3mYvX2Xt7h/XXWue0Gpx6fvUXDbn6+mtYAxQkoRiBbtSTcPlVA4a0xqhb2dHyFvVxMml
vXj61hNmcufJV0lcfOpPfgAIEtgoADwTb07d0x+gWU3As/Oy/Zx1YvpiZdS2mKoV3niJ1EztAy2w
b4zUdz9Bd+u+1UcvKW+1lUp6PAJwQe1vOlczpAiNoxEVOcBK31fFalAlR8WMng+i/8mWWj5UKp7f
z1grIjivtV/Z0epKVSkNWB1IjzZsdcNq+3r54R0tsnRr6mx0bThnlWqMjYshx33rMqkZz23+L3tn
thw3kmXbX7l235GGeXgFEBEMTqIokRL1ApMoCfPscAxf3wvMrCpGBIth6sdr16ytrburM50BOHw4
Z++1LZSlWYi5QTE3ywuAK6aQ7FaD2wBlhM8Fokbt/XKldrktjAK4mSvLyzTBetltSUO/1u3S2FkC
WdZt1rfyR27DA0PuTv1kfMGEZS7XRBA0ivZY9U0E0lttaDLldVIFSx73S5jWrX2nW20PFZQzusQd
KMxiowxl1m9BdC0Ce1OENNYVSvMA3M375g7TEEOE6+xHwxEeN2KhZ9djXLhGUHYpxIsiah91SrcF
594BBIauqcVX8kPHOXQKxS5A0lRzuSXuxgAnR2XierLobfmSzpoTTNBtVoi9rrgbp5HeDchSawps
Ex05r6OdPpjL2IgAmp3xVVSmXn0QkVoCGgDGXfiRouo3wnSEEihl9Utv4uZbRGPgc86+hKSwjIB4
T5k9VGFtauKBeFh7CBYnTn+OPd7xAJkGbPaq8FqSj4exu7XNJDHCkjN1FyKkqAggH2wa20grStsv
06i/GSl4uURhDxKWelZTcMpHywKQMldaWMLLvjXtrkNdYmt1yj0DfPulngwD5zQhvK900ztxNcb9
DCO/05ednQPT26T0GWDT2BhRAuoe/RBIWgBX7txZCyUXFDhQN/B9qnODv3IWBI3EtZ1uWwsCPbwX
wqH8bKiAegAwkrd9kXK7z0vP/tnE/DGF1THloN6VD8vEGcSpWuTL1USX2BO6VfnEasp94RIJpUwc
Wtf/rKKl6TrjpwQ8VA8BVZs/FBHHM78sS9bS2hMTdXst1f04deYybLQSqEsyR2Ppe5VT5IGHwxIQ
BCHpAFNV0P/bpKRgFNR9o98vQ0aVMBMjOc8JZIr7qRm6ZKfJrI02wjEi1OI8MLqgMtc4OnlVZfo9
FA4PgHsypITaKC6BoHlUZoGpNeXvHDSqciuMurMvmbl5edeqk6fclAoypkDjeZlB2woZ77iILeWF
F3WgU2uvx5sclVUqdsiKJ7KZGgiuQO0jDR5Dhty7v5iy2WXnmCQSv48RhOHug/Ai/d6rKXn65BaJ
L640teeoivKYZm2mfY8aZbJ9t5jG6z4eyq9cjpK7Rg5m6Rt1nYwBrNi+Ro2u2l9xW8hHtYt1zu8r
GaetV28neBpIlZE7Q3/RYynSDfYUZl06TfJ3Bsvw11wazrjJ+IwuzWxo8wsAbXrD/zPHzo1sW2O6
85grcjvnpaxDHlVKecmaDHELEhHsQpEipNj145Q/dzx5B8RiHru4jBpVfUqpzipnznGnuxU3JnvN
4Fg3EaQth8s4Fq9GolEgV2skSyyPDW1rN/m5AvzpbsXZZb2X4bngdHpcjGioP66p6PEuN/TuxgSa
fz3NpRP7buSVn7C7R1Byiqr6VDvpDy3qVHM3xKXxbEx6Kq7byc5/YaCIy1AWLBlbg66vhYJdj/Hn
Gu58O3gUO8LMVSswJN0c/0DxxL3PodL4FJXaQjhzp0cYzMAFPRCrkT7XZj/fk2uTf/WcdDlTFTl9
qPS1OIDTMqQPbx8fjpU0ibLBBIHZT6O9MzLQhgOMojPhdG+OwkPF0smhkEbe4atrieM10qVIdolY
F6m+SAJVS871e98chTYDV1sXaeVKvH19MBUoyNCQ1eA83drwcTWRcW3m/ZnjzFujgDBE/sl5BrnY
0WmiHAvWUUtNduUY6fy31g34KKoz6qCTUUiThEsKQx5BKv/z0SFbTl4UmzWLWgkBdNM3CFqyHIvT
+0ezt0YBz0uHlQ4nws2joxnozqTJMiXZKYUdsfB5yrdWzDXFxn8XJd8q3lBePDwB8gPgPlqUHrhZ
MgkOX8yiGDaWrgjYgizt32ldNGLfCADfQC4SeGncb+M7rD6y9kGeuV9j6EG2bzWT8lgA6Rk3wL3q
C3V23MesMd1fs5covznPzjRlbJNkMsr/S3mldkNLIMriOJVfiHRMw9yuy01hG8m9QTVcYyFXPLgF
iEYhLcjBwi2kLXgrCU4TUDo8Lf/UEGxWBrJ05E22aN33vCW4g+xGEsD8xSIxficTYZCV0GQgsSnI
pZpPW2L4GIu4qPyloRC4ef/5re/64ADN48MgvzocLZDMx6nqsysceBoaMSWS/ldlmvVVXmXLpVLn
+plazVtDubwlg3eFMvT4E1LzTGuwrKQ7q7AJ7iohDKc6UIyMVMgzc2+9wRz9KlRvTHKmH5D0Y0dS
lTn2OPZeupNteSESG+64tH5wC7ifK/tuMKwzK/sbPw2YDw4y7gJoPI+Le0qbaI1r9tnOyggQQim2
3PRF5ILe+mN5NzEFa9AFtFPqKFRUjMP5nnlx0gG9zXZNrhc7bwVlWblRfXx/Wrzx8a4VFFqrGDe5
Xq1f3at7eGealId1ke0UPHGBUZUVJJH+HFngzVFWt6OHIhkh/nq5ejWKMYlZKtmU7VIuFZtx1Dh9
2OhL3v8t66J5NBno0qMfXfGmqLuPFlVrsto2TbVsJx1WupYUzSvIVECIPVPpha9bvfw1a1axN6uy
e3p/7Ld+IeOu7Yf1EztO+qvBXudOx9hU8trQQ78aKtx3/tCAt84JqnkU16hSMtjRGgjxowal6WQ7
mplWCMcjxY3f/6lW5WUUi/s2yeQ2ntGj51iszDpZqtkuLy01cBZHwaSlnrP5vfHEkBUTo8K3iyLi
uCqTd4OQ3ITznb4oyYVXDlST++Lh/ddycmtfZfYY6ly01rSIjgcZU5OwbHJpdqIdIhKTaC8Iwypn
f4hkunWaTvv5MuAfKXD+n+4lMuX+vW2fBPX9ixr8X/lb5rpt/4e/hSALtR8xPmgo17X7H72O5v21
AjswXHhoK1/6l//0EwnqW9ErHDd5pRw2Df6h/7QTkYWsZGjX4nSAkPyP+omHKz0FZaYmTk4OHJxp
6C0eLVlJTzolsAO5H2lhhVy7iPYSPaFqC4LqV8/o7u8V6rVehzCE1wvX32NBVMLLxnkQwuPRIuwS
i6zBdBT7hITYG1Ob0Su0SQ8lVKjZtVeM7Qbw8uAbkZ7sGr2qyH8tnO+AEBEVR8SLnVlIDz/Nv/8e
eCmsoayk65dzuFzXORc3CwvhvgIS/WTSEPXBn+ZnFrPDb/PvUegSrIKt9W29BCW+2hSQWgMP9OJ+
n5MGG8LChdk1gWa6JP61ivzIcKqv7z/oN97pei7xODJgLmYtPfxdS5Q6SZ8A7HEVTXwooWBuZ6PP
n0g41MP3hzp9hKsKbT3eAwRmLzo6FNu1OxajIqt9nVXcyO1Fse6xFk+f3x/m9Bc5bAVrlORq11Ct
o18046OVer0wjKC4QDeh36TDMIewEe3N+0OdvC5EevwSg14jCO2Ty8SMoIx7UL3s23hs/aSRsZ9n
8M0G8l4uPVn/4YaK8JUbGBpUAjxAdx/XW8nFE9qianKfIe/GKmXUOLSL4cxrWmfy6yMDo9DuYEqw
yPC2jtss3eQYZW9Rw2UZiH87RBNSiNPbuEXbArKVEuWkx2Ef6d5H2u7meOZDOx0eNQFdYnrR4CFR
Wx9OSAm7t5ZTMVK8ruffqiGJME+q5UqdtfJiprccA+jMrEeyJpXd+6/zcIK6KNbXoel0csvFrnR8
JBM1tM2lT8kE9ciGK4AF7gG+Nmd+4OH8/GcUJJf0XtBQniR9JXnS6aKUI9RjzYYWaHrXRtuoG69f
sv/FUJzIWbQpgHKzXv+UV8sJarVmJvxq3OuNAXZ9mroNXgwn6Khobd9/dqcUEh4eImnmJdYbPr2j
IgEJGDVpftm0j1VEXfqYI/mXrbOBKFpTF02nC4SX1DuJEtxyHja3Tew0oV4Zcx6MwCICmUlgLbUd
uxuVhvaFlGNzrzmD9b0lk+Ixk7NHOVU4K2qmeyYvpT5TGnhpsB3O/NXMhBVx/QJWXsfh4xId17Rx
Tud9gQBQ8x03as1AzdBh+GzKuPdSVDCfsgy4xLZQ5/J7hs8jI7LQ7L/rg/C6wHHHBeukQ/Hbdjoj
8FIaZWde6luz1MUwiWqWWysv9/CvNESqi0E35N41W8B6Q59eKEPl7N9/n2+OQh/S5ty+PpSjvZ6Y
Wz0aQBTsAehNm7rueFeF+PT+IC+2y+MnjlyCXryFow672+FvcXJvrKgpyX3iJIsANt5P3bbEoXUT
2Srl+bI0RBdy+o8emCnQdvnftTsra2YtyDq1iOir2VWDODJWINRkOgGfTgJf24+KLsOi5enph9ro
vK+eJ7L7RaIdWu1H7dVgRbbYTNEkPqImLc78sLeeHmoUjW+PDutJw5/UYTaG9enxpY33CQS0X+gF
0zPvSHtjrWQdYbnC60YyxPENi2sOLhRuQHvL0hMlwEU6Ae3PvGLXZw06T02DvmJZcWzTFTK0sMGs
VgEJJygS0vvYTtwIl/lZnZXhGVcHsWSO0y/XrtX1aqAbPXX0xKV6Hb7/2t94OgiBOExxSmIRPC4F
a1k7OSKdRjI4AZvmttpeFc3YndmcT6241trmpY+O3A6q3vFGFlNbiUoWnn3rAtXxgeJAu6ylOl9P
XaF7vjIq2BNtCwta2C/oszfIsYy906krXweR7zks41u/m0+J0z1GZHRQRwegPIJ8PEf5tHc8+k1V
Xnz0srL7QxENm9gKaKBoQDmYJZ/Lxes1vzL0eBwzfjXRHu3WTbRygwbOO1PePp153AbWejC9bDz9
xvpTX+0sEaLVIia6YW/hoab9EcXqnUuiauZz44+Q5pKEfTEgmwzdTLd/vj9/TnZQbuDc+RG5aCZ3
8WNjLL0DZHIUkfeAUaqGfg5a23TWTXxSWXoGv+YenvHYrhnMoJLGhWxFXxwX8jl2U7OMDQdFstv8
TlvdrHb4/IhyneU6UUytKy8gEtOLNLLWKi9BAYxkZ9Va/jjMTXExVQZxq26nxSo6eEPclwKxddjG
Vv6UKFbTho5smodeGtH1mn6o+jl5zZwM4L/Qo7Ma92dPELYdzJLOhUTDth+IV4XQWubJfdp0Hlyk
tC+aUMkUaXIkrPTPVQIazVd7YjjCOa9yNyggBRKJGE/jcx1b8beU7NsnuYypG+qWUv4UwxJDFkZT
dlV4RfHFwIwEMQ1zhBJ6k6jUMBUWcTAKZJDblCwSiW46mn55U0sDl9aXXvl20qt2YFpQNW4tkH47
UpmVhg7s2I8+4cuqcbOkVv4racb6V5LQJoaTPOq7pGR12ikkJhFhAKQCTrJqDWgnG7RzlKoascuJ
SCEUWlCqKsuUommrSkhkFQ65Wyy0/RPs/ZrsNFAoP9O2naawYQm6GCKbINopSZBS4nJae3vefNO5
yfzD1NC4+0DZOXa8Pz+PK7DrlFnvOGu7i7y/Y2dVOQxjkqWGtVeE+mCYxNLi0t0peYPOG+pyQI3l
zE5w8jkyIlvNqsJAC0LO1eHnaKWWy97W2ntAPnJfLSQLhG2B8z4lOfyKbjNVMVWJiyvesV2cOfqd
LGssZS+KS6qMK/376EBC4FlXzJO27Au0rRtczkUgyuj5/Wf6xmcIR4+5xQ2cje44a5V9FK8vDaK9
UicOHh2mg982urg286S9U8vcPrPCvfWrUDVzFEVEDe/maLHGAOQ1biJVoGhLdYu3GmV+5J6D9705
Cq0HfVWQU7o5GmVMcq90R0/duzKXd1PtqQ8zWo4/PTLyhjBtonXEHnZ6HOmXOEHUkWv7xNDJalcR
O/fRco4PxE2eaXZwnIOlBweY7YDL6QotOZyG9EJHR1hC2RsdpYCw0IW8X6rGtn1bymK+GJxGJR/e
K9lrmz7DEE4vOPs1TChd/MaapnY/CKYSPPMl9WjVWpPjx4QJoD8ZzAiOZF6Jr84422qg5vlEdkVZ
IqbRp1h4aD6KxQnnuZ6+wwDXHd/C8P1IYAQI8U5d4G1nCZ3HDzo6ExbrpFZWTro3XxAXiNmGbrP2
pOSah85gjFRl0+sT/fBCL1bzOIw5/u9ZB7c9saOx23oyd78mIlM/IbXxvGDUFkMPU2ex0SZKCDG+
WiQdqnNDHwGuoZ54zgfTe1AUWwEibEtkGC4+2et2iAmLkUOaf5d1opHYxJSMAoPsyCwgnTaeg8qd
+It1WXYPNUD1ySdG2RP+BHLuQ0XC5ycdhuAnZWB18AF8qePOTkfDDQSyGgvJCSuHb5BlOZPiOdJy
jyAVLGEVT/UD7EMis+w250k3xDiGS4UVJTApqUGvBgM1BwIA2hDKtjPQXmWu862XHWT9qOlVlCBm
1GUfnFb2e92IYWjriJmWCx3R29oQRMbiLWMWE9GrsDdOUQq6O8UOP+wSY3S/0hVNM7+Y7OU+7az2
YzqZLfGYOAPqYDFVnDB9Ilk3M+zVZJQRV2WEE7EwT3E0TslFGwm1Dk1zNO8LkRTfSgTg3+s+SudA
dsZc7DQgK4/gS9s81IQ5LFsHx5TiNznFRb93DDT8Fs0DZGue1aP+mbT640SuDToia8keO61DFwzV
D66eOc2zBcbFqx9bRcZaiDbZA/egjfAD2iqJP2RiIdjG05Xie2/h7brRYixEGycfibN0lA5bD4Hs
U0j5dPkyA93EyAb5xo9kpENj5C5y2cWZ/UXSGSSQxRbuU9XK+QtSAvPrYivZZ82prcbnGxm0AEU6
IHgjkYXE1OikX5ukd6pA9BaJIdWQyDxk8wVNPtdKvFzrA8eknWF0cNYi6iv0Yjv8AX6XpOyji05+
UBAljtdvvQLJCgGhMYr1Ymky4SMPZ6sWrenOW1mAWC/55z+Zmel8ghsjn62ENwY9HbLAVhk9Tdla
TTzzBTje8DVaqj4NIoIZHnNXzB9jopv0sKu8+Cpt7aIMowV/AISKpPyW4kFkp5oNdQ5yu3FFwOIb
X2toBkl6y/X+C86I+ZrgVmi3c1O6eYDRhGS2VG04AEkp8WX27ax1m8JTzGzL7tzHQZrHNMmrtSb5
02wn9csCIYAfl+TTU0Of8qFUOj7b0lXIdIaFUW8tORTbIu74WAYUJJA1y9m9sRuF0IcCQ6BPKFyC
ZFYdkGsNtlTdHahC65qT4RCYcik+qv3Y577sRj0Jionvbq/mWE3JrJV94WNcSSkPYNxb38Do6Nc5
BhDinw2PRDqiBQBu0qcTpY8nEMnhJIcBwL4D5pMC3Kp7srwOX3akW9NjhLDR9qXbVcU+1yN1+mgV
bXxrJ2ZrbSqEAMK3qoryiU0zE/2blKi8aLZP+tb1Kusec/kAbmNQ0x4siC4f6FZ2JNp5fUcEX9Xf
prUyEPfjOvJJlFOUcQ3Ps9tyQMXpZ7lpsuLVa5QUaTMYjaIhi8pwQD7XX2LCA7Un2tlSQk2NGmvD
B5jYoTO69mOnk3RKQgcU061uMYZPMLr8NvdY8bYm24aD6xZ/X5BnlStXRJGyjU219OBaVkm5ma3J
w1mhK9p8WVgzssgK6GW6LdsoJyaO6wchQF1p/BpKBDhkpnq9F6RmqT+mUA0qmq5mufI4surjbC7L
sBvaJDH9jMPdvrEHyBVTuljkb4BJR8swdc3Wxok4BAAMNd7bQPYKfzJJ62QzuGIKNO7UP0s1re6m
0kAG2hVTtVdyvSJesLSZDmZcZGwGurdGj0d8xXRRas3yAQyYDXKXcZwDjU9n8t1RIKaFg5K2CFKd
0qIb0KZQC5PCJdEhHmxvY7ajd9O0janfJAvmKX8kAAs1o9S/6IUBhkWZelIsihoaTjh5djL7cV/E
YjNmTOLQ4sv5uNYIk/0YdeOAx7DRAZZkIE2g9ozJ1lzSHOmaK5WLwhgGd0fuOunqxNKhdezwbdoA
Kl39u6U3yeAPWjX8prK5fJpM9nXfG43xjgNvVmzEkBLFxy0rt7irsAqyzQinDcHXDu3WHklP2Sac
GR7GttLkVUIu648CQEyg1mWx/mEC963bd/PtjHoWfW3iwG30WEMKPpB2+hWTLnXHeb7POEekzsPY
dMnnRp/QrC5DRBZZYTr5rzE3jB9SmuJnIhf12nbLOrtIHEEEyqIo3X2vDqYRSAXCE3e0KdvMlPF+
x40d/XKpB6hgZypMxHk/anzU2lR9jGJZPHARWJ4Xx5x+NsXSd5ukU7MvMjbcInSxHT/HVqURM9wn
VfIhbSpksC6rfx8qc2YgBsEGaiB/tMQHJI2etqNETZRbliTcba0qNWEzcLypNoWbIdRUl2x2dgCJ
ljI0MSuTziUE5VO84OUdQBmglvTDO2797cBdyXanKCALILkiQX40AgTG5e9IDiqrSdGoCO3zWvnZ
mUJ7pMo0VxdRbdrKDploq2+6Ki9vplp6zsVg6+qzq0iv9YnspKipLlFd+kXj6R9Ksms4jXiD8o1t
PtH9AvzNrq0MZa/xhaJApnQ83hMGrphhMzTDtI1t0X9K4km7yxTMRewUilNtHTLLHzvXrJ0NOpAU
Hx02cb9gDSWTEwEyGDrh1sk+y0vtusiT0fWNcUov9Mqt2sBotI6EUCpvt7boEs83BOmZwQKGlCKB
0yxPvaoYn+dKEKs4yGV5VKFANYGa1AAsvaguvk4cpG443KQq37g7/F5cK1K3Nvdnh9qz1380Ck3m
m8F0M/aZZdWFJiSdehcEoKpFWDeLvEK9pjzlYxXH255lG9qbsjifmzKr68CKI8JGMBCycec4MK7U
cu4/pPXQEF6nCveqbTiw+AVIajyUBINQwpQNqMisKn6jtG+2WpOz/kDoAwjrqiMuxgrNtkMVhuR0
j2+kluM2Gy2phQjMcRabCIaxxqeo3EJC1YdvS+4q14oWIf9KY3O+FWIuHrR84S1A8kSqalUdWmeU
0rnB2tF2IzmDZavuyUsxmcYmP/KyNA3nvq9V1k+pi6QOojHS7G98PxnoaCoOLKNem/7AxT7cxZwc
4Vz3YMBYykfvC4lfThLYZdN86GkSVFgv8/ihG2Oj3XAU1yz+Unt6NBRgtdtJyadlS/mkGS+0TM/j
EApb8bnKMgLuTS/HvBhzLAfqxOEoZz3OsYaz0hR0PNpc/IA/wOnK7gz9nnJv3QY9ltg+GEq2zWCY
FvBWEi5RdLHSEb+zrYtkQ+6Rkl06egE9SiE0CX30QD06IIY1iwInjYWxJX01ehYG55wNKYDTB2+i
tRSQPa18RwPrXedjLz8gy6++J4a0P9d9r3+EhzGnPji3+fuA3RPBtKilsdXXuKB6DQ4SLxlC5ior
Hylvku/3kjIUE/93pb1kD7m42R1f2tw2Au8ln6inzRT7JAmRWxSnptL6/UueESJ/so3moYdb0Y8G
+lqv0PAm5ioMV1ha3l2TFdTDndGqP4nUlf0fXzvh0SNlgERq6at05vA6SNKubNpxcve2zTXEoZS4
tWNsF+9XBk6rgWs7HnAznpo3AhIGInQRnPcemxibkKZm5BriRbsoE76994c6LezgGNRhWuGrw9G6
2r1fVz3XQqBZLLO3t8ys3LnUWdEleupl2iEHV2JL/WWkfOXvD3paIsAlzsPhSELqGRfsw0HrpqhV
lrdozyIrg0YlVUgdxuZMtfy0voIIfFXWuVSsKBYcXd0TUeHKNaJon6Cqv62psD3TSED1KcvxqvXi
6Uw9541HiWEIiR218JUks/7nrwrIzThFpsUXtBfxQClerYvNSjH+DDd5CT2t06/qUXbnAI5vPUv0
NQbaKuoT9O0PR1WRuyXRmEWcsClVucCOdh7k1j8uiK0lEG7pkJ/J7FaPCmLzalY3yVraG0vxzCFx
3CSt+8cNOhonLypIymIg3o7r0qVKzZkSvLKX1GzDxdSVbVHY+Zny9xsfFwXF1SkIO4eG/1E3IcHp
RHkvUfaEuqVBp1vlFkdJcWEt1Y/3p/lbE+LVSMfqENVqSXmLGMlrjCKkjFJdxRSBBbQzt9w6Q49C
rcBzf2ben5aseIzMePYrup2oFQ9nBMKhtkk0HmMh0+hHNUTjD7NzZh8ThvkFfmG7BNKx28sOns+Z
afLGsyXHEEERDRsQ8Md1U0rE5oQq29ubVOTuDBBCPnZPbk69ap1pbb8x71dWGz+SvjEq3fVPefW1
kXKy2OXgRHui1qJt0bdL2E/2H/f1UJrR+gcmgCINf+7RKKmXoZOdTGWvVI0VkpG3YFEapov3J8ob
jw3HoYFwZ6Xsgj0//C2CDGs7ntP4MjL6IrBy09uUdWdc18Vk3r0/1Dq7D+uZqLAQahiMhjP9+A1F
VYnrL/I8fpAR71KPxIlJ2MbNbLgEnFUdeXMJ6EmFQ5yvRmYXvj/8yZpMkXSdm7T0UIG8aP5evzUV
PJXJcT/a9zFOFkJwW2LBhHlrzoBmBAnfu/fHO/kWGI9XuGruVMRMx0uKZvVlNkUkMRGCwNHdasxn
UdQpZqapD+1aiW4qvZBPmS3OoQ5P3uk68iopBDFAr/Y45CjzSqWvOjPaE9ae42JV5g/os7MgLmb5
9P6PPFln1qFWxoqzZjwgSz6cPj1HlbEa2Xgia56/5oVTbmVnt9tyjqlJCmqzeEeUc6yutx4tRxT2
b0AsyDaONp4u1zjdT6xusZZ/KTyWNYLCr7RheDbqfmOT5OjjqThHRT55rJToHdrfeAGQMznHBzDd
i1m758TaIyUFqx1RKi+4pPt8Xue67acrDJRK7pFgDuC8W8eOFweQiTJWurXvpoVT8CQXP2vOnoVO
P8jVvI3HAMGiTXTG0bfP/NFiXSzuvh2m7lsxJbrlFxm5OhtS3bOUXkFZPCwtDu8watUiuxi1zLx/
fwKd/tI1iI9OG2026HXHLRtp29w5u9bdAwi2vwxpmT4W+XwOu/HmKOjAWXrW5WdlBL3+9quh7Zsm
Gt39oLnDYyuT4UpT0unx/d/yRiAaLSG0I+yB/Bf6rcNh9JF2bh5xovXIo58CvbJLNaDJJ59F7Xo/
ujlrv6YYGHEgo3SkbmfM7i9B3+FbKr3kaaBsToV0nsrrhBLMj4oqRrZ14nLRQsPI7Y8Enru/Kcp1
Z46Pb0wExP7MAtBKVJ+PW6wjbRGXLrm7B2TY/HSqwVGAawHV9WuslGNAHQ+wF9dMJWFq4DfaEbES
/3r/6Z18Xs6aHcF0hKLITecYwNIPBLBTv1f2rSO0DWRhGfaFswITzHMZLW8OxVmA9hrLBz3Qw/c0
ZrqYG2tU9k4TuUSMw76YJYVYiNPnkhRPZt76qzjrAfdn3+FgdDiUTYmvAKOq7PVWNttEArswFrU6
s9e8NQq9YjqFJIKDjVpf8KsTCZCosmIXYkEkcDisFFFQQgDA9/4bemPZRVjGgZ+AxtWOeTSKtjTL
WFVxdqlKwNB50RaXGXT+K/AilO0rkW0oQY33eSLap/dHPn1hK4pzZTMgklmxJYe/zzZK9NSTzC6p
BZqXdGXRBvesu/R1oko5c5I8+RrWvYx7FJrZ9UZ1LMy3ud2rnNTzSyz9+g/YGp3nD5MtriZNgz1B
vb+pdgWpxw0d1H4iBJ6bhXvmWR+/USgMwIANA2fJujgf33qI48pnEj6VvRu34rZxJ3kT1Zlz5qe+
OQpHTM4oq6T1OMhhEeOgNBot5lKZ0tu2nporeO7nvoHjB8pvofqNOwb8Pm7R4zUeVSKm2nyILwcQ
GpmfLzaKOU4oLsiIqNjPMYnLcQ5tHS6XNm3l4p37Pt76C1anAXRe3FP00w/nT88mI5Yyiy8VW5Xf
sqFxnwxZidTP3D7XVo1N213YlK61MF8qKsV4MKJi82eTeH0MvE1eJjpQUjOONiHDTRDa65Gyz92u
oTmFDCn24xKUFuYHLz1jZj4+ma2jcZEFffcSFG8e7UV9ni3etKjxJaLZaptzvIfamUbpUywUvQ7b
Xouf5trT/lDosQ6LWgc9LWI5DMZHPxIuB/KjKIove4+VyNKX/sLFlPrw8ij/vwnq/66ODkPz1tiw
/+6Cuq2B7v+fm+8FXbMDouJ//uF/WaC8vzy0fdQLuQysx9d/W6B08y+O7esdgbTP1R/1b6Si/hdO
a7YRqnKrvGVdFP7lgNL/gvfLgZ9FGFYMgUh/BCw+Cr3gX2GgCVqrOpR3cEE564bzatvysiKpLAN8
CDbl8cpGH7Bra928mkTjbKA1acHEAnWjmJwP6yWdr8pxMUPNIRxV15X8Yirz37Ftyj86Dr38WWCc
sBXzvTo4eY72bBDdcrY7l/RjchRD1HTGZZEvzcaIp+kmRY2y1ZzECZs+HjdjfLZ4eCT8WcfnQMyl
nyIKlw1ss4ePpYQLq2vKsFzmDg3mgSSfkDYVimwv7yCJjP02zXq5H+pJobuRiiiwsjjbAH1ot5xy
K/S/wqGxVBATWdIAQUXb7ZW0KveLlZ4DVjKDXt3q//ljORUQMMpLxLlz+McWws1TCP7LZZfRR29S
ukFJ45GRoVTp5tUkv/u7VHBgY1tLff+pIPw9FrcESsUUVlHrH80XYdISLuZkuYwjO9m00K+2UZT2
n4q+WDZxqtEMSufsVmvNVV0UZ5/5V4w3U1pMZ2TBh4vrP3/IyqP4WxB9HPKXCuI8QNjOVE3mR6Up
vcCyZUNiQA41yo20K8MevTMngtMxSfti+0KuQnkLCfbhg/bSaqTZNEHyVIb8zsyqKnQ73QjIwK0+
EtqhP8WqE50pdZ2+XQblPMk1cS3wWkfLuVcRumHFurw0Vjp32s71RdGJYStIU7h4/+0enkXWZ0ql
AqDfWrmAin58KMewk7ZL2stLB2DThepVwzZWnOjMU3xhcB7OoXWANdocAsd6Fzx8jNAaJkOpJ+1S
shVf5Ui692qX1heYbeIQWNp8LRArXEm91Hb2PKXh+ma/C7Iyw4HG65c+LdydNaDkkrLp927BlUF1
4TK4Uk+2xZCQ+cpxJ/ry/tN540UghNWoesD3J4Zn/c9fLZVOxckochvtMteEFWaK6wRxh/lo8NC8
vD/UGy+CGYZhh1fOhfD4FtuV5UKab6pdGhNGv1kWJdmvxjm04ukoKyNV56S9/iZcK4c/CJHDbCWx
oV5KDNybLiaoUzTzOfvdm6NASmX/4zjNOfdwlCTV1Abej3rp5NGwBau70MfuzlWGXipqh5OKR8Ue
SrlGwx1yfMKdl8XUIjmpl3Y6QPdr5mj5Uco0Y2o1yofENiFwEgRbKxdSi5ERITgZN+3YeTeOV9dX
bkRLbmML1fyVVzCrqFyrowgB74rLuKY77FdxyRTrCfmDCDnAp/dtVyDHqCB8XvdSzIaPNKegG2pU
w9eBSuewMbxEXDZA7d2LOEcAHpbLQNpwp07JEmgzSDKyeHJn2lTF/NA0Rk9Uatn2FiqxMRm2VbfE
47at5ngvU3xc8NDGydi0Zk8hSsFJv7WqpX7o5sFE90CAextYfeOdU9ueLntshWtdYi25Ubk5WoGy
Se+6SaKqXCLt2cia4bM+ePIKAogWDOOoPJpUSYL3v4D133n0OqkQ43dZjRF81EdLbUxrA5joMF86
kVJtSVnuQ5QCblD/D3vntSu5saXpV2mcex7Qm8H0XDDJNNymvNMNUaUq0XsyaJ5+Pu4+Pa1kZm+i
+noEAZIAoSIZDEas+NdvQI4PaS/iy+vj3XlG7HZfAFSwae6c16vUIqc7KXueUSG8wy3qcX4XF7Xi
0krODqKy4EIZ1p4o/M6ngV6SvZB+L5DVtr8AJ5WuDOl1gdwxlfPcqC6mz5H3+qPd7ltr0w4DTkA+
JC7bR0vyORKdmKegr9rmPLdt+DGpizXrqi8+vD7U7Sza5B6C6ZirqhcF3PUsGrrkEKgaNsFUI+iF
7wbnsMGGbLSM7CmFUPBAmSztaMxvn2+VCPGEnCn4B29rNWdOJseatDborGY+42dWHXphDCdcXN69
/njrortelOs2CbjDvQ7s5aZTE1mxmtJCC1QyJAwX8y7JdKVWwFAoc9hDsERbMbsDkR/oaEw13Qsg
vP0qVi0URT94/4tHzfX8kklkG/A2miBJ4DtViSQO4F69T+61hYGxE/72VwhiCypJK5FDCITierzI
1iUdpU4btKVUnDsrd869UmLePxQCPqK8lw56+0GsN3MsQ6j81+bCZv2YKyQ4VHoRxKNTXLq80v1I
Eh9ff4u3k8ggvD4wJooPmojXDzVmRUEm21IE2IBBGy0b5Q19BYj2VEcXNqPRf3282/WJihizCi55
SCJAeq7Hk+CuyMKWiMbup+EQ5w0QfxtGXlnF8f9gKLA5YFUkJTiOrd/n30qUTGsnecQbMRhM45dG
pOs5aszIi+peP73+UC+twutvgYoUZPXFcX1FVK6HctagvEVPmmAEN/xhzQKpk0afFMA6JyovrCai
4Xr4iJqrVqrd+ANL6Af3yAz7TKXYO/9vd561W7NesXHywMVgU2Vg+6DXqWHUgZZb4bm35PEARtl5
KbzVY5TWyR8lGJ/3+5OwXrv4OlarizU86Gq+I6OS5YWHDkYjbs4xnpkQh+vlOSel4Isz5dWpog54
LGnZezh89JeoLbsHUWTy8fVfcmdNU/Koa+GD1fJN+0BMI2qZOG0DDGCLE5fXnCgc5XM4QXRYpnpn
tJfG6eblA2yteyFuTwjDNusMMYZea5QyAZf08TPQHkdjDRniZ0RFVbmFVOJwVo51/U4LF+ezkcaw
q1MK850XcOexdaBEdgzW4u3N1yYsyKnzZAxGzcLjWTXqB4JfoKNCr3+yzPqv355lEqTQJ2Ouxj+3
9gPjTFRD1IdDEFtYgSmEqHmxURMog7UCDie7kaTrTrSZ5pcDm/qcLZheyfXy0svElGGBC0J+O9uN
NGMO0CF0O+fnnU8H+xvbQBUP2IIByPUo1lhWmjpx65tSUlziwukuwrI+Sh0RmHP0ECrDXkVyb/1Q
JLAfAgjz6WzFbyl6FDWRMhGYaUL0xRgu7rQG6crLLDx9ycwTHo2VB42xe4KF5py6MNtrpdysHRaO
vjp5cRnluNl23Eo5Sc2k4rHrvK0e0gEtZdblihtyAp/axvr2+tq5eZcMB5RHlx+GDC2UDaIU4VPR
l7Ekgmge7fOcpqiRsvj3GCvc4NevAaoKbXm61tSz1++yUMlmlsiBDuyMHNO+0JH5OMseg+9mxbyM
Qi+NnvEqv9rwwXr0HZCYFEFEZaSfxnSBhx8n5Sm0mvRNozefnUrTd4622wMHSBs3E1BKTtO1JLl+
tDSWBgTC7Rj0GizvyKgVH2YCFFQRkxg7hGl6op0vc1ueVqmH075po1H+BV1g3rN0ubN0DGxIIMLB
dUJDvZnlXpfGRNXKMSjD0nER0tkXIrkaFMFde2mS+vf0ty9vFbyJWEFGpIrfOmTgSr4aUbJUpTlX
vzdgJc/NNAyXcFSFR0xkcilRHO5gEDdlC93StXOKypKuEbf36/kecE/rAbQnas3U9IwaGxFTnT4U
cd0eX/807o3Elgq2BagC+LQ5RWWlcESvtXKgzDlmdyO3YCj6uV/3pNS+PtSNDRfnIy1M6mf2b8hd
2wopjbRhnpUcmGBeNX9arMVncqvUYwxB4iRQan20s1h9CCtDPrYOue1SkutvgW7hWQ+tcn7991w/
OrxUeox041a3JY0c1i0rIlFGnVTjOEYnZykeRYS1jqL6dW2mO7X8/aHWfvvq38pf1+8TkkmB7CKK
A+jiFlaQeEQ3Yfy96JPk9PpDbbb3fz0VJe96otDVtDZDZYmR6k5VMJQ04AvaLfEXGWNUt5BN1PQY
oXmIe4YgxFumaMP5bM9O+/b133C93f7nTyArElhLpwe2qQeLJU1JgWdiJxQWZy438qnn1N5ZTndG
oeTCjI7zmS3d2NRBehqT94gtZABd45fTqKmPXK3em869UTbbTYmTvgxDkIaeZM7fZoIfT/PS6ccZ
SY1vhJgqpooZPZiRZh6bpNcOjWJmwRzOX81R+mCT+B00djJ6vz3D3KJWtud6WYMCdr2e5E4uxIB4
JUjrzjlizs56gkK4g35fHzUv79GgCU8fTMVT9KbSjAx43GQDxIHCZe1YiWrwmvq90TzrRa1jWmRa
O69UvfOdwFKirQBcAvtzGzhDM27oS0NO6NqSXIBclCwWpekPoHV40TTKcGrjQnGVyVA85HAkOGpl
/i5S6uRpmboM6+Ck8mOe6FOeSdFpGa2ekG1FeIlJCJakDAR6D0hzOV8yP0YLRIbhTEwAxll/oMbb
Izzf+xgRIkB4JlgJrGlb57RTtFS9YyfBnIyLPy6yfRjsVVuaO8VxkFPljNc+5vxVpD8JXe68hcbC
Tif83pwaUMhBaVDuGzfONaXUdEqWEx0/K+N5dYXD5yhCX2lU0e8PBVEdJxXYPvitbY2Jmz6rME1R
ELvQczvJxvTn6int122yxw+581BrWBWcS1YL5bl6/QFgEzygQLfSAKFY85zVpfxHMtlkbDi98F//
1l5O+P+6Cbx8BjATVtocFBEMajYbzdSzz85VmgZ2RaXhTiYJ2n/qhRz+yCWtrR4LvCQOcmInNXH2
dam58AzqlkRnReAI5GgloSKshPzQCT2yEJl1Az+Uu+SnZGzCx1KfGtTSErm6R1WN6jeCGFtsVLuG
2FAsViQU+kaI2xB7ubVe7PI3Xajjqq23AvplWEzF8xIuX8M8zuEPp3ZDfElbjd9kuwhjt1MX7oNK
Mxefo7k23aSMEXMmTZ+8DbMBE7UGOlY49BPq4NrUj5Vchr49ZPnZjmVxEZgsfFryVnu2nUT/ZDdd
R2Rt5+hQMlsp0V07KZZvJCZEqNw7ufpKJmr7ue2sDCWUEnb0KTtt0fx54rhwpaYfzUOq5QgLk3SJ
Gzy7nbF2W6GJR0doQOkYlbX9eUpUOztGIsJPpcwW7YtqpiT+qVpq7BxW1/Xk+nZf8N/VM4x/hbZ4
vZJmRDK2DP86kIRVEDPSzV7XQoabJfk5Qeu7s8XdLlzOOwwJQSxWhH0LO5PuOUdpphRBV1YjfnCZ
7YcpMSroIJWdoW6PLoZCmQK1fQWK1M1NoVjasGlrswgEsplja+TkYlTlz9e/jhufOyYNmBMRDFgM
3+MWYWv1ylzjTAui1O3EVxTmD+154ZvV7OVK+gbhtjdmUxpURaV4QhbJc6V6NjrSLupQ8A0pXUME
Sa//rBej8OuPlu91defHNwc6znYr6vVsbhD7lYGO2kn2YMb3HhHR5ftwSgr4VjHXxOdMae2E/CBt
QFwwZc7jVA3SdKR8TeBGSaX+tcXIKD+ZRmnZXObUVnVLrZbio4IEtXSGuXXjVQfoArnN3QFWBhtE
hTyUJJMaa2S37sceWbumiZOqCxHIEEcLr5IQ8XmEuYTxR6VY8iddnSKf5Eu0pU65bh7FqFY/0XT3
4TGmCdOeykpITy3sLKxic2TkalFkqO2Urv2o62J+rCYbh4/VRWJBl12SWzHWUEfR8tBRc+Wqy74i
dib8h4+8Fac4koq9ttGNayM3YE0z2A11LvdrMtb1p1S3IwWp2bbBJOzmiH1TemxLU7rEdtU/SI0q
+VpoAgtWSCh7rE0eZVEPp3BupIA8j/4yY65Su6Yk9z4YKlkpWYfsPTbEE7eU1K9lkR1I/Mzf62OM
98lY7m31Lxy061VDIwgi6dr64hDbmvgrajbnGp4KwVR1xluEeep7CMvJxcn10HgrpDL2R2JpzPeD
nlBOO+VqUu9IUXZEEZsduSWrCGYH+mS8eSjLHrw+0Xh9rc/+kstEdS74s0uitXh3qC9SVxmy8peF
J4X2xWy6mbAFDT85T4lVUgQEAaB75N/bom4VyMEz4OaDemH7vTqdsJze7oCptbDyozmbz6FMtDSO
EQQuC7k81plh79SrLwq864ldSVjcMEntXHm6m70osQQdvjwtg4opekzFNJ9GGNdenCnxU89+4ZFg
HHlLJSEpnQxPtFn/duia3CcpILoQtWS5ltqVj5JMmHgbKzInm0n41+vbxoZ7tJ4GoLgQn/C9WoG/
rXakbYWqLSG72ZgodUn2eN4SWi7PvtzmJl3jXvP1nOw+ZSr0M2Jwm4oDe95Oq8jLdLA6iLk4H40w
wbCoMpejCB2TKBy1OuNLsJeZeO9VMq20iQBiVzHW9fdmA55NTh+VcI8W+dCPsslha4tjVda2r+b5
6NUh3pY7U3R7YDJFOFkBGqwfyfbuYXJrLFD1F0E7zfWJ1yG9oIZnW2jSSV8M+5LpGH6kI/HWugjl
E4YzyYsdSoQTUN8eiTpSHs1IwdmLjdGzxyo77fzGdafZLDec0HHXhi3ETmRtSraqlbEhyZI6iDmQ
zlLctpBcCQYPjWI5oIduvZ4ELFEcqin5mpl74bF3pmi1/oU6RG7fbXUaNTHRlXZcB/oMZU1R8vlp
zFrrYV7qEAnistcqfDnKt88LpMJ1H80TbI/NSkDorU+o45pAx7ARZ6s01sLDWCtEWy6UP590lQCh
Qxzl4RsFKcbntKvtt70+Vm8lnAmoGutRPFXdsHyP4kX5rihZ2B861hyuzKn8JyBVPB0Mq+tnV2tt
6fPactkD9jbw0Mu3B8OLdg5Yo0VzcPPSiq7LsmXQywATFf2kNxDM+0qbnpfSeoOTR32mkrPeJYXz
CGf7Tx7D6gmYyk1/GLt65+p77w3+/bdsLthGUXRLH7YluySGW9gerDr4wvGUMrJPEJX2UN3bspDV
AiULFRBJDTcXxbmWaMjKPLuhl8qR9BgRqHJB5GVc9TstB+3es3HFBkUFIYJJtzmmCSuR0zBUGKvI
NH+pmupxhoV66KR+PEx1Kp41uxv8vAVxkzry8yAUlIckNnTSEsPxWWuW/FiMYw81BDsWe8H6oKVP
V2HwGAUUFsYTdUp+tvJhPC6cB2eieHS/ny1jjQKya3KztCk/liqxc1gf/ZQxbroIkrI/l2pdH3Qz
mzxMi75FzhweTf7tUI622JmG2+rYgEm4Zn2w1yNR2cyCRJe7UUKrDOoutlyp75iKPtlTb995ryRr
othgObM8t1K9XtLGuGicMli6zDk1qMn8qCHyKtGtZmfTuzcUoSXrm6UMp+i9Pg1W3xtplJoq0KJO
OstltPiMtARDuBsWemcFrVR+bkbgmTKkk+uh5LlcRKybhNINJqwPUyLpLalHF9HA6NlZuadfu/do
0KOBwuH+rZbg1+O1LfzOpW1rHKBWKrRZTN4UUVcNCFD+BxUANq2Oxt86JgYrMfzvbXxnKIYyI6Mw
KMsyDKpO6Y74Ko5vhGyK4zDkyrEaB+epbLrl0Gcg2Dr+zCtVuXwI26olbxEfRrcvOyjBkWV6ojZ7
3N0KgWSSpu3rB92diUGow0USVszaeN8sYpMui2pkRhMQS954otEMf0LUeFRDVeyI9+/AIGBD2MCx
D9E7pAN7PTF6HWKtZUpdUMxqOh21prFSsOS4/2aLVHk/myRx4Ytn5OFBjSajOjTWgoWfJKoaXzzs
ih+MHuO1JTasyzKa0kHRm/ZHWHXTX2EyWN+GTKnesEl+Hqdm+pHq49LCpzasryM3Fs2vLPIB/NYm
DJQkalnBimrqzIdI4l43CozsCElTAiJClT/ZrRUkbbOdNod0mJOvkhjtX5JIuInqy/St5Yvn/O8t
lZq7lzhFJnv2dEDb1BMRcnN3dOLoQchq9x76FrZQOGoRZi8nYfgrwaSpcpW5SqCSEAlP4GnclEeB
GivBW0kUD4NiNpiLUz8+qpGjf1iSpTDcZUpq38JZmATjrmmUo4Gh46VNZiiNcThX8snOGmPG9jZ+
147J8raLFOuDLPUgPRaoTuJVmEgXO/dkepO8tk3pgAMJJqj0Rs01Jub6tdL+scIi6sd128hsV1Yw
F6OPt4wKuke1TNyWjM4TxqhOju8ilDkf4yPzGYonRE5qKudSC8dsn7VYqmWX9k5oXJiR4jGvRvbU
ajSnj6FVF9z5CxmPZ7WjwvBVvMCcpx5q3HlsLeODGPtudbY1p78kXQ8fyjltkw9Jl9o/55n5dWv+
WlyzWFh+ffVhbsM+Qz3UTz/UVNF/DbNujF5rOCFQlyoE7nFz+ymtjG46OazJD3SY4IsWWa1BmeBG
J03od9iwLOlLy4LvsTosP6ppJisHbcA+4rDWUB9lPQfPm1VzWtyqRJ1KSWTN/qib3Y+ltdP0yJ1V
Lk6lmujDscKz8ux0uZy6K1muAbdr1I6r7myYZ9msOsuVjTjr3AXd9PvKUIaPYRS5vdqFnt1HyzFe
KIbdSpLB6XLMtsiR6+0REg8gw5ue0HXs5CTzQUuJh3WLxYkIDg5x6sHFEnUcFGxz7H0yKJPoiIDL
wGuxJqQSqiNuY9lELi236UI9W/j9jO5I8rDu0iHrH0SEr6kbY3H+uW1xn3IlQjB/KHkq47XJuj6K
DOu9Aw4h1WNsl/ni6loTrhBDOn2UCIcWR1D66GNrF4hme0F89CUDTPwU5dX8XcLBnviGWGZL0GOY
BlVtIuuOW6N6n6bt6mEl5TKujuEaFkwFqyYukSv9M/7L0s8RA0Qbgks5fhlyvX3rRFX4ccbn748i
zBV4v7kgfdYJhzdmG4MISFKMp12NCiF21UHgidaDg+DfpWBf96xwIRgOeFKZkYt3X+Ob2EvLfmFl
0qM+hPJDNU/igr/ckvhJFZFjanPp/yDAI/mDxsmsDlGvJ6WbDJUpDnnTlhHe70NmHcpl1O2j2tql
5Zq16oiDXFR4mxl9dExiTCFdYAH5jwGWCysAy3peVVcTuBDRte4PFFQFDtYK27kbwajHAg/i36+p
HbVPFW8pwSRtqOiHpMqouFaK5tWPQjytD1JTql/sanR+wWIJVc+U2hbVfGeHpodltwb6Fc1Oep5D
qTlMhJIEUQKH2MWXQWs97AgrPi/JkJ/M0Y7cCh7I+6QDqAya0SrCg92Y9TfahfjedVmT4HdaRSUZ
5MDP33Uyp910tqRn0YYqmOlQ12Bt5D2609gK3KlXCykSO6RJJQo4k39C0IC5Y80YPeNJZvVvozo1
1dMgLTG/cC7bp4lwW8LkLI3UDHmIos/t2OTeQGhMfyKkofqaajBSDuWs9PQ3l8lsv1s5m9ahtuRI
Y/00auHXgMiGn2Fhd7DwZYzc1YfJV82KmIIO69UKYzLs0txO5NbHYVgcgzi5NqTSbPU8mJSyE+6A
5Zvum0q0jK5NxsrTUjQ1Zp1qJCVHJ5Qb9ZSo3Jb6buG0w3UQ985OM7OMi5a+fJBXOz1HmKxse1QH
mgB43weGHaML7Kv6p4PX65HQ+qk5Dk06jPi5z+EXYaRNfrTrOf2cK/X8fsJl66CZffowjdxbXQoJ
J3I1Kyavx+zSUfNSqMXvy8hi8eSkH3gibLJ3pRJybgg9Fu/muWUtRqsn69mxwuVtwruFOs8mx/9g
JH8oI7adiRwvD0a7FPA3Gii2bA+lOR3W2LDoScnH8G3GXBXshWxdTteL79VY4eRhzQqwcmxOjo93
oqa7jhx3+UleiNs94IuaP2IZsahngsQrYppkqyu9wogddLCAZ87FlLP62Uknqzs4k90WXiuM+Lsk
9VHtTfirE76Mg73hWYAyHyeFsyZ2+YAyh6iHGGSz7lPMGzXgmvE44H74MzJzYq5CKiDXXuaGGcP2
ffBfr7vuFMBctFG0I3fQQL03ddc0lKGipDAehzh8grRffsXF75fGbfSi43W7U5PeVnmoZQF5ECPS
7qWZeH1E22mdZvlsdYEga+KCZbMBvzpOj5Pa7aVK3CkH1oYlvTVCdxDPbhVPTaSXkzCiPnC6MTxh
nx2d55oyNi718Cy3HKecGuIiQ909kqRDwvTc9SfMOOVjJoBHh6ZxfmihM/zx+ozf6TNwz+AjXW2w
QGe3uKXAzUjQRxiCusiGDxiAlzbR73TB/SlG+S+isPuKyhmvQIGVVeTWgzP8KuaGt1FxJBJOT17C
wOEOP8rHPFJmYwv1vRTYOx1fuoRMHRcwFF03Yu9WVmc5kts+EGU6XkajDf2Sds9Bl0f1IGqNrHjd
TE+TYAXHPQpKaQw/7UzVivZcl3Srrf2qGIGdufa3rtdL5KgijAalD5pIKT4XMGMx2OZI/9FFCPib
lJ3JDRfV/Ix4M/mULq1l+5D/4hNWmPWeF9ydF4c1Lu+MJhGyWfr6179G6RWnNfW5AdqoVTfEtBZj
nsgOMFhML43EmzGxLHbnaNKOShmy9S9L5psCV2ph2OGxTsSDVmjzGZm6+fP1qbqHhazhmHCpAHzX
QOrrH2eEBqQ92pZBNHGv9iYorW/CTsLgVxk1IzAWmWhLO8meYd0NYHcFlOp4UjxnWJCrlKb6FDad
9Gdjs+foEIFd4kSqJ2r/gbKvoY0owqI+DW3ERjSV5vsqKybkTOxPlT/SHvwUR1GZHrpysb+XUg3L
Abva0oWIZz62hNz91Jc2+7ioRhOfhrBN/hiaaXlT5gnZPEM3sIW/PiF3NrZVQ8JbQoVIrMxmPnK5
sedRgFxOCnmITSX4eDTzEHXtY5E2xg5kseIE1wt1tUQAczctGqLwPa5nPxswSy8quwpKroouXFNU
xXPmg5K8xUL5AVre29cfb/0DbwYEkEHUhF8IQu7rAUEw4yoZsjoIMdl5UrWh9FKl64+4gBXeYlqN
ryAYCOZsAdhfevPy+vB37lrQNldRFfcsAhTWjf5vEgFJmFEiSXnN846dB8AWe5jOtzsI/e1xQQuO
9Ac0I5Db5K0HAVa5kzxIIXT8qhQHqZt1fylB6W05nXaWyzpf2/lE9QxdR8fSjEjR6wfqBj2CFsRQ
5RISypI55tFGH+ZqM3IOetJ/tBKS2TLTxc6LvLdy1jwiRCTwJEElrgdGQxLioSzVgQOj7USU8xx0
i5D9frQd6obFea7l3fbgS1zg9ePSTl6FulDQMQnY8ogbROtDhkYtiJxl+mSUPWPV7fTB0aAWuXGi
96tblZZwAdAWHa5FJ2fyifS6efSqqlGDcSyhIBnqAGs+6x1uvIlu/jVrNZUneEdvQN9nCNceSpo5
IanmuStlsdzTVEbx9FEfBgJRZFNPMm9W5Z7biWGvjrez7U02ID5EdXtyNa2o/5A7PUfCR7jJQ1LS
n8IavurfYjaO74cqtIe2gwLNfqUmi488sv6aJbb6rdaMqfdaTa4/Al3qf8hhD7NjaOZMUAzm0+dm
GKzOVYlWwEi+qM3B7eFQcX/Olqg7t22n/pTCOWnPr386ty+cc99BIk01BeK1FZqFjeQsosqGAJJ3
e9Ho7B81ATRfycm7RpIzd+z1b68PuWE9rw2JtYGDKxN6KA70rT1Mr0F7K5dhCJoEEgO2QjN5I0U6
nvBNJT5hwSYZyHV5MgrQ7MjO7Ye5FJlrxaX89fWfcrtx8EsAafBfo5/lKBtQcr3XD5PUDcGStNKp
pFPiYtcidjaO282f/jwaqZWiCia0ZR0viQSjJ2YUM5f0IKmm1nOKFCVCpsPmqgd9B1K8O55JYB9t
D7RZW52pTThtBRtpCMrOmDxJn5YzZmHTU6ok6pkVu2cMeG8WKaRX8SAEWfas600DEjuk7U4fAgH/
mOuGkxwaLVePv/+u0OrSHWWvgDO/GaWzYEwWJGkE84igIqqBWrgf7uHUt5s87+pFBbByxIHhr5+F
VviipoTEBmNL0yJV5u5EbpI42biu7TzQnU8PZSkeTpxa8Iq3ey0Z3qQf9rYI2gUSJbpL+dizawTm
VNmADWTrmLUh7SDbt2uDfglyMihZKwd1q3ICKic8MB2HQCYJ4BI5pU3tBAkg7NTyGHOD3TlQbueT
8fClhQAG44sD9Ho+oy6NCLKAGA3G+9OCXejGRlP5/Zqs87vrA/8OGkIvq5AqZHN3hAYHgKmjm8qG
MDrOUpW7jjKU/uujvGxO12fVfxDASUmmlpO3Z1WESjadnIlh1KT+mQgyWvSonU/0iWWvgKZxGgql
ee7KJHtcWlN6p9ekKqRJmn6XojQ5dpkh+Rh7h76sjZ+GwtY8LJw0r4vj6VgR4wPbSY0vWSOHRL2A
sxQiq97nBUDuzoTdrj9KTIqllaC3uqxsPqhkEM6S5TyJ3XXm29lcVb5lI7m0FLIA/5jkKNnV3ld8
WylimwBHD60LdBA8J67Xg9CbvNWldAxkDcMJDuLxoOCE7rZJ+Emrckhr+ZIdrXTNLqrUPa3xndVI
UwcDNrqGMgke6vXoJqhKZwp7DKSBbJDBTDQApyo6pq1wdg7Wu0PRPaLptRLJtyzBTNYKFPnFFHQ2
LBW9wa0flauJjG/cI9NvzEfWA5Ve1drEW4VnKw3y+rEMXSAQzOIpmDoMFWICRc7dpEqeKudmMFFw
eRqOvweoQJI7CvVz3kvkthqTqXwCUq4+DlYChkXt8WZYSa2hPMg0KbhrDU3+0UF95Wvg3qfXv6T1
y998SBjAYEUqy9yqb8RjpVBxbEubCVlXSpcJi9X3czE/INOLHhwnR3aAoP9sxlGy06G+s+4Rk+FK
yQZIovrWtY2MihSEr5+CeDGEJ/czcYwRWKm9fgE4bmierJmN9/rT3tl3qXBpJ+p4+6wM1etXZM4Q
H8IaG3pcEYxzTEykF3fkWiRaZR0F7ho7490BTDjHaLaiZDAtHP43awLSct9IRTOAB7TzoeWrgGtV
lN5sAuMTtZqcpwFSGOEhFS67svk+n8dq5xtYd5DrV7yymSwIFqvtIIYb1w8NjimB4bElg5vIvpLK
khuFVblzjt4hwdlcO1e9CxcF6srNozpFTAun0Meg0JZfiFk7YkdgJpEgrHrVZDaX2RiP2DTPZ9Mu
lYeomB2qlLz3baxLjraUaKdqyMldS+r3Wpukbxwz2jt3b7cDuLxkAPPzoPOyAK6nojfDJaeJMwWQ
YnNwCJCsxRh+rIk2O8v73kjMOtoSuD54sG32OOKMyD3IhymobUokbqzY7GYWfbZKV3cW2b2h4Diz
sGVuDjfSfJAdJe7zCRcOclfcgnReFxPl/GCZ3IBe/35ul9LKG0CZSFwu6PC2I59zMtpTL0/BYgpM
yEIpu5CK97sxFRyEjMIgXAso17c3k7KTlaWbLbYGtshASekISYmYTmYbLv7rD3QHEX6x3cA+iLqF
2/bmPY22QdxR3SxBB3AqKlsG8i3Ss1Jb6rMWjfnnthvnB9OcJY8NvvFTshV9+GH6kxKq8QdbiT8J
9EI/X/9Zd14p+ldEmVwHqde2KmYOASNjXmWQHMfxwxn8phtH+ygx8s4M3HmlUOipO9imoLBujQa6
Omu6MRvloG0jx1ML8LqIlJqdUW43XsTQDj4CHJCrw8j6wH/DhvoRl5g6WWRkOmV9sGQjOpq980vO
y4l4H2nPf+qmvmHq0LSsSB+b7g3wyXurbBiKfH000i+6gsm1g//8Wa9CSFtdDZXfKvqHOIkXmlh4
yb3++m654oxP/Aj4DbYuq0Lh+nFrUhKWUkrmIJn73O/IKDpb0xJ/a1RTaG6W6CEt7Fz16R2bZ6nI
pZOkm/PFEpL+TOyZ7eVk0XiSFdtHwNTo2al74U19jOP6APclNMLpEGmlBAsyUQ9zS2/15Qn+vwfn
PxAacRauB/V/b8H55VfX/9vz0H3/t4+/CJ/63n6/MuL8f3/Cv3w4FeefrDVKGXyJIDeup8rIn/Dv
/0C8+E9qzrWfwzlApATLfu0pxv/+D8n+J1iEvhqJUwXTiVo/if904nT+CT2fExTUQKfFAT7zj//z
v/+c/lf0q3r7Hyd7t/nvvzsrbistwB2wduBEqjuLsntz/odhb2MAJSCuOAkc/SKk2M8W/TiwH7i4
PkDeR+zh/W3C/vUj/j7o+kH/veh4GdSRqbW4ea6qx+svYOwoB+hQGhfq7/nUztlf0JwmP06qdudM
uj8S3TM2MBuofXO37ao5DG24YRfVonNN3s+XQXeED3Pc/E0EaUXJWDrsx+D5tPLXX/K3TSwB/1IG
HUk+ShPJJ2JW+q4XTkhXsGVgVWtPr8/hnRcHuVsFVKdSgfu8wcWyfOiMgt7JpdaN6TAj18pc/Eoj
P+H6/Ui5+JxWjvTp9UG3OzV2HasxNhgP61lBO379kIMVpUPeZOGlimX25rxOgrFWo4NW68ohDUW0
M6nb8+dlPOSUOv59LNBts7kaJ0ngWcF4YLuXGssQr8ySXV7/vWF4fzR/Vtzqxk9nJnSS3IyFaKiu
FpfQlP5qiua7nCz4ilol/A3Tjg5NPaNpCdvnJaqzQOvb5jEvsupkLIt8Uitn/E2IkGfn5/CB00uF
pLt9wWtrzlT7Igo00cVYZYv4DLOm8yCSJ3wq6V72+U23ch3wxcWHDg3WbVtVudwlKq53XRSQzdZW
R6GsbtHRkHX1QYGfYT6G+Wy8nXs5+W7VSmG6cucY5O0tsRUhCFFNyZvzKf8ZptFSH0gah3PTxRDI
/dcX4e3KB8NE/s2FQsVUfKvqTYZUUnCBigO5qGVP6KNKGYgjmmEOxcFaZuVCEMPOjnWz8KlL0HhR
pvAqaEFuvjajKSzJsCbzEi3Jn0MxPiKX+eFk1l9xHO6JF7f1CQ1IxuK2h0yJhouzGQvfRQPnRtO8
zHRV302ShaAsDLsTFRIoVa0RuOU42QHA2vLMpY1/95tbh8eKELIFMCTL7/obJ3V4NlSJRx0L2NNO
kzegEn1zfP0lvohLr84AnKs443ALxzIM85jNjRDs1uKeqTqXfEzygFwlNT+IkE3WVRW4hEZhm0Qo
QlWqD0g5518VqgdsgtrJ/FEbWvXDJrzxS07L6CmWpuK7KjKAbYijxGROsDFUt+lk8yQ52K65ql1w
l8vLufb6yH5j5WpJqHNiKZ+dOInio5zlYvBsM5OeMxpajQ+4Yf0gQdL8mZSK/GmeO67EeUWKMU0e
/WMRTtapstbYXquE9tcpfWqdLXJ088OoV612xg5LPuN/thD400iRRmjyaJ/U/8vemSzHrWxZ9lfS
aly4htYBmFVNgIhAsBMpiRRFTmC8lAQ4+r77+lqgdOspgkxG6lkOalCTl/kaXQgIh+P4OXuvHeZL
fKZYJEJfjmEbLV7ejflNPdBO9AeM0tf6GFp3w4wgzg+NZEasoC7Wxi2YNvkIR8ecnMzJjjYZQpXL
lGg3pGpVGDaehgcq9Rnit+dhGaM6lpP6Q9dL2/KSrIwJU55zk+6nVinfYUsSqqu78SBRdyXdp9xq
nOqsF8soP3RqbW+SuI1IxNW1j65IH8pGBHNot72nz0vxhBA5+nsckTCgMzYqb1abWmwqbRnWcFZd
/ZItevhghQv6k7E1jQC+0YR4cLVre+RLh/exbg13RTsN6GjcSZ745r9+V/kQg2wghAzGJWqewwUM
nQJARqaSB+bE0zXi1mE7dLpyKeKEb6RdW9oJx8z61TtcylyQF0W32CJe63OIvtDpYxBAptG0OgMD
zNbo4gDNTOWPs87WPiKNGuA/mGWQKxzem0HiuDbPLm/NhHByaoeR9G0H9bXRdye2vFfb7Hqp1dJK
13KV2B89xpoRPYUtL6iCMmY31QLKR5wTCSrD7iMz2nlPbsuX93eFV24ujmSoL14IxGAjcM4c3t/E
c+w4yMfni5pOu7gczSASRQ4RLGOzkzoyZJOj0bAwNeg0td1XpUmkVzLXN8wxGUqavX4xhOiyTKvV
NnkxSOiYhfDstu43hTNTi1mwAiTcrRPP6wVydbgM+LtzTqapw6ES9MXh311JbebJQyHP9Ykk9XpI
BqBCq2jc6GA3W7Wftrl7o1p574+ZFTJEsj93+pSd5+k0bKMcPlc5JOVTIrGM5xF+mQZOPs4ZxM92
L4atmYyog8hK+0wCd4iQHD02AiPG2zCF9nNbZfcYaBVfrlXD+z/Muq6O7w1NHCBqnZ+FpXd4bxHN
iGU2Z3nODjtwMq3nbVkijn//Kq9fpBVsRZVu0PMFcHPUb6HCKpbFNuS55jTzbjbANTqNITep1Vpn
71/qpVQ9uiNeVs56tF8Zwx6bXWZzRP07kk6LEi72RzHk28Zywdmo6JV4c+VWpfTz3Gqa6EZAL5lS
HerqEiY7CmPV7xF4bsEsdluqZbo+Smdu+fD0KFxlHCxqa21HTjcs2oHWOb6kTeiEeAgTFXR9O1s+
Z8Mekn2ZBHqm54EZm2S7al0bxNSE32OtftST0N4qDs77ZixPFr1rO/P3B0Bjn8kSDW/mLOCKjule
IMVVTnswEtBaO99ZQfh9EWujth4QtfYsSEznMKOrkKj7EgC9D6uKgBS0vO3nsrHpV/7hT7IOWDnT
rl1Rmjz2cboisCHQGdCSzmOdDPpEFmLbqQjLpDv8yCLa5EpY8P2LCCTuhk9O2OubTqOr6a650xSM
8xlZxsm2bM2UxPFF209m1W9JQ5l9ndE0fpxYEHmO3j11VWUrxznauZUqg6mgvFpsfJ1pu6BL7Np2
464SEbclxitqctVT8OaThdZGO5KGF18Zq1P19/Hix90FpWZV2PCpMOlOHb5iGGPaMHaN9Hzsurup
Q/qXNyVQkqk85Xzhgb767dcePARRDSzZOv46vJYmzdYuRQdEiYZ6zGyFinozMf/13QbFfFC2Kpic
yMgBEAENJ2B5mCzlU1F2veHBRdJTT06rkJ5AgnDcm804i50a6Wm3VfiNL7NCbSZfVVoIizNR3cOm
0mdbQxtkz4nfoxv87OLBQA4prKQiQzoSDwsnO+mTrdTbm9pVP2gZKcWbsolTzut9OT+GSR5+FGFS
38aFM96OEe0thOBEhG/q3ipvXWeKkKsXafmAC99JPOaqNX4lKxGF3xlJfV8kes8fLjqVw2oWXla6
LW8cOWuSoRKRbIi3GqSQQG3MqyavEPtUuUwMH5yNCQQjVPn8xf1kPUxw2R5zq2uwEhDEXexMaAce
WbVpto0dI+XcpHfOjZ20rlfXdQNdQyNkvRZN1vpyKmqvrIV7tXR5VfoukrHvIo3F5Vwb9eTprp3d
R8gc3J1q9sudkZoFBlOzrs9kUkQfF8UsLwkpJwF7zFX7sRSFYWxtKt3UW+YKvAamp5r9xiVfpcR3
7XrkNOpb7Oux8FykC3e5PU5/a6oyfDKNFN8REqvHWigX4D8mr44W80Ltc0roglBuoD3JeUzq+h2b
thS+gaeAuA/VzPPN3CnZdTMZ1rdRa1AizWak/XAms/3Obsl3jvVejH7r1MpjpdTGNZW9mDYjaXgY
nAk7AVcNAcbcTIXClHlCrn/vaFX2FIPG2aLMKs2NY41pe1UPYrhYjFaZPQSOm4EU8C9uUZY/kikm
3biNnPGjVRdl7tdt5+R42Qy0GSSEMPOYSAbxlj42SGGTRL+zx9VgkHOzMDakzbsPWm3ke7Lj7U2I
JJJfrAnNeRPPanupyURNd3NZokyLdVPJd5UyA29JiAFB9tZoE4IwPAq612OacvywRBPXq6Ce/aQY
i8xrIQFPrAxgkX4ftgtLikgzHz+wtjfaWdJQLyiPmeVKJLOOaKOPdadprILexkYpIDttK3Nsvhhp
JhUkKFHRb6VVtdW2ndmlm6FVkK8pfRaUYVj3Puak4W5W0OWjKu46z2j6qPHpRJvVJuxt66PT40YY
akW2BAcoLA5Ig6AqR+mK+9DW5ORlKBevmpgKOtHLefCQLOsVAuA5QaFcaz0FRxQZqHCxpySe4lbG
o85nIoIehAFrU3YF8rBWT+tikxWd8qkx8vgjB97pQRb6kHnIspPvfWisL9zoiNtOl/XIKU9Hv9cS
tfMJMIz9JZ+m8ElLzeqSTYKnUGRlo3glBPQCPP7c3GdVnXzOeW0vokX/yHHPWlXMQruMqljJvWky
02dkotoWDoz8wXILsYj2OVy0qVMEyaFFiYixVQh5IzYvUtBSZq67WfQ2+R4lIv9ht2xX2xmz2icL
wMXd1KqATQtXbT9IawmfFqVzP9IumM6cUSrabhja/BlpscKS1zUJoKopJmdLtYh9LlXcDvlzOysM
tB1lWbZKXOi43xio/E2+W4+LQF/uVD2rv7hjr9wsxqAvm9nunAtObdlXN05NrPgcHr8SnGnQfiOz
RNsK5gJnbBFteT7kY/wUC9Hf11Fcs/Z6+2TC7PHhiq/UWv8xycXXQNV39JWy526JLKvEai3z/Jyi
J9yIGS2xbnKnSqzEJ+bTb1yPDgF6fsbGgpbEUeGpteGQ4vWtzjuT3tfa7tjm7tj5tQhDz4BwfaII
OW6+cH+U8MDOaDcK9LXrf/9bGzfLyXey3Lk6xzTQerWWJGdisacbswCPOc9pzqQPEn1GjO/GCM1f
tMz/P1pZRytYyteS/j8frXyST/3RMOXXn/k1TFGNv+gEE9+DPAhVyArq/zVMUdW/qGbpmK2cv9XE
83+HKfpfq0IbxTUHyhdtP8XQP7MU7S+4ihylV57eqjBlmnw0O3lvlnK4VtHHwF0BSoNWZu2Nu8dQ
GmmXAJLGNgpsNcmxEND3eHLqedkZWaxdYhoblhNnzsOa8ecVBexaoomZKSIJP1ytVl5RplpRHIBU
Q5XYmGSB8S8XYgnFiRdjfbH/dVz4dSkUBAQvM+WgTj28lJnWRkhRHQUGnkuToJvenHdKC4Lc62Sn
felH/ANBPzQ5eDxsxqf09ocn0Jfrr6QfKpAX1pp+9GIqUxpizAcamzQFtR0mLC5RVH+YJs91IHNr
GsY2nXCBlcR5eJ9FXxluqVqcylI79oUWSt+OLdOT1fJnckguZSMBgdO2WukETZajW+JzJzkKtQCk
yyxc4QnJzsAfc2KNvHpwXIVBIWJIgYrhJdTv9x2NlFM9prsTB05GWMBIAb5xFyf9I0nLz3thZkD3
C1A9886jfTqi71c09hwHDC/5xE9Z2D2PdcSwWqrt8G/cEkDl9a1dSb/HEwDMcK0DsSUO6lCWz3lv
qh5W6OkUtfloUv9yU3R0bJY86fU0q48+dmUoBsh0KQfEaQj1u8laOvVioBNd7UrEmCq15UrFUBW7
2VPQNxFQVjdqNn0vonI/YijIfLNZZOxXVUQnFnTCVPiu1RloRcp0cCDtTZXjUUyoCk7zKCs2Czow
sQFPHGUXYYub2v9tR735+cb+Pns9iqpebwqFG8+NnXVVlKrrevntC6fS1s+UlgVeT3mxjTp16D9a
xaA8THRJ/jZmuzEYqnSouPM+KZcfLoSG+qKdGRhgmhXNTb/0erzhcKFkm6YUdRIwlOhCnORKFG46
TJSjn1R9IS6pFpzly/t//5e518FGxNCTaSBvDGdlJkBHe16dkHLvOokMNKCZ946zAB7puzojEDEh
cGBT4D5yt2Sm6W7QNZWcfOm0wzPoLku7F1E2pjdESOXPpTkAtiiL1Xgvy2HyUjXh0FtosaL7SOKS
aNvlSFN8PalNel7MVe0LBZRd8jGrO3FqsR0WHi8/CzeDDJWRP5qel7X428+i1E4fl0AlgqiBJbtt
imGJtoNo4CwW1bQUN1oBOBWHZySHrYx4yhs7HtVTg66XTefw8a6vFFMnRImr1upo/9P1tKgbBM0B
mvOu2RSS98xzjDDMHnBWTvYtLpgQVyVd7h6nmFN2+ZlR54uxmWs30Twrc+dr6UZ0UGYR07+AJABp
1VFj8A6lWv/NX10FDVCOUE6XGPXLTtU645PNad4GZ+vMHeeqQjz9T+Tx2jCaWRosVpU+jUWnPdhx
O9GeSwHlwW8oixNtzldfcITjfLzZDiFSobE66oukUlWM1AHKplsIvcBCaIW/ED92rclovuqIJj/x
Nh5hF9efHYov0U7sMfw/r3xVZULjoSvUJKhah+zuxGxnpjug0mdvXHj774Udh2JnykaP9tZsjw7d
iMQUWyOXNmDodqrwRfM6PA86WTg7ZvBqs8GNypELYzwE3USPYQwueLO/i7CZcfErwK3P6jFS7e0w
9Y62Q9K1pE9IJYiZphu6OBeFaiu377+4bzxbSmrHXkVedLesoy8E+wxckapKg2wQ+V2iwkKgA5ne
pfoMrIGYnt2/cb3VfLv+ljqTjMN9DrlpXRFklwaJGsc3MCt0HGqzne+VQbfKTTgl07f3r7i+Goev
Do1falC+S+vs9FiYp43LaDtZw34IGB56jKJJd5uPtrwuZ1NhQKHlg0djLD3F2H/Z815dmbqIFxbp
Mmv48F6nIbZyZg9JoOq4inwFuwd0wZZQN97TFCThnMAl8kr21GJXc7a9rcImH30iNbBKp7Zo9rRT
YSVgsnOe338qr2pUpG4on9jT+IKiKjj63SOrn+MEenEAdKK/6Zp5OpOK7ez1XtVOfBvWT9fRY+Cj
wBnARD7FD3D0GOzeHqiy9DRQ4a7e2DlmQT8nsGravn9Lh3s15ks+QCuxjlRxiy/oi1nyt716jIQ5
qjRBA+55KQLTjadH5gla4mVQd27nEADjdpKEgQKtIBlqNxUD6Yrv/yUO36effwn8gOt5CA0xWojD
3zzqVcJ2Y76+Th1Nm1kdx8DpWkH7qLNgaDPbP/FDvnXXFMdEr1CGcyY/+jJg/bDDkISjYEndwfVn
qMZnYWybt4UyFcWWAEzHM9TSDJas67ZVPEY3f37HyJ1wrcNpwFF/VLmUDsgpW52TIKviGZnA0N1V
bej8zUnMuAoVGsqbf+OCoC4I9zNR6B8nxnaiYzc2tSTIm6m+UgBffFSIT3uqmlR/1KI8PwGRf+sJ
8/k3qM9UjqPHU7auWcp0mXlVpiRdaAFWstmFyaxt5nTkI5rItr62Q6uFmGOHH6d6zM7ev2FKoYNX
aF1VTMRwxFgrjZJk06NnrCiFSBAeJYGFvfdWBVHrRJFqef3YxIPnIPu+iwxGJTTMM/VrBFwQi34j
s00KmTgOYnNRFTRhzuzcFbmmFFsNXFLptYjmrACZGGoMmntquO1Kkq7B8Q+us4sIGqaIK+X8NJDW
+mBWzjDDNnMR5KoidIH0JIn8m4ikjpqfqAna7s4EhYlPGf3Jwca09iHKlPppaCCO+aGeueWmASxV
bUXmRmDGIiVyv+S6lJnXYMEhr0cpQncjl84iq0gfzMIfoZOWu3SyY2KhMnPCyy069PJAc9rOc+0+
u8Z3HH91zEyeja3W2ld9J43ao7MIox4iQaXTr0uX9kO5kEOtR3CqLxjrdSQ0Wk2VbKrGNMdd7JIa
54GAU0FmGQOnJUQtnbtPo0hLvUlqQvmw5Eqb78kpbkEhGzHSjrimSboVkPH3bSy6Gk2DsTafe/p0
l+1YW196rbSyH26dG4B7cbCGwWD3aIEnZxlVf4FTY4JjDuNyVxmaUn52c9EWVwnpmfEFMb/gYZ0K
zhOUjhwKUYpBFYquWxUFDWEV8o6dogn0miItykA4ofPBhjRmeR0It6960w76RT4rdnlV0UaVl6kG
/O2GeV5Se/DtHOGX5C7Tg2b+zSPrLCByBdygbNcmttkyAmj6fm9jbPqRMWvi4QNebbZVgbjibtLd
VNk1SpIBBc8mbfxaGUIsGy0axQ9kMQwtW2NK6w1Pf3HP2f516DdDAyoimfpk9CbDHO5DwDzZlunF
FPtmDVrcqxZNa3yiNQf7KiWwATaQGbvRU8/QvdpC1yoZEVjQw7duojbmpWnMcXPV4Q/Od+E8Tpqv
mcU8n5X6VNUeK1oWG9y3RPrWfLiaK0rW5VGHsvYDzaAmmFahygkH5L1IlWKl8NQpTM1trOd6RV6C
ZNLvDhpc11TBA+Vl/PPuePtoOIrK5QM+LBbLu6V2DVyphqghjNm5tXPD/UqBvuYvlEoJv900y1ut
K+N5A4Tc+VzYShyBjJyUPohzR0k2miIQ7ZUoFmLP4tg0bPIK+663TPloMXrVsgfc8sjrJOCI1p/K
SLnXws5YcKvYrNIxdOPb1smm2gfrR7NLUYuSyYE22/RLQlHeGZyZJTr0xnTOuwrRigeWzlr8pC6q
i9aomt5nvixriFFNuXhW2nXF1pHDEgxRy5AwtoC2XdSl7X7VYsoS2FvpXJ5j3eIGI1WtmSPiIv3g
jnOhbZLRsu4X6Ier179H1zSswH4vk2F7ZZgtYkXO5J3qOQzLdC8vBEWyZcaYOqkgkXSKkUCU3u1A
vg4tvTbfWKb4m1Q6q/d5pN3dmAi63Go5EuaTNJpteL3mZLc6EMPHZEi/kzXdKb6iqPpVRowEHZBG
5o3XFqZeXJt9Y3w1lhHJjqPX07VllhD5nMZFuSuqYUVqisjdjspKgevjvLR9JhwqnTXElpfJMhr8
za1iznfGPFL1h004zhusr9nXGruw5fNbM2tipFl/yRpp+UOUOYafdXpyqdtADNlnXeuL3U/M1cUi
3Ucna+s7jSEoE9S6W7rzEL5Lu1vy3so4Ozv1wNy0bt1NTF/jBphWs2wE70Hhm2o1XGIAVFLfHRdg
+6pT1z+MsHAnHy+F/cNWVBB9EG6yK8cup9QPo6T4mGtJLv3YJXsDpFuL5m4a+ocyrd0rTAvKDxRa
8mYiN+Uql2Wu+4Ya6xii+oiigpKx+55omORouIAX5aRelWcWh8LOl2HJxhpHFXtslxlLAHzPTTY0
aZtf/qY/6s1fV9+Lz13z/Xt39VT9r/WPPpfV3CAS7F4ax//6d1fyuSnb8kd3/L86+EO0l39df/PU
PR38m21B33T+2H9v5k/f2z77eQFU/uv/8r/6X/7H95d/yu1cff/f/+PpW87+I9uukc/dQZ8dOZkB
8v3d5rz3VETpk+J9z2TXF9F/kIP7VHxr/5N/zj8Ne+cvRPGrmIfG42HD3sLHsM6RgC7QE1yR1/+4
H+jKmwZtPebJxMCJF2T+Px17AzcFcAq6+QglXhQsf9KxPzyxrdUOCohVuafTUQIefnQ2KZqOo/Nc
9EHmMuyXISzUOi3k52jSK7Y+AwZIyUD4/SJrLaH+dUr5ddFVWMdDX4kMa2H/2+lhIHrdsSsuOuh8
3WuBUIW2lHGidj08dq1XWcWIJnGXeB84lq615m9X4SXMRKupc5Brotg4DcPjbDGQYEzMb9+/odcn
kXVghhGFhgmV+XHZCo6nUmtNAXcP/9KPQyk3Ve60Z4T5PNdjUp8Qxr96foQSsjA4ZgOzYB5w1JVN
HWRAE3omOmX1hKC3rndOAbXg/ZsiLuX4d7JR3VMHc6ZeGwjHjVKa2aUA2yqCzFGzXZ33abyRE4Ko
LUA//ULtRBryqV1450wxzd/iRikepMCX6NHzBx8b66v42ClC5uZZyvvnyajS0ku4lEl23vdGY1zq
Y9VP277qEdCA0pHlR8vAzXe1avV7wFoGu6DskOcCorKS+8W2qA6W2a6HLai1Wbm3u6WCzFtC5jJh
9+r7DIDnRT9r6k1GQtgN9bwD5Qa9cLppBllfozRJHzLev8fItBqkqngsvmZ1FD5aGM9/zFXdPrK4
5A0ACKPwsJaLyZtbujRUF1G3kKyQxNa5Mpb57SzMGpyIZFxfjlmUA/e0tfvGGTVUWZMxVmd0gIvP
5KQn3zoEZ+tfPewTCr+l+JCnNG28Lnf4MAAndokAq4pvy2A+G9Yc78sxHr6Cf6kqL+2tNPILMy0f
u85F07O0SuS5ohepX6tpqVwM2sIjmoQe3uqdXdjnnU2wY+5WRIyB8koiv4L2b9F7nzOPuqPttuY0
NNdGqFtfYXo25abM2+6LkbVm6wnodNlmdMzuU9Lr2lUIRvcSEQuZ1hYio9h3k6FQmITVRvJhrHCk
8p8gthnTWUJfBmHwIS+XOBC9+jwLNabDnFX57ZL14iFxR1MjJyuSjzZAS90bqMnrjVuJmsKkMqfH
eDaHx3le0CGuR+7rVs/iERW32nhLasitgi0m8juiMdEToMegxxGb+tkoNDcFANVYX61Y0wfiryAR
7OihZzFwAKpmqmP3G2IheWuQWo1E3Ka1C5ESahXpPeJhVqd53CO4mS/mtBpHtE0uhOos1u8MF5fL
mdQrZL+K6KsPuXRS4Yu4qShQuxoAp5Q3PU1sZVMnoRReNzeIXWqAMJWnEjB521B++JbpMhMa0e1X
ZLcuibPNAPX11GUGxVFCQ+PGDFMou/po2RAWS5vCcSLj6wO6FhhP77/jb73h5mpywIFPy+i41z1V
yHcSTqZB67bVRnRa5LvZWJ2QMLw61bOP0PcS9L9oDDJkPtyJGyKeYnZHETRuU39uSgfZXGsrnoG6
eZM0otr2cZVdLrGhbWm+JyeaVa8+BOvlV082/4d95/hzk7jxrCCkEoHRO+F+FKUWYFvCbDFzsvs3
niduNKLgmZwSgnh4pzHZDZ0ZsWNGWjwQP54r58agqidu6NXnhhtaE3wY8zP3hjl5eJW5Yo4p01AE
els+Z5Ez7YZJZMhCekk82zx8ev+m3rwcZgJEKKj2McwfXm5KuxaeuSMIHM5A6jpKta3Z2c6ROWmQ
yyzlTz/c9BWpfPjorNOgVx/uDBpCz/BBEB5DmyBZCdmF2ZELp6anKFSvlgZOJpqyNqvCxY5z/CTV
rBpNEm3IuW6ScUuI9OxrMiTcSe3/1IhpITPlKvQNGaWCbTIOn2IK7sEqqjrar5XuTnMrG+1zYe/G
RBlPrI/Xd8X8iiMwIAegJe4xx3UIh7roNcYliKIeUifl9I/qastf0AzeXxqv9g/+DO1Bqp51WkQa
xOFNcYCfK0PO0T4ym9bndIvNxh1PgVVfLUCuwvpDxcIugl/qaAEm0PPHaIRGW5UlvB/d9txYfCu7
4RJX0qkk7zcuxgCMowA2z5WGefQKW0bREZXYx/s4XE9eSxT6WMurIBs7okLGVjnxY72CNeGZIQx9
PQYAxaFpsz7j3+rUXlSZjqPRIQxNtFjeFPPKzPtqJ0i8P9cXddk3/TR4KZvzVrRNvetCqWwGu0EX
aZFIo/T295xUyL0+t/EGWj3g/XK2dqnbTxsRim96glxMJBrn3YJMRid3tKuqKaX//lp4BYtYbwTf
EbMO2BTU3UdPjhBDNy7QigWmmS9XMp+i8ybU8h/qPACZNXMFQeDsGsntEmuELhOwhknNTqsEBbAr
SUQ04Le3u1FZkweENp+0ub76DrElQz3g9SN4ZrVyHD7pPJTOkBHUEswyfOrmJdAL5dyKoodoSi9l
I+6N2r6keXjiJXnh5hycd7guC5fvAlNOtpmj6zqtUbhlFDGNtyJ4+u5g0junV9WnaEjTprjtYXrs
8z52LzS3lRehWNIg1VLpC7Cr5lKNaGMshUZTp+5CM7duT/xyx04IWJoriI/WN5Q3rIjHr3E5mOYU
TS4XzaGclwvYIw8NbonbmBIpAreVpZjjLU5tfk6TpQIRVbY0MgaDEwDw2lPY6/UTdvzI1rHleiiH
fXiM61sUvbZ1fF54480ymIy29lK36/jl0ltHaatrDnGlHwJH+qMBOKdGHgV+TIsvODQAnsnhGuHE
U+pJ37mBG8bOebrAM2l4dls7p7mvGm3+p2c5rgcZiHMcZ3pSmY4ePRgMqbUoToOysu1LxuPlmZPJ
+cQn9Y13k8swwcFbRtsAt8vhbfGhyxw9EjxP2Zn7OIbv01qi26q1YQV9lCR+MszplTI0QS8LCzul
jRVyZk6+S6LQuu5kYp01oThVML36VHH7oCF4L5AJC9CTh3+vyYryspqiMMgAPfm6plYXzBnqTZLh
/np/lb99KTze/L6wGY/xxiYNdACqIMLwxcWXxRSBC8nbNKC7fQog9+qzuN4VCDyeOAId8JaHd1UQ
IltYVhwGxpDO8AgSdd8ryZ8CF9al+vtVjhocFSO5lhlFGDBgL64LQJPnFeegXScV/colxu/EA1z3
7+N3EhwQcDB6RpACjtYQhmx3orp1AxR9PaJg54mAywkBESyWej5PMBCcKKff+Mk06Nzgjpg0Y4k7
uqJBz7lUtDwMUDFEXtLX3c5RG7qdk7t8fH91vLHhQCLhamBmsc4eo/AygmJ1nDhhoGBLDroQy1Rm
KPicSvoPbm486NJNd6GbnQKvvnmPK3YABzi2z2NE+tiNVZEYfRgwXbqbkQbhw0oab3BJUXv/Ft9Y
lVjq8ZiBTGFwfwxsNhXGVzaysAAZf+P1umJssddYu/ev8oqcy7JEh7zWTquXkULgcPFnDTgoGt4K
vs2xuYAILXc5+v/tglTxOimlANqvFRd0BjMGTJP+nejqaV8lzBze/5u8sV6BFa7YJnZzJnNHx06K
lbFwizjaFwaJLyT6Dht0GL0P4X28SJSKCX7fFo/vX/SNdUTlQ8eWohik3bFpGCLIwsPv4n1f6OpF
F87OWUPfhA4A9EYnE91jaXf9RlXSU0oqZ30bjt5PRPuIr7lnmDrHiLlmZQwsEKP3WsY0DmXaUsw+
5WS/15vYrLyJcJhnwopNvC5mBkChY+ZBjl9FIkpLi4idF8LA3khpHXltaHTpNubpMn91QQOiCByn
S6VJ2sc6RrXlFb3ybEazqHbSsYHXNdlAaksVtvl1WEv3R4vb3drJUtDpozFee6CvyLcpiCcv/MK2
O34TpjRfSn6nJ6PUsaZbDXKtwSzVLdnY/bAfRB8+hcoUEwqcufromaSloKKLY+3rEM1dtWkTPUqY
wDJy2laijBe/UnW8R7pTi71NBhvT60SE3yKSS9OdW/Zl0JhW8aOw5vScD3sP2j7trqJGzWhqqQ5k
yQh16PPCMUMS3WYAN2UGjuh7McqG+Bgtg93qWHLDBDkl8STP2sckbdWVEUG6AhkTdd56CDWAQ45p
OJ9Z7YA6Nx1H5kVGN/EERmMEtBmNUfI1XisvX4vzz1J1mcsNrmSk3WaDmuPY1PCzvb8639gCMDDj
QwCniv3xeHU2SzWZkyC4Dq11+Umti2SH1flUtfHmVZgqcPLEMk0C4uEO0A92GfZEd3Fei63tHLWY
0pboVDDgiauYR1V1bkf0mHst3oda8mT2HHaqhPTs9x/YG7szARZAynAJvxBBDm8lRwwc08/hdU6H
cYvYiYzqKde26AX7E7/NG9sVqiqOJbTiVrn60VNrCm028yyTe61KCdCM3B8MoZ+XWcnxkcYwPDh6
nbjk67ujwUyRvf4LzY2Xo+lvR88CLV8mhS73CQTTLTlY3TaEG7xj9itOfHzeuhSVJ4p/9DWMFdZ9
87dLZUlGfxBZxF4mreFPtW1t3QgzXmciUXv/N3u9MBiLrB4Y6mo0cMdgFWa6rVFbUbKPG8pcipna
03pAge9f5c0bQsjpCA4LZGGufYTfbqju6IAbskr2YSEjlp7b+/os79Ux7X9+Uf/7xq7/7w5U16fy
vtvpnSnq+of/maK6f5FpA8CCsyDqxpVi9o/tyfiLUxoris2GDtHKav41RbX+QsONOJByjpLn5Uv8
zwxV/QseKO+Yy7vNsYiTufiTIerhgkPCvLanXjqVCOs5yRwtBQH4DD1FIaBq1yon5hp3EGkPP5fB
Abjud9/C4YL7eRUmyOg3VQ358DEsF4V+1RE4bgWMymJY1A4aCb35hiv0zxqwP69kAyGh0AeLRx/2
cGmPea3lxWzrgZ3r35iehfcA2Us/WSLnBDjmsFr6eSXk0BrFKNvCq9zamnRundBEI4jL1cIylXIz
WTYbXp7Mn3PFIu9QnevLqSrnP3p9/7kyYmEoWhyIj7l4Vd8mA/0Ngx66yHazEzn7YQY93CfdKf/R
+vP/qy77dSn6vmBbuUVx3MuYHH0xepVLxaOWXs0uWrQyipu7WKmzc7EM6fNvL9HNz3/y7wvljeVI
T5u5LZ44erLH4txuGQszIY8tcAwCUgWe3K2xZrK+f5WjvuXLbaEgonEBAof37xgy30arJciodA5L
VIV+7ZT53yN5m6M3OzXtc9r1zWVUaJxqxiJWvHQKqy9qLMmXU6Vlp54a1daHxZrreysyQ1DnvTZ9
4rUl3tXOc8RLpJG0l/UY139Dk3Wey7HOyaQ01bL0Jj21+mtANhxA37+vN14zbosWMK8aTcxjMoRl
hIM5W5YeKEhtgorh3zYO1ejCaiEgvH+pt34ohkTrC43X5FXbjVxGzALLqAch7vWdm83dXpCJdfb+
Vd66IUTaeIfZN9BCHr3Ntp7ixXZqM5CtVnh9lLvk/zUEbw4y+aOP/M8lwYeXUsnFygPb8nDjaOnJ
5VKrzMAddKzvRgosRRpKMLrjCbfdW48OhQcXIqeO7f3opuKhafA35WaQlWI5r01p+mmm5SeaAm89
OkrYlcTPAZ2M5cP7IRItpiOnGIFJMBY1vM2aVONw48aZcmInfO1gYDwKloLz1EpOwtx3eK35/3D2
ZrtxI0vX9hUR4Dyc1sSSJcu25PmEcNvdnGcyOVz996Q2/hcqFv8i5EYDG2hjOyqZmZExrFir7dvB
axPTT+AlOQ2D7R27eWJ2P9Tao66Nxb2SGuWDjTLG5wQk2Afw5eXBUfCMimHBAFFCI3H75Kw4LhJ4
AxYsnIh3XfBRvCkMaKr6lHjiD7Bs2j+AGI+QNFWAEWale/gbe4wbcifwyMvPXeiZhmRfjMIh9DR7
FEcee0c59LFWgvyO/9w2tnaCoHtn/yDaYYGL7w3vWq8IJbT8CD6IE8wzxlOXeMHGktZOkGSwRLyC
vgMX43JXQeYWc0hg78dWkz+CXm0PVdtkjOCE2oaplQVRDSQQodJBereMD5BJEdUEcYvvZJ3t5wrU
CBB82BvNjMss5eWK83fDnYPjgp13WR8HNpFZyog3KVKnQSBuGI9mFAPtMBiGKCkz3FOzE8fbe7V2
Oeh4E/8RzsmzuHAsAHRdtWxSlgUMf99UndLsqxAQewsf3F6HP+Sx56ehSgwVFa7NCJ3nqk5d0M+Z
m4rdOOnBL9VJ5h+3f9jK9lK0J0UGX0Baoy0OUWmNbjLmQAt6vRuOQRVVz7mtmH7kbDKRL7pI//vy
koVOhrsWgDa5/68SjrFsECjs+AaUVLoJXsQk/d3WM+K3rhdHyj7XGuvrADThtw6OkZe2Qp40DeCz
aah6fdSTLjd2qlNmd2OZDuMOBK3zPdGsZutZk4texDseDw5Ok2NCgiSP0KsfGpWwJJUToBJ7qlJk
q7OgZzoim6P3qhagcd04df+EqEt1cMbCeHuUTJlKBdD4giB4Yd18ZRxJvTpRnMrxwdO2tPWr4Yxk
uX1SjHkLV7J24V6bku7zlalWiE5KZjh+XzT2Xp2hydVCxh5uH7E1KyhUQJBNU1X+z6WVeJgFasiR
7TsMwpxNLfPu9GRTdGbVCiEI/9AGRANsYcUbCsDs7JmXm4hMGMn3CUDZhu/YMrIYLh0Ym2mmarR9
KzJMaAjHZ3V2t8ACaw5KshZIhCSUu8tkzJhCrzXV1vbToXvA/Qe7Ka0fpq6DzmuIKRT9f/n5/29i
trYsDygvD5bsiyzZ+/XEjZumIP2j4BZ/m+YqfRhilz7q7YOw5mtogZCvMH9GLWoRjBRKRCMpzjAT
O+M7iRrY1XOgnNBW3+pfXZsCeCyxCAD9X3huLk8DvencmVTOXBETi/CDzENOT303z/mfty4KS4Q7
aBvLFujy3FHZHcc8VSzUtAcE2QsFCmUw9IcO5q3DbVPX0YxEUyOYIfN1qkNyG19d18zQ5mSkueVP
g91+Gblr+wiJdLgKNP0U2F385rgbe1jCEYInoTywsFc2LnOA2AtTtXvi7bAPAPGGR1GbW4Cf6xNI
CsHXo0cmSQ2WKm0OiWue5SVHI8mis1pXCjC+Ut34gKtWgJ4z5k9NBdbiywU5c4UG9MyCmGeX3Ke5
eF8PQ7bRgJfH+PL1gKmDkiQE8mA16P5fWkkSmuzUKm1fmw0DmIGj7rshFH6RxMMpGwRimWNLJb4Z
9POgvVEHUb6y0vxL10i245YvutMpugHmAR+VDZpUhPdg+e7r90Ec1L47pcFW3H/tr6AkQfkDWAiP
CRiRy/WWTV4yma1Z/qDNDkCtLvnlBRAwRKOb3immojxGuXxeLEjXgrQbjwze1g+610DI5sVh+qcR
madB2jW5n0be2sdhbsZ7dRzbp9v356VfttgZ6Q8kjJOY2V72fxk/6VwGhCyfd6r95Xh98gTWsbf3
RZJq8PMpSRTvOaMZvQumZA2YEKA7ZFYnsrJD13v2HzQ1SQlv/6yVU4lQIKOacAhQHNMX3y/NWsB9
ZEC+rhfuwbOr4KCOQGduW1nxiKBBKPNRKSeqWc7umzSJOuhjLL/lM3ACmfXRCyj/dYa2/sIU3h2P
KPm34EC/PBAiKmlG8cr44LacakfAVtx5szc/RwA//bcvi8F09DUIYwnoF/FrnOYkpE1u+1FgzPtM
SbOHeODthDRk/ptl2SoNAOaWmexd3GswQo1j1ZXt1406HkoLfHZaE6c51Fk2jsR1AIpK6gurOq1W
mAjkZr7y9I2TeK1uwNntdM70Xg8H/aAHobEXANq/mGZRnRkRZaqg2nRea4cRABlhBaVTcrGF5UlF
lxAcje3PZmwdm7LO/cRW6431rVmhlcLDCRyX5sMi8MwqJ48nlSOvCcha66EFUE6v8W+sQHTHYBDd
5CvUNilMD4eeZfkQOsQfGkB97xUYZ55vn8C1taAmIFEJ9J8YDL3cq8EFM43Ph+VaCdN7Sx1ixuzU
ZsPLXllxGOeQZ4F6P72nJcANTF7vVi674SlW+CHvaKyR0r05VJdWAMjooP1k43OxL6kaDeD3s5yS
gg5RpJcX+ypRu9PtL3bthyHxQa0OrmDJuU7odPnJJmaabatqcj+GZAmVOC2ECFWLm6zcj5aIniA2
to0dSbojjmMezl/VDFbsnZK1ur2nvlncO0XfvA3fzMPJr4IVQdYYyfoYn7/8VR5FDnPCc/k91JTn
oWl/116YvGPyeisQvgrkOC5E97RaDDIVRw7Ovb7eNA2ScEis3LegQDtOINZhmUjS6WFMuvmnyNKt
RO/K+Us2feDNFNQZ7+deXxpUOmgWA3Mu/brXssfRAEtt8UnPhdd2b/WSL9AR4P2UpKB6W4Yfg+6x
t3NS+uh+Rkd7AmmwmxklpYyfFBuXYm1ZCMsQ0EkBRhoGl8uqw0aEjB6V/uwyUjrZfXzsLEhvO57U
w+0zu2VKvzSVKwpiRw1aMfVcOPtCp/zgDEzAKAy8bnzB69NBnRtiJHkxOIfLicZxxHGWdlP6qYVw
B9O8UM+LZkdgp+1QjZs2zF17FmmOMQKNigyv2uIFZbKasJhZdz/pkvk+aXWIITwIEG5/v4VSprxd
l2YWbrKf4bIZQ/Zq9JoItbsk+OWOSEzPJtwOGWVSwNOGN+xCO5neeaLofg555m6sdW0XqT4RlBBv
SS2vy12cUg2hRmvkwMxx/yGbYt2fFFWcG1N7G1jzf+uV6F9TzqSC1pSf/dUTzuQhDGFBKp/P5GNq
AEvVGkbOxeh6G+507bwQIoDB5xMThS8s1SrxAXlI5s+1Xe8qN0gZE23fKapGGzKo/tzeyLVPiKAr
LUeJ+IPL5XJdXleQ2lR57ivC0g8qzNtntejzcyf06Hjb1FUUxHpem5I/5dUnTLtQ0hBE8pnoJdVU
HcGKo0Mk8LHzLIZdKkpjXtWW46HRvPKf28bXviraPVDlEJQD7F0Yd7TG03M3zP2uH8LPhGHNf12e
dyddacd7LRFbOuWriyVGQU6NZx5Go8vFzkoS6r3Cd60ytTwocIDcOUXQfGw9NfwXUrP5g9EL8a6K
O2sjX5XO/yIrkp+Zwg/tNclf/4K8fvWZRyOGYEPhpDZe7zwoE5w1h6Eo3DudTu9XCLldfTcOxttE
iv53QVw5VEfaqAN1WRwk9BOtyBJG5k8ReBrTCSBd7ZJp43KsLY4hIvJTimmsb/HyNVVJ2ps7WOET
HAwg458nnMMTpCEacVqr3eeVCzXF7cMjf/vyk9JSpjdPOEGzYbE2hl+tvhR25muKN58aysdg8Fvx
+baVBVD1f59QMuWSXHNkgDpcnpksNRMDjtOM0oJof+kQcc9A9roYgeXJyoK9C+HePyOc0l/VPrl3
kmF47DLTVXbUQOL0cPvXrF0YpF9IG6DjhQvv+sKodRy5mT+gA/XFapXsnHoW7EfM33/T80T3b9u7
bqnIjgWdNsJhORS5hMMzc5orTYi8SplAyul7GfQ4ezFmseMbVYaqh5J4CQyAWTPnuyRqQuQjEsst
DjmUjPqemmev3lWlAcgV3N3WK75yBKQwCaP0EqLDw3q5N0RcZCVTz69zJ/udmrTVIxoAWx9hzQqN
fprvROycNePSSoi0qhknc+7TPPplztCLCAOVxNtfet0ICoxQboBlXy7FSJlCtkoETpQqNaq9Ebj6
O/KHYEtEVp6Qxa1hugMrJIbEqMtWY2kAx2ByOvdTtc32oz7p92mse7s2rtO720taC0ekJiG9Rsnd
eDXnCkkk6qvtkPvGlKofKiOCkt5ouvI06GX7uUfG4ZuuyBkikVj4JUXrT3npxht3ZvXLMhuDv3dZ
9jKrGxHLdc2EC9yWdXBUwiJ8X0aK2AABrFmhm0rgTzRCNXwR9eDzswmQEg6e/iqEgUl1KqDF/4u1
wLXAhAt1LJneXB5FUAEtvK08YLHIo0crhGsarMYwtBu+dSV7JKZCWgdAK9QbICUvDSHGoWgJZEV+
wa7s4RlzkQLpSpAaah09hTqDD7lbux/HyeqObdS1j+FYkWF5DEBAMgXV2Fv71jgicJpy8hHeN5hS
Ln+Q2dbukFaEtq3CCMDYx8MxjVPzL24hf72MJmltUGm4tDJaMSz75KK+KiB1VeCb2g0FzAEbF0Pm
TMtLSAEIVhMq/szILB7MGeWToQ+7wmfY/wGuzWmvMF0MkdizHnaf0dW574X5rjSs8wyX/r4xkreR
q7y8aiCuuQ68yIRCS5+WtGOLQAmkjIaRd+iEkQR1kbI10r/mbDhHEJGgUkTbYXGK8tntVS/LCj9j
waeqr9rHqqaDA3HeFqho7f5x8SgSkXiQ8y/un4WYGHWjpvCToYLFqrGpkkfhVtV1JYAEtwSMjcqq
fH8XwUCj91MyMTftG27fZshy6PVDrZmjfigqfQwPEgPgQvnYzmzpZBX/3j44q4tEZdzCf2N/CabD
i6YwLsMrByFct6tE3DxUBdLAt62s7torK4v3Dh79qtVMktXaLMVp1vTxmFkjY6b9uPWAy4O+vAj4
MUm4znQjEOnL+2bkBTGrmZW+jseALKPuxl0JfeaurQJ3V9Kne+aebBWZ12I64FNyqB/cLzSwCzea
TUY6x6nCNrZNW0LKYfa/OKh1CUiK6BiIiPGjcBmu2pUim7/ac+79nKizAVeEjbX+i6eDzJLCJoOl
pHsLb9AlbaqwlexqkvX7mO6Z2PWW021JE6ydHtqnjBsx1Ycu4sK5IYwyd6MzMNtSMzqapWF7zMj0
Npzb2pbiVAxyLN5CcGGLLY3UGjwcZbB8Et/DEClOxVOeUqX51qUD40Xx+PX2cV3fzVcWF4eInU4V
xxClz8iW9rE30+IY5Ea9r73W/qzkIeNN8aDeZZUy/DAjCjzlLCa/cztnY+lrH5jin5RgJpC7Qgvj
M0TCqSp9kzT6MLSq2FltvYW3W7VC/ZhQlLz5Kp4J4qi2KyhDfWrTI3w96Q/EmeK/8AG0cP/PiPwR
r/JVG8yNjYgWss16HBwHJLv2GnneuXG0eiM1Xl2PpKDAnOQyW5gCDRrHtoa7MWzF+0IJK90ZepBs
uM7VTIYH9//MLE5/aNZBpWXcMtEPv7SZfqSrP6PU9dNR2yPasw9d23+Ixm4X6N1jZgyHQvmvtLfq
AGu+lXEQyqhM8fD4Ll5Em8zfVrSSMGYagvvEE+WdJtLqXQ9KaOO7yr9q6VtlDRyUH4hRmtSXW6hC
eKhADZP7mdH9pxpC2SWquNOK8WtSR1vU2mu3HuYXxpIgqCXIXhQ4NQS4iqiJCikP2CZSPU2p7wbF
mSGGL4byqSwR9WJejxjufPv6r31RAlUQmjDBuLQoL5fpNMLtmmqSBax5hndmRN44n8JjOKjDxqVY
W6R8+VW49l64YC5NRV2mVybKLWiexNWPqamM/4a57Jt9reSRbwLxM3fA9du/WSFD+S9dSvzqYoWT
zQBCZiWFPwZx96k1B+OYdWW5n5Dh+wsPJoEvYHokMk9dHM+gdnTUtgjYug4RZ6MIlZM1Z9bbWwpE
aoxsMzRC/WapEt5AbylGhPv8VBBqixGe2Vj0zbHNlS2xzLUto01C6d3GHkHo5ZYl5dRlaPsVADXq
guGBtHKNwxDO7TEUzAzsJgh3kl3iRtZGLX7Fq/HOyroReFSJF7k0rKY1rKluD+t5GvAgTPpEpcic
724f/pXlEfG+pPPwJBLKXFoptFHRFcC2fj8W7V07zkO9R2Kx+VIXVvlNLyovOjWqtUX4vXLn6MEa
OjQR5C9XINPBanMDDdLM7ybwww7lcN9tbGOfhOHbZlFfEhVMkfVxUCTiZvE6wJRrZ8RnmT/qVnQH
kwAShN74ZswhYAPPkewBEs8GauXyO+a6XZpjg5UEArq9SA1r3zjFllT0ypnAipxHkGA2ehaXVsx+
bEg5pRVQIb+Bxud7Kw2c/26fibXNoaOFMyRLlg750krSQ6eHcF/mB7mXPNPgdY1dpjf9HXqF4Ubo
unL+iEIIdshlIX9c3uSJAKUfEKb3hdVWD1HRkNuV7OSp9gTc5RoZEDylaF+9eYmQIIFqkDV1KrPy
Z72KTgZYUlQvTunGZAkigkmV7AuDefHKGIfDbVNrRSxbWpIFQNk5WByN2iiKVjAtStSs/aNoUPvO
lf1LFM13d8id3Uxj7VHbmxsucuWoSKSXQy0C+VWet8sVen0dJ/00UrQqhHOabQVdUqNx3h4igLVh
DgCMiOTeW6zNi3qKv6LJ/NiBUludYXEfvPkuHqQCcx78xV0GysUEr4z06NYt0i5FhT4I6FXmq1SE
UdIIUvgd0uHtlaILK4vzPyD84yLzSDdCCfsdql7lXRbWnX/7XKzcMun75NPiQQG0jFqFPfLTtYxb
1gdib4O2R+x0yI86qrAbp33tLLw2tTgLedRWeWsVeNuK/DBtp2oXW317uL2gaytcYaZ36KdSo7he
0FTEkgvXYLJopAod1s7Xwhjd32+3Alss1XpZwjCuBipFF4XT0Op+mLM5CVK1xziB8eu2lZVLS8eL
eVE5LQogYzliBkf+kA5KDPctalyFMn20s+I0dU23i9XKT/XkvWOm59bOfcYTN2KoF+9zGXjbwIiI
8CXbHVd34Z2UMCqBXDEPFrtWBE+5Ke5io0Olyimnhzof3QNbWMdQVc0DLA5RtYfOMtgxwdj9cIXp
HPOpbe501ADuvMma36tI8L4L8jS03r7l4FhVanM8eWh3LN4j3exJD0J+qAul+znP0/GYz1G3EaO8
lL4vvweFFh5YPofHaPKS2NP1krCnLlz7Y42iMANyI8LIYe5WvztYPJ7rRGhfBy0oHxozNFEuD/Mi
OjC7nzV+6xZUhDooQIddl/R9czDSPmh21mBkyW6oQoSO1WjMundI0Iztvo2V0t1FokzVndnpaXM2
hykKj3lnOv1OndLpQy/UKER4rUzkvJha/4rLqfxvRi7NhvA+6N6FysjfmpsawhmEbM20R2crggGW
Rgf6EjG01Ps5K0gei6RJjy1k9L8Hhzk0KYjcfYjIhZrj7fP8kj4tPqGc+ONEEZ2AZ1rE5T3hXE/N
itLNbMz/GVNn+WPaQk4balr+DZZ8/XeEglGOIILVS+HeLgwPUOpP/7a90B7g2Ik/qJDS/gLd5Z11
WhS7YZjnz0FKr/pAGBEik6YNWXJwEh7SnZoxmY6sa9P/jhmr/GTUcy0b1jy1+0CUiBcUjNX/0ANt
/nx7qdd+FTwTD5KMKOR8zsLZmXD7x2HgUXycVOe+jYZ4VwgBD77WpxsX9drjYYozSRQhYZJLX2R1
6AkWnC3fMerqkPXQUjYibzbe2HUr1PmlZgzYt8VzlJWDUo2NghZI1lU+TY7uMQqqt9GcyDCZtSBu
RKLDMJXjLqx4QuijGbulD7u09zBBg3ACbhBs0NCtbo5kDjKpvEIVZ1xGJUZSqV4zs5YipapWlkW0
F3MxQ44skg3fdB1ZsiCKFjxGoKaAuV2aQqKiqPu5rPy4QyBEjKr2DPtqfwyhXfYbLUBtPm6LT7cP
33V5H6PwsNP54Q0E6HNptMrrSQfHUPliGPVnm3Dl3LZl+AiLjIeYhtKeemQO9p6jWBs5/sqjQar4
8lqA+YHEbHHDa89plcClPKUHWVad07aEyltLLOdjolrdkxp7OeD5rm6/m1Zg/TAaD6HyeFRgPcMB
Pg9C7biUSal+7+jd2btKjdqP9QBJ7q6llm9veCT5c5YOCe5TCYUidLzKAHGn0QjZRQngagQ1mnsB
wpJa0X2htpSdhiobf97emi2DC7+AwlKgQxdW+qqTfupFYX0Ig0E8qVY6PYbBm8kYuE4viEfmmTmF
S5XJSg+spulZXpQW3RMDu/0nE+qOz0Ltj0E29Bu7v+YjmP3ltMsOMtwll+dOm82oKCKcnivK4FsL
Gmo/pLHYiL3Wbi/hHaSm8PPRZliE32oyGW6g4oQ0+m/HeEyV53Q02veQyYbf375bTCMyG4MKOnnF
IrII4sqkn+9iitHKP17jFmclUr0dxHauDzV8vlFtWVsaTTEGwikBArVaOCYP0aepDuvSr3I7e18F
jr6H8cQ4aiqElLeXttJugOlJlnWkNYkKudwsJQ6EYrnUqyM6Af0hTWLX3inG0Pe7nkEJRmbdZqBp
m9jGs17Y0Ka5A2jko1HD8ob2kdjSlVj9RYAEia+kbCQtxstfFDEIlHY5XbTcEG0LLYZVartYQbvW
UEAmHVWnVvZmpAfFrlOYPx0QIv3XrWYI90Mm7r7e/kBrN5VQiGobjFE0mxYlNyWfhqlP88pHgCLf
p3YYfrYiNTtA7a4fFS2bN9TgVu3RDGWe6KW1tbg8yTzXATJGxEaUK0ElQCK3LzS7POQis99NDLtv
adBeWyRc4GgjEcw4J2YX33uax8kr5OkuunYX1AgHMcnxu7enL/1UbBEUrlmDEpw8gvoKIMnFXYK/
E9Wxoa19MetFsnea0ToIb3L+WErqfhkTxf54ewOvLxOT0bJNyGw00+rL/KVCKogvmTR0RxXzaLZq
+9RWQ3NAqVB8uW1qbW1MW8AA59ICvkIO2kZr4tWtyq+APT0H2dilsAiraHrpPLl3Tpo0+UZueO1r
GVMB0QZaDJKYK9rzukFWL67ZPEhU4qM1mulhhg17w4rclMv3ESt4CCodVNNZ2eURIf9ASjwZK1/v
tO59P9ZqsmvnIf+hDOP0y+3D6J6cJtrraqMHu8Awko1NXFumLIOgLEi9DXqSyx9QWHkmBH1IPyoC
Z4+aHQBeL43eHNwC63plZXH3HBuKlUQpa99gchr+/dg4JGOabXzM61gQKwy2s226wUFZ3IAR7Rgk
bEZugFEnd+mka996LTaPg9WUnyZFa6CqLIJxw6/ILVpuIYQfslalyUHgxReMBubulKyo/bAs63rX
teHwqVTG/DtJj/hpJ0F0DIC3oNHMqMfh9r1Yu4KvbS++a2mERmp2ee3nXZC9K1tLOfZQe331uk16
odVlSmErVWpRAEO4PChOn9qWJezKtyYYJo9lWmn7UWvNQ6EpNEhMt3dPfWamviPy+Xx7masbC/yb
egn/XnFA2AIsshEmNRPk1l1uqP+GlZJAw9Ex/pec4nD4ddve6qV4ZW9xK/veQfSnxp4dVP3BdAHx
pnrwdtA1x5WiCjNHDPnBqHT5RUUBtUXhsHlCNHCYNoTgPe/s6fZa1o4I8E1Imdg0JpwWCZITz8zQ
VmblF0Ufnunb4dFCTTw3VCyfb5ta+2yvTS1e9F4xyim3OSJ9HiaoQwPw6Pd5bQafb9tZOw6gXEkt
eVnlNl1+OM1qHKBHfe1PiOMduiTKfxRhGIwojvXzB90V2lFNPDM73Da79ggRsADsBWNI0LpYnoJu
QpKbODG1rKffSj9llD8zl8qSXTu+0kzw79+2uLZ3xCE00FCShqthcedCzR4yoXNCQMVHZ6NorDOa
UeO93urW021TC053WRmQnXEQxTwFVN6Xo5NOjIxWQAXCr6F3v/PQOv0y9k7ua6poH4os8ML9POnA
O5gCOXhd6nwYGSrfz6bXvQMd6nwpxlh8sIZoS/Bg5VSZBk1EkKyO5ApYePVejTO6ZCD28ny0fxXT
2Ic711SKaONjrxSDidWAscuAlFRt+bUdtcd/mWPhK2nvPWmVHR8bN67vTbUOHkAOuF/Ttk5O5mi7
Pvg676s1KbGz8StWtpxCBoql1GfI865kqA1jAtkK4NLOAHNGvVKeJhFG8U4JnPHN2RALfmVrEZ8W
gZ04ZazxZQcDPQgvtQlSu3I/I71yvH28Vpcle0cUkj14yeSVftWJMwqYbdKoLf0po4TcWF17p4dx
8CWIqmRjVWvnRUKeZOolMf+LVcVMjDpxDjVz3Sf2eUQz83uhCHfjvmxZkX/+ekEw9mYzsw4IHDCk
pztB+TTSRX9zj4rJX86iJCMFsPpyZF9ZGWcnNUx0Wn3LEcOudgPj2DvVsL+9OWsn3wIUQDNC5irI
ZV8uxszZmkqX0uui/zxZSvNJp71Nlyfa9fbwrm6G06BBpo2U8n4Gmb/xvK98S8xTSKFyDWJ9CTJu
2ryZOugEfSUTMbqR1eAdzKyv6o11rjhwQkNGNGTCQo11cTIGKcXjInLgA+mKfM+d62PWqu4OzLhx
FzRZt3Ho19YFwpjytItDwbFcftZBUDaHaKIAsa2lv8bEU58QQHQOt3dvy4q8eq/OiBpAsN7YQeFH
IkD7bKjEvsub/95uhF4fopRUnmSn+dJIn42KVYZO4et1oD8UqrCPHIYttpa1pdClx9kDq6dzv/AS
dT6IJCtw9ZqVx/ci66IHqx/t59trWamhgs4y2BNSOzzsktsumGc7nqErpz6sa/+kSSK+a0ic/0xH
pz07SRHvlcJLqqMTIaU4hcKd9xMdqF0bBpNFMzJ171Uxlb/oAnTfPACQxyZok5Pe59mGL1s7sWhi
QTVAS0cmwJefPTCFYw1JTrneM+6LOUB3sRgfdb3/XraEH7e/y9rXd6jTyoo2qNyr988qErB5wFJp
XVX3eWib74pWgyH/tpmVp4BKveR0Y3oJhfvFJpu2I6pIMJSuFdH0c2gUE9HJLD1E1K43UrO1FZFf
U3khTrS9pdSX54k+bVWuRjmH+U8mjLS7nIHZjWu+tiDoIAjR6BFR6FncDSW3sjxBHNTXOl15CIbG
Ogy5MB7z3g03PNjqggiFqLYAhyMRuzwPdaVRFDUwZdZlfsiHfD6gYbkVdq4UJeTuMElG4EVnXJ7K
Vx4lCtBUiAKvYJDNHQ6jF+8FzDtVG3ywneZfkvlkR1fe2Hmg4jYOx+oCOQIw4zAPwvN9adpjzFiD
arDwqxZapkYT+k8FktkND7BlZbFj4axEc9awwGy0kmhXx2Z8byZ5uNGLWP2OBJOQWZDd8bhdLqao
J4LMCp6CqKhQ/7TUqdkNWRWe4qgfP5pKFD3adKfeZZ4gyjTt3t04mfLdXpQmJB0DvQK+KM2ixVXr
7F6boogxMCiMvPdlqCVHoSrqp6kZ7PdFDBkxkuKOz//ZCzc2cuVS0H6mTI/u3YsK1uXao9jJolYB
jNp5TvOoM3r2PddG6yeKLf3b/RbeEQizVF0E4LtIEBrFqutOiUGIerZ6jHu9fFQT3f5y223Jb7X8
lq+sLGdB2jBFUDQF8pq7RgNfZhQ+Kr3Won0xT/VpRlXwmIneSTe2cOWoEu/Lfj6tYT7m4qgiwina
tGZx+WB1O4MhkGaXTtG0RbO5tl90awkxMUJfXf75qztfVWrpjnSx/L4rj9lUmUd3SL5VdTn+xYLg
05BtLCJaDF4a0vRZ42xgKI4K7z5q6w+B5jkbcfPaakANoc7KvBD0jYvVuMQQcT8zJWuo3Kyu6j/Y
yG4c8j6Z/rz9WBDcMWjN6wxd4yJ0LsUkGFLVsFSLfdAzk7Q3StU4pn3X9ftMc4sdkPdqvLttdu1Y
ELlIGKjHfMBSKhNtnh7XEktGi9HeuYh8AOPItyg61qwwWIX7krN5V+DkbPbSXHEAsltJDie7oQ+n
2NkMCNatAHkgzAH3s2TnyNDzUY26y30XjomdU/flx8EI042a3ooztjltkDPhCQHvLrxEZ2dVBd4F
K6huwazQqdaRbNX9HqZ9uQ+j2v0Cm1O6t6JQQWW8TrSNt3vlTDJEpsPDRneGnG5xk5Vm1kjnQbPP
M2MHec+kHFQk4/1Ub4qtr3zRC1OLMKG0vMRIIuZGmRB0EKt3fhk86Bseft0ImDCd142hafnnrzxG
n5tV1tHHgmwzq4Gvt7+EGm4JvawacSh9vYg9XxFTVFqr50PIE1ogeu17A4+HRoqw4ZPWtgaFCklE
yOwwTabLpRi5AbtIwvdqs7AoIULslL2wsg4ZT2X48uaby1ssJ90lLTm9pUtbsVGbLeSMcnSipuPp
ycE3NazeHuHwaIMQkMgYuDYWXrZWmDoBh8JhGxLX2WlmnfnppM7/3F7MC7548SoC0CR3B6qJVO6S
PUztzLFKYkHsm3TTRxF4qcl5c+3gS5MOfXBvQp4kJahS0R3i1GrOXt/W9TFFM/LegYK+O0fDGHSn
sLTN+7TKbHEyGnBcf3FWcZUOum3UNq9UcauWJnY5BLk/j+E/UxJrj64W5xtNrhUPA3qRihM4JCmV
sfAweauCUzV42bzeiHbFyCx86IivltV9inTjwUjEe9FB5ZZq8wYKfO38SoY4KI6YF7vqjwwMZwst
z7nvleUcSN/UY9iVYOzrNNu4KquLfAHU0weSuPPL4wutwFxpNgNcgdX9qTO4F1unOTle8H125pMS
j1DjGD9yM9u4NivgBVirKFPTxSAhZnrs0nDXB2GdpoypoYqTnkBdCGePLtP8w6j19tltlMZ5dmFV
ec+kixiPMdM8zbE3xpi2qZ7Y2UZqufrJeXjBrFDegcT+8ufkQlHiKPVyaJqBdQCOVcRe1TJxtADk
6BvHd6UMwHtB6ZR5K5K+5Tx3bJZp7RgE01qsWgfEgYhAw1qAjjWpDSD1aP3NhZH3RVYeyNWXwyFT
YOpzNnCWR9rP0LkpljjkgWp0Gytb8+9UA+iB6ewtKMvLz8jEWq9Mipv7QvMK2O7FvHcBdm6UUdat
MCEOoysN/eX8gtlXBssBxV3GzP4pVlU9hMmoHW87w7UjIS8h4TMvPKxcl2tJ7ZZmvjCghWy95E9Z
wT/heWH4MwsG9e0pj+zW/5+pxWcz5zYq9Y7TVypqesjiKvRdM3Webi9o7bPJJE6OgQNIXU7tWLnS
V5SN2Zy+9Q5DjS7zDGT69BdWiPtkmM4/yxq3GrhZWVishbZz+gc6s2Bnl67x720ra1eIRIqpSP5l
SmLhnCmbRDPPce4DAvrJdOaTJlpvnzWK2CXjFqpjJVdkNoxamiXDsCvSXeYv0H6EOMOfRPsYuUgn
KLk9fZIduGfmMgCsGG8Tfn1p3xEdoR4npfdoGCwOXz5UjgKWr/DJuWqkSDNrV0XavJeQ7Y07u7Y6
ShqAA5HPkErLl+c80lJRh8iq+27c98+x1hTZrtPRZG2DOfjWoYR0hLZk63ZdHUaOIPNVHskIlvEW
l1bnRIzR4LTF2XER7DbS3NmXmbOFoJd/y0U8gxXybEZByUPYvcXFoibVqFNv5ueh6kr3frLV9Gh3
rXV2IzcaTqHegHfXBv6rVs7GFvv0lQfBOo1Y7hqJEDn4AnmpCJD1bZxlZ0YZG2ZdzWjXxV65QxJ0
60lZ+ZwSsMLoC2hiYqLFeWEAQh8SNBTPSdB7LqzkanJqRkN/67Wj9PoyxG5T1KOOtCiBQXbZGZAc
pGfOU/SuGKzgB7yq7T60UI3ap5pdHW7f8+tPSL2LKIj2PJN/xjLLivp2tEZ0Xc9WFDVPnqIOv4N6
6O8YWvE2UO7XIQmgH3BbklSO4Vo4Vi+PJKqv6BEnTXLWRnPcG6M13ItEnz6ISe1/NKXhHlWl9+49
MbT3BWIr57It4o8hmKuNRV9vJv6T+TLJ0yP3Ur/8ISK32sDKcxY95N07tUvLU5wk2oaVq3tPX4Bk
Qk4CMTdJRWphJYIPuKvc+NyougLzyOg+DZ6Y9mE89/80ozp9LIdZfXNFWFqllwvanozmCpfgwnBC
CWKKz2o/Nc+9oY5PDbXrt8LgsIIdVHdAqZMpLL6gAgWqm1lmfK6hcdunddfvamofG19w5cRgRoZy
UpSVjyk38lXO7Np5pYXD/2PvPJrjVtYz/FdunT1k5FDl6wWAGXKGkigqH21QChTQiI0cfr0fULKv
BhxzTK+9OVWqI6oJoMPX7/cGS1x3k2yZDq18By3fPlizqPepdBJcgBMz901dEW9nblZhNQziKx4z
5YUK4mEvOd3pVo4Bcqd1+jJnNl9TFEPPjCZx1GsdcwlKGA3NfsGa+LWnNNngRwn4XIiHiLPTFQ9B
oQJ8vVyTWWsUgYLc9eW8JFrh987gfkV9VXypK3YVn/aOGu3cxRBXlmIt1l6D/XYXmXK4yTvXvVHG
FrqvwXwxg6boyB2IiYs5OOaY3eJTSP4QYi6xE7S98zekmWffFBcbzKDQF+vGnAyIRdSSk+bPS03s
H+nZrbUry1K7juNYq/dKoxCWIunp3nVisGN6eQahRFFSlHpoFF4uQ40EufEmxwzRPtpzNO4q0eJ0
U811rYVFlo0XNsFHdyYOZghzsGV514+v/FxpmkU1EuUKL/I4QnbWDzu8dbKvY7oMANarOk0smuon
aUW4TH8xFf7xqUYJB6wLEAD3/RG+kYyGjLm2pdiySLl3lk7eLKXb3LpVO7w080j9MUO8Az/3hgvT
7PHOZEH2cDXM7uDuQdo6nfD2qGGSZKvEECu5u7PbEupM2lzy8H78grl2c1gTZcOWjzL1dBQrI59b
a23igBfbuLXKMR3XJqae7dHDtbWPdoNoFmuZnZq0SOqHoLZzSIxPHz2PnpWbIN0eNhEYRKzuTYVS
GDHEl0iJrz3FjgjpHhQ9zPGlvkTXeHTEkeYAC3q9muESoG7LcsQ8wraaRVwbQ+a+QYnOfO+Eq++7
oVsu6avWbeBkm2AwAJNVv4P+G6+/01dbowB2pNGLa2XSyDHvDN+ctdejp9wuSvP30y/w3IO5nGBY
QQKRPerLN97SV0pFPHalR82uyyP7mrOlvokgnu6fHupx/hkY8EqvWg07IQF4G4AsqjBNLDrysW2n
SoWv18CxwxLPsT/3iw3f005bECoV28kIOrESuHMU/S1nofw9Zrr7Fc6v+6UfoVD5OgJyHA3JhPfL
zimeCzTwi9KMh63AXo3V0uYXhYSuFxOheNdDO2iB3XAyDZ2bBZM7XTLnOTOB7TWcgQ9N9x/O4em3
bqYxoWfDMnJTrAYJV6HPpY3RhWVy5ivj9mUBZNAuX1k/p6Pg7me6S5yl12ivk10ek2Q/GWq6W7Lq
kgDj8VAgRmu6EJsP++5WnlXYdbw0bqJf5V2WfctdgAXPkOmHuKGn/fSEelQcrWpKzDRwiqdcIfTn
9KlKak6JgYp+ZTTW+6KJj7IXbzmVvtRz+bpt5LOXirkS3NY9nU2Pzf10OFUAWCMh0a5k0rnXUU/A
Smrp8phj8Bs+/WRnXiKfCqISNQsTcKuwbCBCJmgttCu1dN4vbrYcIPFnvqZ0yYXD4sxIiDvoNK03
ktXq7/ShepR0COI17SqfC4NoXtkHtrTVK9eBd/b0Qz3e1rj8YNOMXTGfjOvW6VBlM+ej7WIBXMVD
F/QojrQ8++6mStjQ2Lgw2ON1xWAcCyiVSbKgFjgdzDZiXaXU069aNvNbVQzpy069mEF9dhQQBJxp
1tyuLT1Zg34sEVBpV11rz69Fqto7NUkvXcMfl7APOgcKWGdVQ3OrO30YDLqJ4yVOhARBWe+mtDSP
vdNOAVpsUEmriYobRXTZ50br86+yNUnuHQpnN8jq2Xm6D7/J6tS2KqYfQTqJG6Pkk46G/+ToBNqo
Ub9antzn8vleegxF6UYtQ6ML4HszM1vDLBUBK+fKTRrrRtRlel3OzbMNpNdR1hscvrJrFOR2FOG5
mZdaGoHH2nhoS7PfR0vdXLjqaI+qpdV7GDY1AmaoKbRET79gEtWTGycZu6JF4M9koEnzsRyKAwr4
KTC1GvmyYnQU+d5wl1Q4egeLYxUvG2+KrwiUav0qVmgzZHX9Eie94TjHUx0OBdpC3wAZ2hE05RUX
1tDjvcFawwrpOAAD4n65/aXdVhFpY+LHmMbeTYHviN9NnntMFvls40SOJdg6UOBQpVJibU5cZZoi
pzcn5ON4UO80t7MCzZ0vpdA+Xq4rM4jJhLEZMNqW1g63VgXB9+arIs5H3xGd9PNivmS5f24UOkIr
GkJHiiC6028tk2LB/j5ZEF4lYwCKoYeyc5+NmiGPw58JT12NYxB+6OkoilRcj9TcCSWLady4UWn/
NHtSPEq3En83y4KTSeKVn/Oq03dP7+MPpMR/1aew1FZwmibM2lRHrfzA9fzjRr2kymwvgCtXVT2q
mF37c9T2URFaXTpNO/gna3mRZG7JnHaMKyKx0+FKpiCVmKFpTZvsvYau2tuptNRUXHVGmuvzzpaK
rg8f+wTxo+U3fCztvhGyXTRgcFeUsb8oQKTBqGPA5IYq5kvFewVtvRM0uYWVva6QoHzAcnuZruOh
X7wrOTRTtucebH6fooR65UO+IgTOBxWynVrtrX7o0/aqKqJRsgDz0p4NXGhExhlfN5Yd7eO+iJog
SbnqZIkvHBs4DVqeorZI6d0y60EooVLq6Adfz1GN7HP242Wch/JtCa6iSLS9eAekvmF32Tcrauf0
qqPoLHcyTdI6GHPD6pRbYSXj96kSZhHMhS5rUn4j+3mZoKvHBfUL9txrM4s9dctfiTEvIP6LhmxU
Ll5oR115zFwhbpV5ri6V+itq+scU+TUW3YWV2UpRseVntjEBP/kEadKxCfLA5kN+9OykOYrYwoKy
12j5BzW2MG9VXHW+R5mJq1VNHXRJf326Fh+emWp3naZMVFw9N/tKXLcTLxWWQdTP8ZtxwcSUKPRn
XRd+DYI7ABbB9OR52E11nbmNPgnDpnGn4cjoKzISb4bJqt+T7bP8fHrxnXsgLtvIyWk6cDnZPJCC
+xixPWsHknM+IFBbt8Om9pQyvDDOabX266FWdSUbJUYL9AlP9xeYktiWKIO8ir08fZeOqh37U+Ek
x2qogKCavpo/4UHdWT6YmfNynEcv80kIqNtjZCVF7FuJRzZ7o2fxB+kIJFteUde3U7pMk88xyzIq
PWck9miZlC+4TkbvF5H3r6I8trjwYqRP4FlaoTn0mkq61zItUT/mSTN9dJp4fmM1WBMR2h15frZM
rRo6I8nzflnL5HXVxm0aYFJj2L6Ih8ba9bWmfcEPYxoJ/lKqTygNG2PfNDrYqcvVQcUGspXfdGR6
ziHjsvRSUWi5X3qpj1cFlgtrpYiezVAfWSGU0JDyls6rMnmwXbJIewXeuHx4+tOdIk+/vtyfo6xT
6I/tOSW7Ti8zOmGUBJgGzZYbVEWv7wdcpHZu2uV8rES+501dYrOfVjm/R2a6UEithep2zkjKiTbO
IU5GlG7XRldPu4jdOtDIH3jrttp8XWuxeO/G+vAqHjTWytNPfnZ8JIpcpuEyPzoTpRmPSq3BFy3b
BMB0LNIviZJNQSGV/LVs9QRPR3N+1SmD91HIRrtACXm8NrEiXDdWCkoLzeLmztFzS+VcXBv4UeYe
bGNYbjFbuLSlPZSkp3srGDLXa0oZvAdogpx+39bLs3bI8UbiiOtrv1cSLwlVkootNFGaM+F7mBZe
gF0OVlLabAO62V6RtnAlUvnDQQT+IekNJfbrqK29XT3U3evRmvAIdVAcvtHruP8uYxcHK8Wr9JtK
G10nxMoAM7Q1geGnoc3Lx8zUpwJlBLWC3zrOJIMkr1XBgWYC7SxDI6J9h3HAUdaZLg5DS94G797O
r+u27j5M4FGXeqTrc2/eC7Y2sLxWpxZIZZsdi1ftloXAISgahgr32NwhD7V/7xrKJWXd470RpGbd
ffGspgG0TSiHZtUQBLD6VZuLpcFdm5WXVWmWV7WMpG+QMXjJK/fcs9FFhi8H+Ed3e/NsWja6yxSx
7c9VnO+WVLz3GoXkSD0ZLuweZyaxxr1OfdBIEwC2qV4n4Mhey8zqCu13tRtGU92rcrjUlXm8R2Gp
D3/xgVnEit10XfVFukufGBKqevQ31coQmCiI2a/VoC0bPdAr5c1cm4en94cz3w3nTpYmt1eA8W3s
apWUVWcUGFfBgVm4f40/JyP+KMryfumib0+PdeY9sgXSuWNDACZ/9B5TLFayUjZXpVSbIAZkDQvT
+31M/9tJdH37H//On79jX9WImLyW0z/+xyvxvana6mf37+uP/fdf2/ytW3lfvuua+/vu1Ve5/Zsn
P8i//3v88Gv39eQPu7IT3XzX3zfz2/u2z7uHQeL7av2b/9v/+Y/7h3/l/Szv//nX1x+FKEPRdo34
3v31+38dfvzzL8Bv1wAUBev4tz9H+f1XXn8t+OlP9233j3eAGuN9K/6Hn77/2nb8c5r3YiVQACSg
SWIRgd7xQw//x30ByoC/Ey05iGOrIWVJEnbyz78U9QVMbLBFWBfceZgzq8VsW/UP/9N4wVddbfH5
r6uT5Or99V+/6Jtf+9KvL8Xr+f3nfxAE+KYSOM/886/tCn+wFluJZmtGEQr7zQr3Mqt2bYG55Nx5
kPuQ7AXqlPd+qbnjhWWwnZoMhfUmNTprGdOarSaTXr7RY87bHJaE3bKdZpwSlUy7cBifGWV1V1nd
K7EFwZj99JgqRbaY3AHbg2kqfTj33NM0M7qElJ5iwNihI5+lo4CHJfIsWgp81j+LnSKvs0bL6/ag
NpMTpA1Bc2N2g9f1jeuNBmQj85Ie7MyIRMV4WBvzH0qdDRhnC1NKnOzbg4IL8Nuiwb62Guq/NX0W
AfkoxgEqwKUvtt24uMCsFBVYxRz8bM+byUHk41Cb9jIf+in5Yk7RPWTzt4tKdnCcZ1d/rKD/zURc
x4LPQKDcaqq81bvptQY3ehjnw2pqHkg8DHaGorgBvkqXDJwfTZF1qJXNxDlgmeBjpx9vFrZwM0uf
D2Nuj0Fj4mwiFtpdTz/QL3/cPyuDh9cHdg/AhBTgkShspPmqtKMyHrJFru3ydsnfJnOUIEOOLJSm
bkJ95A+JCIruW0oSZecDNWaVn1RJtYcrTW9+mnovrJXIdHzM7TBwjzvKna7mshMM6qDdavHiGju1
04bel5Y15pjbFnBUWCD0uZTUnM0gIpbPpfEl+jnsbKVG3xqVzsfEMZt8H+epe6sYTZaGc/xKOEV0
1yYKoedxrMY+CajJp9rRIM55tdGnQV4N3s848TJ331Vx5viqPtpWWDtwwHdF3YtPk6zVK0M0peW3
3QJSqEE5inZab42LP5dez6uYZNPtGks036u8Vzx/4VlVHxe4pPej2ejfL1ZnYzSK/TTEoZhf3pHx
fWOhdQjyuNU6v+1V+QHo2zMDGqdz7Vtx3NoB/X18dO0ep5BwMq0p9rHzp44oNO/WGLrudiaL8hPO
BHMRJkYVfa9lWhX7aUnbkeNfZDijyww9T5R3uvRxvrKv5Wi5n3qM7T+ksYm3oB51407NXOVlV5n9
F1ekWRdaOQCsb1opTK4yN0ct9NpqQEVDnnuZ1WMe2I5wAh58fAm6ZK+RsUoXtI27MnjK/Oc0SG8/
GuWMr+xQZ6nfyEwdfDfSIaeRVZAHGi7At1R+Y3czF04V2HHU5X5VpCQ/pMrivFcXMXR+PNS6sevm
KSSlMf4i5TLcqKmJ35ooa7PbA3zVb+XQ4xedzYbrG9VgcMnOFr0JnYyemZdYLk1BZxy5K7ujR1gO
YPaupK/f+ZU6O29UU+gv205vsoPZC37LIqkim7v36CqhGWXRbjLzvCJvy+y6N7a02lcLUPs3ojNn
m4c0xNupGGc6P5PR7bVx0t+2cYoEeyCP2/CLVMjKVyrN/NhPHva9g11UOH7iwYjjbBrpgbAVzqeB
RnaY2pWUviedNEDzn1zNI1a3AeI5TIGnWgJ2F1OhckVXSufOS+3Z2gtCXsYgyzWx82JD7rSsjKOb
spCOF5SOKYYbTtT8pgeGK/1lNr0sVKfKVHZ6OltXhc3kvxrJE8oDi1BGDEMi+1vWT+7PYTY7EqLG
pMWVWy3jPV5NXbbLkNNHISlOs+nHTVwb/kj7Jg5dkcOuWrS09Us7n3JfLYBfQjyJ0qDVu7BCqKr7
niPkrXSrutibhBnPfj4qc+HryUJGYjaNirVrWrMKHb0dftPN/r/Q++9Cj83/fy70rqqmKruveXWu
yOMnfxd5OjUZickPvkvYLa4MhN9Fnq69oKKEv7FGGsM+4Gd+F3naC0wPsMLkeKAHyg2eyux3iae+
oIO4nvXUf6ttgQq094wST3tgBP/rIMLA1oH7sAZmrDJJnD82tcPgIsqBM6MfCNvpzCDt3OG7mC2B
p55aG98XfvG/h6Xe59iRk1iX6TIKYSo5x7FeRscfGzmpvjbEehZAAyyEL7F/8QJZp/rLvkwy4Oa4
67DpIh/aXwx1Hn16/zIKcrmYrQ/fwdrZc1t+dpSk/Kp2hf6Gux2bDuevGh1E3ko1EBhox6BTRfuZ
5D4Fy2prtay2J9N8Nw5afT8SlPy2nGMZ+dgME+rduknl+MrC7Rc7O1sDnLON6Wqe4YH5bplPHxzc
4W7yqrZxAG+i5SX7Ae5sg9e1ig9p09uvxDslVAxTfkcN66K4wPS+vhajqOLAa4byq+aJKPHVyTG+
TcakfMvHBsvFMumGN5wZC5bjTq+ngYibIfKzPJW3JV0Gw7dhFRs7R6u6yLfq0XtFLWV5IIKz0/hu
u9zRWSU8s67w5gzdORP1zhs7T/OntgWq7BIDvuU41SS/tuWiWn5f2U4dNot3rY5VanLe5SnM4UyS
jpV2dhGH9GXKg9dESReUqijfTHZc//Bqt5sCfdTo7bU9VwwfLZ9mrkr4gk1qauS+WGwNR61Kz+6W
ajZ/VHaf9aFAwnnoyKwxfZg84xSaRGS9blCA3XFKUbgkXF7K3Txb2sdsdp3X7ihlFXQynvsAvyjd
8dkGrdynZ2gfhWVzwMbgQqovxkRw8277+SamUbTvOLckpkR9dLCaREjfZcer9unsZGVYUfrkgTOW
KrOgM9qwqXSAp3QGKQkKoy0qDOoqt/Ubw5UKlvmF0IIK/9x3DeYCw15xRHUNlyEKHGU2cWqetIiP
hhwgZ2J2GudwPciPrYLw3Ne9sX6VN4Wd7R0jN2+HNNbuIEk2PR71pf3d6KwQtq3RXJdDE2EGFJcE
rsHFU73QQ+z8GeCirMNM0/TrJAWK3bfagJ+Xrjvpt7JUsCDtiuVdRNvMDJW8Urvn9U7XlW6wm9Dv
5YIFKMWl8s97SWvWc8rttqfkJIM5l52GRyfePqVbPpMjvA6FJgohB30BMM9tFV33serO1jwcqj6e
wXsXFzivK8LIxbtkpre1W1f/hVvCaem+7mQ6cBQsGG5BFi2lzb0raUt7PR31A+dzssODTqLCsosL
iOrD9e10w6RoXyXXbNtQRrbMh8WWngTR1Q8Je9A+GSMH8lhPreWM+etO15QQCK4M5twy9mWOhtHJ
xvRggHIHw5gtV7ack/0fB8+Z+9HWtW19dJo8bOHre4e5tXl0YzI8ZfYm/aAORrRrkqbZLZ0r9l6d
j69jVXaBMVIXz9QooYmsdU9GbB/gKjVf5Ypb79xOOjsMRdoLv9iZT7JSyVY4gt4wrOrTKWdWMkWs
4c0HpbHVkECGCQfF9pJH6ylO8fDh1zAScp+gJ4GJbJA7OI8cYggx4EpMZTgP9k+rrfVwtLX/L3lW
8GzFtmgUgg/jW7pq1uDIoUv+Yw6uWNoJyvVuBZzWOuYfb77K/uufJdDZf+l3MWQYL2gP8KEwF6LC
+Vcp5L1Ye09UQdyLIWMxf/9VCkGBod7hhgT99KFF/F9ol/4C6hvZVQgi6c0/qDyeUQqtc/HPdU3t
Q8IxQDbG+hreh5vtcaIL63DpVI+NEqV7te2VL8PYm++7QiT7BBTvjlbGFBpGdN9EpncBANvO4XX0
Fbon2RX2xOM+0aSUk+PV6lEkmnljV453E6tYUAlD1BeYP2tFt31QixqSLKeVzLe1eUttK8WgpFWP
6pxgaVX2t6Nr7jAFH3eOU7xciuoStL7dBnAKwzYCQdraveUrb0AVYVSFMfOVjxyWU+0TafndjSuq
rT+m4Jlt8PE7XEWqTISVNYiD4waSUmcjTfs+Uo+KIUWYDM541Cp12GkSQ69nDwXYtiYwaABFSAlP
N7ZUepRBfa4d1bKM7seOJm4puXYbslcvHDhnngo8cdUX8fagJG1enlcSDlS4TXSMYGPUcEEma6c2
GORFsUe209PPdeZLMRiEPrQKHHDbfiEcFKSFXhodu0oRP+3SKI6GXj/TqgdKAv6dxKbTPHq4/rDV
/FmJNHk0meSFOcdMjOWul3rmLxG9q6ef5fE8pxJYQTyuXzhYbbWQrtLCWCUC+6jUotpnIs463x4z
wAq68oeoHyfaj84lk+LHbxBADybpyhNcfRQ3hxEOtF22drKOhjRGHBfU6kox5aXQ7fUNna7hB/EV
/w46T9LRNlN9MLWkGyPdOBrYsexso07uaLLnx9hQnJdubFQXTA1OJ+HKIiFhB6osxPO1xNpKEnur
Uu1mNpnvVan/nGsUb34VWeXNMDXWBUHd6bP9Ggs6ArpzljJ9683aaqFK1BlhtMeprpQdJj4jbaq8
uK0Wj0jHKKp3T8+T0y+2HlesYnhxlHIUKcgpNrORWKZIqQS7UzZVO+AeT/dny8suyVM2lePDQPCo
YMapDEhXfnPCVGWRpcrApqG3VUocvGunxOiRp7FzFpXrX99lt2MpMPZNh+qV27bDj6qEQmn2rfHK
Kszo1jJIrwqffvyHxua/5tLDr8UlnuY9PUEIw1vGsNN7VQc9TD1OYzoNgZ65835sUgsRWkeYYO5a
h2lpOxyv3DnsZ3UM+1FPDmbZ1mFUOcNNYVj5fmottMbgolcc4u5uyivvaBvdss/ZU2Z/QKXLxSyX
7vpuldCwx+h6GjARFrUYQq2O8kAHnXwZ1XX6Os8sRA4xzeWnn/XMp8aGjDbTgzqU9KTTT00GVuIU
QP9Hw4aqJKwhOUSJ9byM4V8vlDYTrD2qKHhK62L6g+0CRWma0DhpxzZqs+tOlkoA98A7spS9C4fD
uvlvvx1s5DV1BioZFdzpUNDm2mIYR+04TuoQCpx8EZta3sHFeT4wS8cII02dbxs7fp5/46+HRJOC
T+zadeI3Px05tTFn8ppGOyqVNSBsZ5SobuT30h6HCzZeZ74anR92HtJKUJ5uE++LbqZXMGvasRG9
d10TMHBN6PAlK4+zo6xhaVCiVzrDepz88dWULFfqZDbY4lJJjlSjf0NOa1xYbGe+1xoGDbub7iyi
4c0WINoYq2Ul0Y+xPei7uNXljRoVbdAbnY2/RqY77/Jxzndl3E4X5v7ZoelJknv9cFvaTJXejgol
QoNwjFZJJRmRxXc7K7QPS28Pnwj8rrAO87Ata23vwkM/2tDXzp1LtMRqQQhdZDNVInyeyQhdtGOJ
k+mrWMC2pdsi/sYzdwrGpa4v+HysT7JZFFR/2MOsChywpM3hiDRH00bBAVIKR7srlLqHi1RjWLYi
ncGzdxSTG+5q7wDnGW766aypu5jsF2PhgwKwhSkWyvsqsbILb3BjsPSw2hiGkmLVBVjcz06Haeki
yGw29aMdVTdTjsmgVA5oSV+qavyhAOVXB+e+Nsw3feJ91RC6Ktq062mJ0VTTnSCxrQuz6dxqMQyq
eqBIyuBtK73VJtUty1TnkO7KwO4IZy0GS79++u2e+5I2XghrJje88kcRsDCS+0XWxlGkRfGuz+Ls
GKc0zZYGcPXpoc5NUm4nnAnE9LCZbo4GVa2xC3AYSq2T5pu6xMPRSBYba/KIEJHIu5RzyXn/eJqu
PtQWxA+W5CPOugOd1ACxto5Tq3ht6CWj9U5h+QDnuq1RBgXF6RjOlqm8TaNI0XycxtXJd6ZMHgyt
iEHSrNk0fJ2+7KuiTWhy1YnQJuCoNfUuQluu+abInYPsU20OFbdv7iQ5aO/7pkBw3ec6Bu+dhXts
MeUrf732CNT0NKV+q5u51ofakqkfHGV0bru0Ea5fOrLS6I0Nxvuhc6xPcT3k71wpynmvxkaxa2Zv
Ka+9ISneaU2+0B0ohIrxgdb8pKmu3EWKZTY74rmX+4otg5jGyi1uxGJ47y2oBDKQSc7pEbta88ql
oVusEGn8jnLQm8M5aa3a53B1i2v69jQz53mybqY+dacwVbuuuiYzy7QDTJuTn81caeGi9gdFi5Yq
TKbW/CzHHPXxpKudGxoYDuf+knGQ4L835RFYaGq5od5Qv/mpAnHTJ7VOJ+VzcqKPwBDdd2EtruJ3
UTF88PIu+uCVs3hjLcK9M6IU/2KqAaUJBhJt8A/0Yjvz83yi6T5HWfHOdSL9xxxX80hvfyFGwVKb
5f1EO8XYW2qkfM5m4PJdpZe0U+syLnajUgBm2wXO0kGVFO1Rjx1ZBn1tNh+hCtDYMBK1d/1+FOb3
JY1H/oKJwywkdvVv9ADQZ+yuoOVcR2o8haNq5oeC03nwS8Nsj2Ve5PmuKJbsahST/n0AeIYaoOBM
49deY32SuLeWQaOPZhIUhZd9iXNPgyOvF4UakhroERtYONOFre7MqsDgdC0o0POhvt3sdLA5u8lo
Rv1YVOPwSmaF/a7sXTIDR7HcIEqS7/OhunQsn9nNUI4hp0aKg/PDlhnXx9lCbnKhH0Xl9r7SetN1
DRq0f3qLObOb4UzL/Yl9nA7E9hyMlaQz9WoyjmlkAU/G3mcVzCIUFTqOp0c6d9VYtYYAw/QWdX1L
K4TImNrYmhvHpVXHgDwLD+cmQVPPVohC9peqL4W/Aim7xSr7KyObxL7mrhlakRG9kyXdpxSU69PT
v9aZPRbrPe7EXIBIRNvKPfKITG/aLeaxLfriNu+ULPSkaQaVokb7NT7l+YUjpGvolSuxkvNjLYn+
KOm0tNGICJr0Y6MXywFAXg+Fal7SS5/5rNSlgJMQh/A+3NZ0jd0voiwc4+g6Suv3hpaGeM7iBrck
z2UncVVlhjI/VxYnKuN18fzxQFI3orZIbeNIs6N+OzpxfC3d8dItSVsxik0BBXIB5AR2AnCvboYZ
h3o081g1jvHSeVdw3aKgIzLrdi5QEfm9WXeNL1rcDZVqGvbZALtn1HN5obQ6N1tWOH+9Zawk9k0Z
tzQ9EfOVZxzzCcogPc42OiqKpdJGHr0caCW9lMV9Zhug685divW58hE3xdw0G41WZZFxrNNoDq3U
JRdScoV9ehWc2eEYBf85hIxgzVsLq8FpZGqwVR9hZP1AYvYeg/BXk+juuOK8I2Tq7unhzjwUtQUW
tmupsdbfp3MG6FzxaCwax24o8z0oJYSs0V4ubNvnRgHVQP7nIud6dLHBuo2+2MhDYQlmAWr0ZqCY
86VYnIdG1mZmIh9C6w5Yzla93UGmOpdNUuqIjUsiuiGb17F6wEVU3saJHXNOTrTHgqaDibbrVJyl
mcUqhBk74WpTajHFVdlG8lNqzNUP5N/6LmWZtUE+yKjYWY02X+nGiIIZ8scQ+47U+x+NsBGYyj5/
k5el/Pr8r0MdzXeBzwtmuJnkA3iWs/SaeWzaPgkxAnZ2UzQ8L2Ps4fqA690v/xXQrq1r5sge6EH+
5utY6vAed6bxczFk8e7pZzm3b3B6sIJW+TLTbV3Rf2xPyUyQoREp5tFOYvsT1l7a2zlVHCcgHMG4
TnEthwXHhPyG8zzmnY42H1ucUi8cfuemIhROw4Jzs2I9mwkP3YFa3qqso94UeJREMvmyRBR1Tz/s
mV1/VZwyCksYbdPmUruQPaWImQsQVeX3OY3QRCMpDHL0mxde65nnwXeFvhAiAaKmtxhPPjtwo8lb
OSbT6JIfULoBdtzPa9U+TJGTums7ES0rg17YUgIRlrhXitT1x4rq8um3duZZqEvW2oc3Ruduc7KQ
KNxYq5ru2ABA7FbHx13SJ/WFUTba9oeHYQ/iZgW5Ceh/ixjhe5xOlZebxzxu3kSW9nMoqNzzpt+7
ivXNEwLx0Cdibl+zmbxbiIgMAPXv3EzJfAhZYUuyth/341vRznddYy+BtlyaP+feBJsy8PYqaH9k
zWyYMdLzmTcx6259E0OR2CNvUS7MnXPAwer/vMJ0dMVoLZ4uybXXCazTm8coMXHBSgiuG8BdF/NW
4G2Y7WXTk1tQqHQEfS4HZf5KXzIAcHwcsg9VA282EHVhfDR1uWi7PoEb7DdmBWT1/ImxunJivsnE
gF5x+nvG0ki9suHoLfrV0XdBIaam7iUKzLmXDkijQyOnUAO8PB1lAt/reGrzWFtTt6/0wdxDvWo+
/R+eBZMCvPhwIMQ+4HQUgdg6QdlsAqjjBFyryHBt+EUXJvnjDWhtmdMBwviF59m2tyjSUBRV0jya
vRrvB5fkaE9o3V5W3fNf2zoUYVnoozCN2Lopzm5OsE1bsa+rsSW4GYjxs5NAQ376vZ17Ira3VTLB
ouWYP31vw5D3QoHLcsTcC8Wek4JzxZnl7YUWVReqonNj0Rqk78MupEEXOh2rgsLVmDbzLa6dGO6f
0QYmBOXj3FTe7unHelzvcb6Dua7SSEqW7XlEW0fHrMuyjtU4y2srNqvbEirwFc0Y9xsEQm7sQ6de
moNnRyU0Eg4WtxIqptMHFCjMNadVrWMOBnOrZX1p+2qpLJ3f1Swvf6ETcm9KMd4kCbHllGxO7OyH
vtTTXaS2c+V3PV7Ju6XtCyOMByW9rb3M+YygEUqyVzfTp87S5V2Dy/kPy61Mz4/ypv080rAbgnIp
jddaLY1Pal14d5E2YTjgwp4+5AA9r9HAt+/GGOcOujxlctWVXcG9vrBLH5Cnl3tLVv2byEuqr2kz
1VrQm4BGQYaj4uLj3hffNVUl7qzE0j4AeTeNr7dp9F720VL4qhPb90IHFbmwRz10v0+rT9pkHCmk
U1BRs4ts3mlNBIvVevYRhUDk11ZhXDccNUGGreAOvmBMvLv9th1S4xoHpsyXme3AfBWieOkpogqf
nlePNzN+CyCL9Tyl4NrSHTBZr+2+hD9ZpE0MH7wnuNmaL4V/nJtHlDm07Gnbrfjo6TPruIZYWaPb
R1Mo09/TSPZnVoniP7k7r+a2kTUN/yJMIYdbACQlkrJkyUH2DcqxkXPsX78PvOdsmRRXLO1e7c5c
jGc8VqOBDl94w03UJcleyt72x7H2rlgmXZga/dhVTmBFjFCVOR0U7P5gWEPiUL4QX7TCSN8Dt7Wf
X39/K2/vLM3lJrA41lYSE+zeszPA6kZY9d0Y7YdqylRg9iqkmmVeJmWrOih/+F401ocGIHIU9rjD
HwZFbd2b3FGzg5xH24Zm7Cof1SyhKUsUYYr90JnyXSvt8mdTN57YkD9E6Et7rb4VhoRFko1O7Asr
N4gy+nQEa1voGaWY2fQ4B/BdK8LaaBrLj6qlehg6seSBl5AMcRxGKMRQiKN9okRl/iFJZCn26VDm
jl90NuQCarvd2xR31lCKHjzCMSvSwAYnfhbTI0+AqmYpnH1XTlW46DFixD003Ar08dvPfz7Iai+4
9mhRzD/96lKWMmOzO4Sgub1tIoriCmCkXVYPbxOc/zMrpsWkViFWCMxnVw1165FSOyj2Dmbbxk5a
ewde/FocemEZc/vTS0D0mPmcN4d6dfR0MZfuXkGRKiANLP1Rl9eU9C6MgoYrlz1ZAnT+86KQXnRg
eePE3K/dy21vJ/POKGblCgLk0ih/XJYBc3Fvno+y1J6ZpImJGSBavNt29oabuqJq+PqeXD/x2QlL
yYlAg89CFOCt1/ZfGeRiZlS/OBrovUCvGdTsoxkvN44h6VHESZhE9iaWyu/XB12X8ItBV3o+jRh1
jcdPB60du/dy2K57hwuEyFeJ32fEXM9uW2q7WMR8ttcHvPAuVwwUI1Je0ynonQ44jlyhSToqe9Or
kqA2jRQ6Mr4Ebx2Fz7QiWv5YaRKDnI0SiVR1BgkSyU2brQdhaW/MlPjfPgpcFTBPwFpWpNXpKK3V
Ob2One9eVHn5PqpmfZtAJX77KCDJifvASCJxcH4KjS0EryVqvb2zdmMGve2+2TgtvPm70KlerzoK
MasL2tl3SdLIKTtwxnswIuI9vtfzNpdZ9vHNbwwoH3sI4CozOqdVT621xJq2Yuy6oYZ+gGsHRm7Z
m2vf1IrBwwPrIcukunT6XYg5RJ05cbSXMM/9WRqSjkMpr3yXMwHV9SAFeQJYFmATBF3+/XQYe+l7
rwF2v0dkJA1corQb2pFp2JZzvcNsbUU0LVXYjct8VMqyOiq9GaGc0/SBq5buxmyT4lALYdwtqAlq
W3PxvKc3v2/6uWuVhmLNWtI+fcQyM6UBg3h9RM29BRE4hnZjXNsH6085PUTAUNFtWHWVAZOd4/5c
SJNjkhcRUnSVcpuPS7odF8RGJj2NroB+Xh4fDPUn51ttZwAtn06IeTYVPh8gQt2k+knXOnlXV417
BUVxcRTCSmjyJtW0826VRwUAglcT7eGBQTfU4uYGiTHnw+sf5+Jro9UHKYyCOwCf07mkbpzgjMEo
yDFHG1UX8dZKZH436eM1EMWlocChrL4ObL4X8XKse0Vl9H3EJ2kwsNcxZiojqGJ5n19DvFx6dxwk
Jm6Aq8SXu/7+X9eY1XdTX6v0K0qvWt65ckq2Uk9E+PZ3t9rYsMc5twBhnI6SNRoYfYX4NY6c+gZA
NbdVDI0on8rh9vWhLk1oxYwTn1GxelG3A9mhwEVcon2Wd1mIZ7u1dfC5vHKaXByFVpq+8hrJy8+i
MlWUCawVgzZPLLNPWTl/LONCvxL2v7ztCSEA+bMCeG3cjadvbVRMFHmaJNqTnSo7IBXZO62KEz8Z
1eLJUQEwvP3VITjBncf6Jk47u1Ri2u51B8R039tp9UT4b9xxTFwL0y+9OoeGLcqvnrk2YE5nZQtD
wzSbD0T9Zt5IQyx705Te4+tzubSFnFUNBC1lMP1/eEh/rWtpF4BBuinaG6OWhELNlTthdsoNNsTT
9vWhLk6IagmrDSAAO/Z0QmZbaVruMVRDnfdbVbXLIQEed+29XZzRX8Osv//XjFp86NOilxwKqFLe
qYl1r1RevKsVNMJen9CldccGWntwRDL0sE5HElq0OF2nk212/cfRcNKdUObJp8/Ub2yruiY8dmli
q9gPlAjmwDs8HW5ZelmsmOG9zEznQzdkzecq6q08jJJ5uTK1M/7ZnyiAexVd+9WeFvLM2RrvM7rV
sh3FAYXYdrNQw/0B4KZ6Hkdnpwhr3qsoBO9w49UpT2rNbWbXDiz1OfpAN7G9qZYu/9G5/Or1V35h
DSGxAVWaIx8EwItO6yQt2M2jvXeKodyUHG4P/ewYP948CvuNFQp+HDrDuQi3pfRFrgnD3seo0Ppr
nWGT9JV+5R1fmMtaPYSxg1QQt/7Z95yaNqKaxFw0LEzXw2q6E6ibvT20WPv93CaADCn0nl0pzixq
t2uoKUU4LYFAm9WN3Tr92/c2XD2AsJwh6HqdJ1zWggJbRbVhryJqf3BjLaU9ETdvzlhJFgjkLWJT
CrDnzPYESFTSa42zL6Q5IrzgRoDd+ms5/st9BqGWzIRLixf2QrnIi0HUaCksk0qXmOOVlXdHG9Td
5HGvvvkSZigkbtZRyLTOJ2QWNXKpam3va2c2QrVLDHqo5pupHussVACJ7GcUPc97xV2tWzny+JQV
8cjw42QYA+x9VL8a5LWC6rpmT2PmdSgCCjYOadX5alNmZdKRi7P3y4CISqbsx7j5KZzhrljYSSia
XCkrXvpW4I8AeKOhtQr8nJ6JteYOZZatqxsXG7B307RBQX/1e42T/+VQZ/cxDhllLNGY3Melqgez
O41PbqNbx9zonfD18+flxfJH4RUuMl+MA+hsKI1yPjKajr2fEuu95bQ/DdE9i26lvdflz9fHenkK
rWMBVaClSNn0vGRa2LnjtWs1MFE8ZHVsiblmJ6/pWV34TmudnSgDoNgqKnn6nQaEXRTPnJ19JXoo
ik2iWHCn50oPi250r+yqS4OtdxYNUuIAfnE6GG6dbtoJ29kLgcqKAkQU2Kb8MeZsrze/PIL01ReG
0Jbo8+yWnKbCa6dYd/cLZfRAzZ1x2wIAfPNFsdIX1jdHSWtVmDqdT9s4c9vE0t2vmsrB4ixUUdvq
15unQuLJZUQ+BfvkXCyRTHhKcp3qgtb2QGKrvrjJK125NpX1Q58dEASz9IRpY1EXPo/VJ92ukEzN
o71jRXLYqHVk/SinMX1soUt8QOrCsf1GX2x95zlD+g7sah6HmcznOKgtsxxDbyyXdKNPRnw7WkaN
RFHczywruYxAo1FDDLOocVExWqKBmns0RgcbNA4CS04kOx9uUndvdkjz7lis9fsksurfuYd0ETgM
fRhuOqdWfsw2yMaABozd+hIgYLZrJ3t8rCrkxQM4QO0dvaFsvBkU1/3Z4RLvBohcV/amiTAK9lF5
KpZboZhuEXR5YbybGiUp/K7A0XUTVy3wpEoDRwMmSVOuLP4/he5X3vA5OswsEIgGnBTtU3u075rJ
qcNY7cRz5xp9WLs1lZzK00M80fRHtAXGnSsr088yqQbz2FWbXNMwvK8NE2GrSt3ayJkFE1rs77Mi
+lga0exHiJff21PnvVvK9O3hOxITJNkrWRC46x9d+L/Cd7N0o8G0OmVveVUetAh2beNKndAOsX+8
vuIvHBOAfdbaNDrCK57udFuNbmQs8Zqbqubshu6oovgErIhycSzeXIbEco3SDnNa1TrUsyAMbfbe
RKNF2SuiEBsc6eod76C9srkuTQguCcTz9f2R1J1OKGp1iUVaokBUbZetO9RZoDXii9njLfz6q7tw
afy5bikUglZ4WTwwigJPA1vZU4J2w3HCARxs0TRfg9RcmhH1FoDFvDXoYuvv/7UYaFPFCOvE4uA4
VRXKois/OfDMb6R0pt3rUzrzP1kzHpYcreC1u06d57y1YzRoqtlmq+y1cb7j+nhsjerjUut5UORL
iv1drPp2WT4qZb8zR+VjPKOe9D95BiDedOfYAPDWTudL0NS0GiimvZHb3W8r6psv0DNl6GI6vsU2
y/O1qIt2WdE64eTq7Xt36LUg5RJ6c561ksapNXOzrfXms9xElAXiLpEW7Ze8GQ6lCXfCKMTw9usT
hBqtBmAomgGN7XS69UxfdEw9LoPMxYuDiucm1Zvpyua7AGJkg9NMI1Mn8ngRlLZyUfK4qxW4ALp2
0JFH/JjG2hQkkYkuIGiE8bYfFe19skjvXtbq8EHIKnt4/dte2DKrMQKozFU15cUbNbXG1qTHuWZD
634SBTJTo95UV3oEFzbMCuohoQTTsJatT9+ooZcTejmZOBRRNIU90tpPa8P1LtaEeg3cc2FGQBUo
wiOh6wA6O/t6Zd8WUkaKso9UNkigR+OHps/aq8qal+bElyM4RWdiNW85nVPq9NmCvjafb5R3lWUH
CrhgPy3joxyt2272blLVDQmZj/OUvFsMcdu5y+x3g7jP7TxswW70oIBnrdiWRfG1z3HkzJpNVng3
iVCqYFHn0FrhMYlxTcDoQjoELJKzBf1NZMDMs22kLV0256opDsAinwdAGQhxRVClCSAKg39W9tvZ
i2zYtXdMmYji5Hl8VcDGsIVsxcGw4t43Cw2J1cgYryTilw5LBuCY5D6DpHx+oXlNYs/RXIoDfti5
HxXpLs5zCB+g7yz7nR2Nk89H+d52yCal9sM0OG8/oIjtqSRiCUyP/LwVmtew05J4EQdIXtrPBDSU
5jct4Kg371qEY9YquUeNhoP5dO1RgG1idK0YZnbNMM1aza/gLF65uC/tJJCjxN5U1VYh6NNRllGZ
NFlF4pBPJq7eVTUCAEHqdwpfn82Fk5AaAH8hYrzydc5VvCqlhhqMnOch1wrH9KXXl+91hGOEn6KE
A15UgmbxhT446UM+efEj6VWRbwSutr9ff5SXmxqwJpoJ5ILUWpj36ZTBbOaGq1bZAefNW9cV2Q45
CodQIrtS4L4A8Vr536wVzkTaN9pZ6plmea9iV1Qcsi6eAxnZxbcW5jQ+oiqUybZUxhBX+mgTN0uP
cS0BIK9i6Xn/WnxU8zS6xoe79BVITFc+HOAziiVnB6cEjGfJRpSHms/+vqkbcU8xpb7LoiEDGlOh
wLwU/fsmH6x7rADHPUyI6s1lQZbA6k61ukdRfzpbck7qGpnTlwl3uzZ8iexGvc20Mo+u3L0vPzMZ
Kykl47BPCYFPP7OXeFo/JnZ5KGD4bCY52jt6APOuUutrufiFoahWr9Bw2t9wxNff/ytWTMs2o0Ou
cx2JRfENq042lZYjCq7rV3vkf/pWJ0kWfec1ll89a8Bgnyf+KBbSnEPX+OBEY1eHM+zAaNOkhGOH
vutsTNSQBfhYTE5Op75um9lv2ykt8KxIvX1HiSAO1KZ2nmTSaN4TxJQ+DgthwJ6H06NXRxs2PQ42
AhHOUEEruNrZVT/oQSaW+HczUtvQ6ll8N/F5rv3YnodH14rE5JtNl3wuMm0sUMpk2/pe3C3yodVr
AQtSdNXtYKyShFZvcM6Yzvi5B8fahyNvCnIpj4R6IHpVmp+acvjtaaX8ROqLBJ7wiEn9SGbFeJMs
Hv9fX1f2PZC3SvhqpVnNppy07ibLsnr29SgpN27Sxqt6p5w+F21sfVWiRIfMu2gFyfzqCuXH6FL+
yhJEU7ddXFufe7RBP/IC5wPqvNDCylmUdxOlF2ODbqOB0XzlzeOTVkaR2FQlRixB4yWN4WNkSUW4
TWtF+qPRwT+Ilrb+iAUsDA5ZWbIKpmJBfsaHCGfsrKTjvYlB1auFi4rO9C3WF7Me2ko2fluyfsrD
qpytfEM6TZd38KSRb5a+sJWDaWATe5cnSbznl9kSTgMCEGVoSFVlFNGnN41iT98mUzYlYu0ACH05
dJkdmEo2eR8HvVNmGKmp99QgPUg406sUY42x6B67xVEpk87OdOA6stDirCq7CZbMcqefkVZU+btO
14oGcoN0aqrGbmn6WqFpv1AMyZ9GDeH4IBW4PxPuiOiL1imocCcIsHTbFsmpetuUWYEENd7UP6PM
I/E3UxP+MI1nLQ3wGC0/c6k2rW+kOqblc65YNQQKuZTAibNpOGiGV2Y7BeSaEk5eby1+HAt43043
Qy/H2qxC5dobETBXnd5sNhgDmT0VHXQpA2nnqeWbGb2bMMc4BkbGosxW4MTljPiQU+LGZDdUVkG9
5hV58uqx4Cdei69Tii6N3Mhl5qdFotc9ZBCUtt6hhL1s+oFkPuhnPMzDJUH53B+sgkvNA2xZo2Ft
ivuihP1KrQjZtxAMefxuNsHx+d7g5Pd4xwxia9lzLgIVtdIuRAiVmQ1TX3a+KePqg1OZEercvZH8
noRLgWye6xy/RCXy7kvFQnt9kINt+naat59AKXpIwiqxke8Uwr/hwa1zu4Kd601HXZt0PFXokNi+
skSOElpo0c7HvtXsz3/u2DfJOf9fc+QAN0KUT48CkMrqRAPG/q/A4oVqYYDNR/stv6BZeOnn/Fuz
0EWbEFgPdpDa2jH4l3qzYf5D0guVmRAMLdAVC/4vyUJF/wd7N/4APUcejKD3v9SbFesfEHJo2YB3
MclgIUy+Rb15LU2f3ivGCmBmfeBpB9Pk7BKrmpgbzCjMA3Z5y++0tefvqijMn8og7KNijc41A40X
A67ZKO0aoDoon4LNPr01kQWOUD92LKIje/4QJ6oWzBVygcgcFBtnMvK3pfx8FQ1sGSUFsLHAz88z
okGNELofUE3qEYx5MqRVfx1r41ol7Cyg/jMK7kJMiksae5ezsKPz1HFxC8U7mCKZnkpZ2VuZ2P0V
S77Lo1DBoLZAZ+1cMKlrPbBOhctcZq0KxzpGTVtehRyvn/yvJbHOxQWuDY9q7dG4583oUl9ab2lm
71DFJMmbRNrZzis8Ywr12pyvxGvnid2f0ShSYOKNvxVoAzbB31GUbSra1BmRd2jNGqX/NF5WHXwx
vOOC0L9LnavhT0mI81j3XSXLYNmUxRL5ujHXz39t5Yf/nOPfbjVna3N9FooZgJQwfaPCcI4e5y4n
Fu766GCZje3b4JT8yoo3CGE9x0t5LTm6NBqcAdhdFBnWbP105vOoDHkkZHQgvtS/zjWtIy9Dkwdy
jY7RoLDMzVunR5GRzBK4F9WpF0VhdRhUT8FJ8Ai2uwmbHI+MwSqXbusoKIztMAjVrvQGXi5Y8AZ/
RPHo1K8g0tMpJvA0+6mPqmMyjdavKIuVhxYjjafX5/VylHXL0elbS3rQS85qUJApylUrpjkWkaF/
8Oqo+TwtevO2AgCLYx1lZQVziNsktKdzQdlkskWtNkdkWSrUtZwkrJupCl6fy1kBh1FI0GgkoqaB
hAlH/+koDYoq5WT3w9ErpXOfqei2j+BF94gtYylhTwuyTdo1K+71M5zueMByK8eL3IktcJ7JoKLu
GNTWhqNeuPLJsFMTqRwj8YVmAJjP5+zBW+L8Fm7rdGVJvjxrTkde98hfOVRutpZCr3Y4xk5XbFFO
SEMV33TQzGUfvv5mz3HG66ulqoLWM1AbFXbA2VhymK1SXfThSNcpvs3iPg1MO6/Cwc1EgAb3EIyd
9JGIcHZNp4yaH8Xd9BOtniZE9E+/kXla/HKctNwa+Ihucrcr3v42KE4j5cSdjH3DeZGLL1DLdh6m
I+5Y1m0tFeUej9ESJcTymgb5hXVG1wvsBIEPC/ocJ5nUSmP0Zjwfxy7Nd6S4NiBWimja3CJcD3No
MzaxcWULXRx0RZqCQEFz9FyHlprJlCuKnI+IcpQUGRALz2pzPCa51zw4smi/p26q7N7+3dfqpM4l
swo+qGeHUGdnomirbDwWarXczHJqiaY5B3P09a3lQ9rgJNRX069qINQvVJpYUpQLPkA2RpM4K4Uo
gcc7rRhHfaU/Tg+jRSHjyuq8sBFcaNS4AMDZRNbvrDxlVQlpfS+m42hFw3Z2liRsRtH56iDmK4fy
eYFq3Qg4u0FR0IghOGTOXsjoxXGKUMl0jGfRlRjNlsZvVNK81MepxvNIxeboW8kspe/EdKh8pAK0
T3lv4vopx0b1gqhNxbUW36U3wBFL5w3x4NVE8fQoqAf0dy2Hxa8Uk+o71ugF/aTQNC/aaytijTHP
zjvcGRFEIHjmb/vsBdjtBARqSOYjamJYEYm2SG6Hfh42KWjD57JO52ejp5bmu3OBTweI4sYf6Srh
QNSYVzDyf1hPLx+GhQmhnALpeedLjUya9yM7UR87aHyZ5w2bGrGRO0svrCNnQImiWDlj4Q1X6plG
wm2suhhYCTaqN8AK9PTCZLVW+u9aV+xdgxkT2joNLk/XYrX1Ij1/1JXeglooFxRXxuknGpZU2Fam
zkcQc72NTFlRp4FVD6MVNDnTQ88X+UK/MVLni6w5b31TyafEx/17wMdi5snCQU7DlWPlQgxpE0Yh
vEn4vUoJnj1XYjmVNyr9fByKqg2KCtheWEf4uxZ2E91qqbQD18uGAKWX36rU6i+EXd1mrK3lWqHu
ZUxHZG5SeAT6yCF3vojL3m0bNeeES4b61hzz+Z3uJFGA+7l509TX4IkXdzK43BWiw60BTPH0gxR1
h0Brmi7HFu2xW0fP7afRRmx/NswUhaxlNbmrdRgx4p2rFjV9k6o71nrUHhS1GD6+ftAaF7aVR9oA
TYZslkD67GmiJI0j1DCWIwktuntZZlGBoZSC3U79oEQ10nD1TM1GGctQU+v4Kas6GdbWbAQ9Zteb
udSHbWxijJLyfe7bxvA2XptnP3SzoDLuOdGGbty8cYA6h1G+uBAJs+pOaDlWaWNsPLl6/guKbLcT
+TBt9Nb+VlYU4gw8tq/c1OuKOtsJHp+XZI+WFA2wsxPEVaZOX5ZuOaK3n2+H1uj8PjWvdfPWkPLF
KPx4oMEAH6hrn35eox61Gl7BclxwJHoHnbilnCa0cC6luRmmjEJUZTWP45C133MnGT6//kEvRUwI
G2DphKQCvYzz8B0c0uLV3IXHRQzzTk6u2OhqrNCvcDEFq6LhCQHf7IPgWA9cKx8CVyhUh/OErtys
OKGD7gz+PFD50qybN27bjeGVR1yTpPNXxGm00qbQpWLznb6iFunQfhyX5TgpXh1YQ5vheDjN9zB3
H1eacEjRuNw4VeSFJloGWEahXtSw5vajY3h+XDrXGqKkVJeeaZUApKHE2zvnAKKoUKmDpSxHR5bL
r4GYYZuhuBmWQte/Yyvf7KaoNKmydp9wOmixAezrAWs4TavlgfJ5cg8ePDZv2x7HaT+eU0dsAA7Z
Q2C00ilDaeq7wunHOsRXd36A/xDlm8hsNP5npTE/kSD0Hygocg1IzsviaOTPY9uIT4UhxtxvY6RL
fFRC8yawWwu0FbAkLQ+gtTVpOBtxWQSWMlflTWzqzfduwBnyZkxKbOo6sFLDZlbnyvITpGagr6t9
+ZD3YNhokE/D16KTahoSG2NBL/BXjIO2jtXVc6/UkqBsyHhD+jPu79qQhfAzuyEeH0DKbbCIpDY+
YPW391De/UIjqUv9ohLRt7Qq1Tsr0zWJcIiaPIlVB2qDr2C2dzxe6gYnn/TWoeqSEbvGNgZ4hClf
Ewzwjmlnxck2y23n/dxELcZWTl38GtsJe0c21OhbaAu/a51cPHRu0/zQXKCvAypU1YYqdp75AMS4
vDI5ml9TacyVX2momgcFMjbf7Fmn0J3IaPgq0c2fA8tK66/S7cZ36ajF410ZR3PrF47i/GqdUaJN
MQ/Jt2ZRJjOMlTn9rFRTDX8sTXSESVUrQeY8RYgHX8YpftRBwPyw86X4jMsihZB2cpwvuZrTNbNS
FSyrW1YZmhZCEWoAO0zB6ovOEFqmouwt2rptnt4Vpt62AVx7LJrKYexu02IymmCyBs5ZCmbCJyMs
cx831vzZ6mdTDXGJVB4V3BatAJH1LY5L9h1FjAwd0qpepN9GbrxgMlilT21qJsKv7SjCMLRW7Kcq
HhvXBxAYL6GxaAYI4pomtjPOlbGlHDiy3BczOlIwW1qf/dM+iqwwxlBIqTz1XVqhbupY8ReMF3mL
take9b7iTzmmMDBCy8bevdWLof6xcGYmQdc4w6MWwy72aU3pyO25NUMDfR9+FWA0x3Bo86TblMvs
qlsjyqbfchmq5samrjWE+BzkeJbVBXX7HLP3PNSbvJl3pIPlLxsp2dJPCfcpOhHmZEHTS/RcjbLB
Xa4yhXuIGsFGFXqdbqzYLGgG6fkg/MWAA+HTbnXcbUZxQtATMuvv2pRV2aafBvdLP1fFpz5atGlH
OWptDNc2/mZ2qlV3nl4JslGr8R7rslGzYIzt9gtpq/egdBESnHkOyt3hP4iwF0bz0836/A4OpOAE
aJLEAIdBW8z33NTAq3Ix80MytcinGBmThsdQJ7cuz9xj8WRE3+tirJf3tjcaz9lQ2K2v98P0dSKn
WvwVxLbTp6L6aqapXd9Vud5C0u0SFR9Ze4gdfxx6Y/HrNsfuXI3NbqZx04oUl7IiflogqS++ngLz
pl+V1XeoJrR+pw3qJtL79H5UFB3Y60I3cq7irgdu1mSYt8V28lxATa3DxJ2inx4mfL/VFjG2IOt1
ZIsV/AK00I6NEi+7RdGqve01mor8xZJ9QuxCjAGrY0l8a54Av86ti0uZOydtgRZVMv7UhpniHnrB
pRV6npA2EpTWMOAfUKViBzLdvXHsSecgdPtlX4FMuNXgYZrBMDWozbm9mn1SipheGj2qvYJBrOk7
Ud6kz1OD/OICHEv6ZofTbea73tBNtwUXj7itYrNpblU7TrKbIZ118c6KOWw2U2yaClEcIsCBArV8
PKjtMv/oc0UsgTJmVROADKmFX2b4DW5pRPWdP09e81w3Sv3B6RsxkadKsziaTo2dnykj8b3pOlxS
1z7aIZOJ7u2UuGk/d9kCiWCIXesp6fN+uHUqbbLCOXf1d6y2ttrYXp+ie6jM/UdMDnhR7iyMJ3Np
UdGeEu0Z4WNStGjA1paDCi6k79iZ94VjY0h9fVy8Er9XggdCfgSPA68wK5gEZdk+jrjWfqXNPeQh
CHbvVnhxUiLoV3X1pqBbDwol0sfvdSRichg+Ms9MQPvJMqHHQHi309tITn2yiTkRf9JMcOpgzuXI
ra9OuHzkpVX8wBwG6UCITvQKe2k5vuQ9pIhVA2lfOSjorbQG/1nvC8AvS9nw6ythyaX4EOt1aoYc
aWBWzkJhpZG5kRKgHV1nUI+LC9omGLpGVXe9ArqHoCjJ8aRcsuq+yqNhCUgV4o8KSOUSF00tsUKr
ytrOl4IdiRdr7z28/oQXEhUiFHqhPCKMhfOUyVPyCHwpmYNAlINuJ7YdXASxQ9MZMNcdXpQssNeH
vPhOXPQHOYtXvs5ZvduISiIhq1+OEmT4QZlz+1EOgOheH+VSTkTghTACqr20FM6LaH3C3MqoYZi6
nQAaVF28L2Lo1EFRJ5g6Rhx36Jw5jf6+bGrzt93E9m/FGSqxbRMFNOE46No1XZqLT2UirYL6BLhQ
SDancWpfesJ1EKA4DjEO2PTjxI4AYn5IUj2siFPvY7STN3kh+8RXCtHfTHX1wTVEFOaG2X7/847+
v/dpqdWwfChFQsNEdJAl/d9b64KkjPNv5c+LjdqXP+hfjVpT/WdtudIMheEFpJ0h/t2rdf5hbMpz
VGUhCay57797tcY/IEVX1OXak6Vqu377f/vLWf9Q0gMetDL4Afyvf+4N/nIUgV+khDzWirekbgsQ
Fl+D03W0VH3ixE2R3kmrk4AAbF3uRjUfakRpqVItAwYKg4TpjHTqF8Sm3+egPKK0DwHlblU8r+9L
VxwBdVs3hVvot+QLfjqrH6fSeur65LHvjWd+6IcaMYqwWPR7r2p/4gReElg4YieMzAhi40dbuvxZ
D83tehI/p3Tc1Fq2myMz6MT4q0vf631/Z0aFF0ax/hU/+Y/50PhZPH7rnbF5ryZiSz2AKp/xXMd2
d1er9qe4wavca1GCzlBsCxTE3MrpxzQ6nwutSwCpdMzPSG/qeap3ZYXBOuDFg90v2ZY+zGOd/Srr
hVi0i8GvL6jjj2R/or3portSw+reXfYCjC5NRHGXdXuZT6CVgHEoWtMfaC95j6JfAkp+23gkEcnn
GyQYtrqsuq0LpdVXqWhx/6pdwAq6S+d4jz+v4ZeDVQOsdbeUvT4XhbJrhugLePbBV/XxUUYjSVL9
fcRJLk7f11FU3LmVjANPEd+nqfmSgvek1j68z/F5x2c8GoOZqlWYRhkyDAnibzp2C9o4R4EwyvTG
WzyiGjIjN1HnW9G25mbGl3txpo8zTiJH2Xd3la3um9Yd6VIV7Y0wp00rmxAhhC+DOVHQbLx9n0Wf
4lp3tsMA9HCU7X1ctz/snqYjTKrnmpoaLcjmC5ppD13V77JKv2sa4LbaoplPrLVv1oi0a6dhb61R
y1dUf9EX9yArQ+4mUO5Y8e4Mr3s/mxJwTPndSbOYRNNxHgn3VutmlouuJPqmGKzokFkjNhEig3DQ
i6LmypN6/2BrQ3VXJrH6BK3mG47F44EV095iEJS9m3Xcj32y/wov9LGvAhUcQxooYMC6cB4n+52S
KNRA0UObtite7s7pPaT58ejpNiZjA+Iihf06w0HznULtfwMBS25Gq2T4xtCWwHLy4efcuPljDi43
xOIZlJElkui2iiLr1oyLsQv0CtKTCVkb/wxSFF+qMn3SK49FRzp56xpJeo/qrg42ehpSCmJFMftL
rJBpm3b5oCBH+CvJk+qbssjxvTTqKZymqtuIpC7u+zwaQQ9ZOEBgx+zd54YT3/GAFhqQeRvIUq8b
n2Bs2RlTOcMUgc5GpTpPj5GRmGpQsU2A4uPaICOre87lYG6BNrtf8CXvYiK4ST2M6MF9w7VjIjEY
U0htGaJjt0sZ5Te52UyhYlGe9nv0r0t/SkusHTIivMzP5rS4A18pnxIFQ7Kkks1jKWPqrZYG02zi
i4ZNlv4HeeexHDeWtulbqej1QAFvFv1HDIB0zExaiRS5QVA08N7j6ucBzV+iKbGrqUVFDKtWlARz
cMxnXpO6opFjq9z4hhMGaoWP1XiiAJ7cpGCx7gUVEK6fq1hPS/HWGPSTppkku1aleNlNrXgq1MIt
oUO1aIwBqSMhv6VCnix0KKPHjNiVJyTxtpJMDL3T7ijutfuEzHUphmGzVVGfPM7a/hzslWLHhadv
+kEguRPb5qRoheAU3wTZYUrBjxvIYgRByaH6Zd3akCNpJaYJYZscCXvMrNPFgA2t0+FGrI4UQWbx
a7Ow+I6t0ezMZIzJC1O3ifvDWJF28SCdt00j21AU6OXEdPDwUIhcoBULfDIu00ZcZ5PQnYpapi3Z
P/AUV7xiMbXGfdFKht1abeZmo6ItvBqxTQMhzaGp3CRO0kXhiXhvGuJ6iAq2l5g6Nu22r0GvHCd6
m687wd9GCEVsyMgzajfJvkz1icS7UC8o0ed21IrDUZF5+9YzNmYqnU4W8iJ5F4tLQVLY8NRc2daS
uZPkMXcCgQdXyixb+EzvIznAxQ0Im7AKPePKp4KUOlJk3o9Tckv0WO1yJTkSKv+6E/0wcJISeOpU
hXaua6UTGL1/0wvZRvEmf6UIXbpAndaFCUPLEbsOpaNYL1TZcrT09GikmGGM7YSpSX+bp8YiCYut
VBflptEH/1QdRKha45gtqk4I5xR6ZcTNNveLxtXE4Zs/FUc6tATY9IPt535il5RMzmRmeQJetOiM
XaeM9cLAKIfiVO6tfcR9ktrCO5588FyoC38NSwsHg0xQ3UkfptlUHkaiAcEza4d0hG4QIHPglYga
B/5Zidv8ue+DNCWu5CKYkjeWLeonvYxLjGbRWNecQv421DdBtsmLDnJj54TTfDjKFP6G7KwYw9NA
tNbpmFA4hXx6rmXVV0+JL8bOpByRa6ltCNWCsB55+V5bNc1WIqcVyRdGfiktSiqCTiEBILQSo27t
MMmPPKFEAdJUOckF89xiJgNqdauCU6DVwD/6OyHs7rNe9NakNNE5Kvnycgwtd0CY1A+6WyHOjkal
PDBqLEA8BNmjfIVezYpeuOIwncjBCoX+jnKNPfTSk8xvE+LYaXIM9qff+HV8ZgmWq3tlsckGsbWn
pHGwlyr2Qi7mAD+ZP5G2YpO3PU0Qt2qbHCHwHa/7vkVY058UR0SAW6AxOoBjjgPFWg7eXQxb1wS9
vuhCkMtpmWYHyJaYbjz65kGTbMYyAJnsq8J36noIY2YSQKMs4leWQK0mPi/03D9rO7Ny9OmcQojm
JLH1Y36fRZarbpyml3oewBHOfY5Iod2mYrBAUqikKAMTkUaw1py2uhJS/ppip0+yXalVqwk0M3tg
KWHUnh6AEdVXvEO5a82stQE9hKsK5WgFyT53jIxDT9Lv9Ma4sma4qej5531BYU9PBtWuxmNfRp4z
BK8AEslYZqJxXHnivkvLs7wQvqVTIdldqngnyETH30YxUWya2lQBkaLRDF+iEMj2GIWpuOi6NllA
Lb8AIyQ4dYFqbzgSV3XQDhdxP1yh73KmhNNhT9HQbnt9qfSTeOB7Aqsyr9ZJ0p9pYXdHSdDcTIN6
o0WSIw8FVkONFNqmr182GkjWaBK/a+Bfu06USSsBHRfWwNdP48lVMy+/DzOlPtayQboCC9i4gkFZ
a5XESmGjcbAoB6Nx9VKO10MmHcvq1KxCkFgndT61S8R1pmPakOKysMCUF4qTaS1wrVQB2DvVdtmN
/g85F2gFeGEK9aq5SNImdYoQE0kDZXoQXpVTVnHE54rM0mG+F2fj2EvrXsoWgk7/tS7AH6OLumm1
KnS9bBgX2VQVZ5pFvFWq4X1LFHnY+h5fLj7S1HJFiVqjKutHS626UepSAn3rb+Mq3mWRR7CrXvpN
g9cUMYfI0qOYr4ZifT54Ou8WZvrNWKYU7CnientQEuZtazbghTV48atkoie9qJRRW/VKeI6ErF5Q
4s5KJ21bxS1Rbz9tJ0r7JcvopDIQBCiKUVrj67hMNfW40bvlNPrNdpRwPZmEhM1V/joUgbZo/FJx
iNOi7VikVBd7u5HGXdLna7XxVwUOuBsgjcsh0xyU3b8NSXOklM1J3PKs5qhtUj+9oGpxMdbZrhkp
l/fjuGp0muqmBkxfn3ZTYG2qPA1sve7WlKGcXsLjJpFqV5JKp8isUymnsIVzQeBMZXocNJK16dDV
tX2ji5a1FxxLTRbc+nKqo+BJCynRCpWpRHU6qaYDxQ+GE5gY0N0NYcKRM6sdYwi0M0MfJ5j8ZeFq
UiZxno6q3UoIrBjSnTZSupMH3c7oUZzXmRw7EF/cIVZpoTBpEMWOHDQcvsuhddR3tWhrndqtwiAq
DoKODgf8k8LxFEFaTR3bXVoQiw7BsAWP7R/74WAtqjRqAWsZP/wu1mDEI3QqV+JZwYlW6OJ6BOlQ
+lcj6sfIR2xYf0dqr+hHqpECR8dhaKqvLF1w0wELUwW6ww+hOJGpPK9jedrrdANSa3DUZrT1wQRz
XllHzPYQX6b+oqi740A2bjtN/1Fa3Zkf1yhfxRshqE+MZtgMsSDdl03TMzxeagOPLVZU5lt3om6/
oEejnAZj1draaCwbQT6WZc+20uSqAMDpTJVcr+lEpHYYsPwC8SvkGPgvISnJJEcnul5LWy+Dp70X
hYjCPZkAl5r9mpZiR7opxKJkx2D5B1utlJ0A5tgxunhaZ0N2KxtRcBbEukzUk1wLkXwemdO9gV4C
75saJ1XS47/iVf0yi6uVWceSm9dkOuXo36QCXSRDoqhsrhIxk9dB117Af6c3KtzjGk41t+mmTRap
J1pESE0tP7T1Qj2k4XgJnYGDIszDdZ1ZB0POpmhGnKCyFGWnJjLObExJs9BKs3c1M/sRRaG5JfLK
XWvqrEVHBdROM1p9CrVqYBxGjzF6IZhLrRxjR1c4TyAutAeyJebnRZYcQg1fVNm00PT2VM7r6wjd
7aZMv0pZCu8gj69bVV5KKSxU5T5u49OqNy9beVQOLCHeW6kgU6gyziNcnBdWKzduHVgBfbtaEc88
U1Wliwhdelvhn9T3ahLrp2rgdRvIuuawENrejO0aqkBtd3EpNLR0SCVu9b6EmpE1gmOE5b70k7VS
EplP1lKvPTfvpeUYdO7YsPPkk0kGnmN1kU1E+kJjZo4adclCi3O7jRSaAbSVaESEuA6SPc8MwfuC
1GGpCv2ixdA2VFpbsYRd3N3R3+VBdLUsqMlr1eGElURQdle9oO5h99w2hbIKZQ8ryla8aXJsoypT
JDsyT9CSWDTFsFSMbDVvMp6hLcyxuk9ysv1eO1GjhEq+Kl1lbbT2zIEMwoRJJAT2aIrfh04sHX9Q
TzMh9c7pLap270f4WiBOncmnzVwISC3kXGicGAd6vWYZKxsQMDxnP5j2oNTrnnRlatTjSVGJj/x+
M3r9svRbmpBG72S5GTgttKYdXpfxJm6qK7Nrj7zCzI66pO4co292OD2H7Ofjxi+Sr4qMpNsQKEsv
77+Rs3TEtdVg0p5NV035repiSt66kThZJ9Yn46R/LxPyQXBiblt7pivkWYF4vmkBU8xaN0rmE1hL
6EYVrbicVLXH5CGMFuheJQ7Wv8JZYBirNohXco50cS1fle2ctJnEYZf0K5ZIDRd21arRspV7zzHi
rMPBT68vMo4+9NGOu3KQHE9vq20kp/Eis/rqYhKiRSmvJJnvGmb/f9QvwXgbaLxQBtQBSOiUEP+6
fnmWt03wbvHy7VWei5fSF0qTWJPgCENlbxZW+rN4qWkyIuIznh+AKUXD5+IlFBQVzKkIdAJJktkH
4M/ipfUFsj21S+DOujrbZcl/q3j5DsAPqo2EtoZMaRXxp5ely0FTO60SqmlXKREoHnxHWrQLw7IT
HB8j0cjOxzg5MEMrvklSrTqKBNahLecJO2tHCBm5Ujcpt4keoDLj0WdeSyAWPqBYPKDu3wBKKLGq
4Eko2b5GcNWhH1feOI07KdanbdaP09mAhmQLdWzwF72HMq8iVDO6igJMrSbjVtW0wgFaqm1V2aPI
kkgfPdN7zRqqvXwBQEcyhIGXI1f3McStMJjgcnXZcmjwGBgMgrcKYsUBue6ZpmXK94zOh1P3Yul2
tEc4coOwp1N4XVY4PSlJKtp+MSXfcDCu7J+m5vHj6PzMm3gQhHo9aIDvsLyj/gZ6lQr4Cxj3WHhF
h1rZbgB7SC0kqled74tLVPX6I5+26xG5N7z9EU5cRJwmBq410xxxF44IquAd5lEjbUUMRhfJRFSv
m0gsp8VcO5SkgCQkiRxdq5WloJTJB1guZvgbCBHsJzjhlOrn7/7y4UVRaSvZjKddDfX5blRAexgK
aPu6tAy7SKxgn5AS/jffFGo8+vSIwLxVW22sXhE82pM7r1fU87xVqaACNZsWUlm2lTv6RkYZEWNN
FC+Q5I/HyBXYxrcTwiGb0PKh/bRoF15M6HiBYZkMamaK8vdI2yCFcTbAzZBmCz0rPAheDs1gdbpe
EeLtCCKSRY2onyO3ibX59fR509OgUsvcgQdDfwcI7KvpPda+mimpJ+6ioL+pgrHfNShyjasYXFq/
ACySeXjIei095HDILsUJp6cPaBfSm+YkzR0TSUTArTMr7TWBK2+TOCqqfNoZnpS5FMW1VSWU4aJX
KTi06Ge4ph43m6pSiqWvD5Ht1722Nam4noy11q3ACwvOZKndB9jWB2L3i6U1Pxi75SyliPqJ+Wpp
BXRwI99g15TGtv7WQQRftZCw27mF3B1gJxwvm6YCl+EZx/qYXAWT0DilR0Ks0YpxRg6FjaQ0vlsj
XOm21DY3qSoox1KLcZqZYsbcw9B2fSOg0iaWgo11smUXUoFBSRDm+yBDwpGNMtzkXSgu1SToT/A8
ntYeGPqlUlEONZDg+Mh+dqZFvlyVdPqoRNMqBlkEIuBVo6sSB6yCs5SGxtAmpiMB6/qW6mgj9Ipc
HraWJ1D8YIMrm0rs3EitzS2OK4iqyLU0p8im97Ux6o5CsGaeiVC7G02HQdYGCTWPqhn7rwHmE80y
awDmgBBoklupktStIYiyatdyWLT4ylnC7a/n+oNOyKvvaaByhISVOk/41zoIA/L2kScr004sMjTg
pCCSQccJKGM7gRnq3yqFFpOrDbp0qNcGynGifCNQ2DkyEx7HFhstv8B6GdMgRxuK9vsHj/dmM5yH
Hf9ijmcDWsjr6YZOQEYtdBR3VI6L2vVynZMkTqoKPBhgyQMJZMAhcKtBWEb1yF5cjIm6jUwPAKGu
KIVm62qSrGSW8XqoE4HoW47LQ7w+YCgbyod+wG+x3zww6GfkRud1Aonp5RYVRCJRb9eIu9bq2x3a
OwpYN1lZo7U2uYMvgrkRYiW1fd+oF20Y9XZrkBaNeST/7VPw4VH4spB94Ra8BjhUgw6AQ6vFXT5l
JJ5NP236iGjI7vpaXFqCBvZuxFpFKlTwRpkS+7agIffV9CboeI4m0oyhdn21QO4zHsyFEcBFVMV4
+AqaR3HA6oRLw4tKsE3CR4SgeT29npesNcJHg4ek5P5yHE1RoDaTdzw8FufEW+mNPwwXQiXclVru
QqRf6mK2/GC2zR/n9U3hIBny7A/E9vsKEqJ7yeCTKEu7UfLwJW9aof2m5RUYUV3sowuvSRBe8oa2
wj1eFSiVNpESIZCo6KmtayH6oV2SJWe/fqp3jgLgziDZ0caBD/7awtfPW7noplLa1UpTbj1LbE8i
bbQ+4H3Ib1DCysyBAlzNAcsAPGz8P1HfpLZukSNV5d3Y9/ot3ktitQwq8KEO5ZTyaxb7WurEKh5D
CEYkteCoVc1vzDDwlqXuq54zKXV7BTRotDDn6MRqIcp4ANsd9RbTLsJQMNcRHUKyZkuurftZxeoD
sM2DXvCLDwh9D/o89GqYdaQKr45uOFuC3IxdvA9KUdvqwzhvY2CatZVvir5n621XCrET8a+zdWNi
BEXjpU8OJc8blUMlrqLOBshqGbRJxgalkprbuIYkmJ0dVnUS2gVZsu8gPl73iyzzJDozMILwjRaN
7DIMiwLD1CpEQkEXqb854mSWhjNJaDW7s8wR2D9hohTflsTvLkarDfUuX51Ct9HKOHVDJVL7paz1
gnAmC/lc1peGZlr77CSdXeCaZSwy06Ck7g9pouHKEfrdUSSHZX6DCgSPPJCNmd8aJZjEfRMEqbRU
Ii1s3KpDCpt+kuiBCkVFXVJtsTfH2vazuieaHXGq+qFbguIf0tJB+JzdX1tnTZwKH2xM0ptNHRA6
pCpCXDZ1+LjzWfvTVAupOcrl4Id7udGUcyWBGeIibiLegqpTLms41heTLiU/ZATiJFsGjXBlVjEb
tqgKkfJ9jGim2JXi08w1ofRGbpF7OFIis8PvDXC73UdP/GZxsH8acLTgoONpzBJ5+cS4BHlRFSbB
vjKC/ojQpbmC1su+MFB8CZ2xD5LGHkEh9rSrY+pXMBata8GwguKDAOxNcDrv5Ab277MgnIT27ssn
EUeoWX4mB/uUHmLm5ppQXpd94Zurshex67MyvbppPa3cmzWhO5UbqfkITvhmR4K8KEKbFFlpeOQ8
rMKfvh/VePZtXQ/2JXYGKM1MYfdVNvKPXILfnqWk+VCA0W6nEKACVXv5rkYujMmgidk+w7vBBOYy
RdUKkG9XOk2niMEJoj3NLhR7IqbRDLJ7oHPtIkYZ6EjU5PijGPBNCEiYxP4LQRFOFySbV0dSQpdD
zlG53RdDaG4qwRJWOdJPK1UjCf+be/5DRAbrlhII1iGvV4jV9bj7tqBNxlIf17JgTasAZRb3794F
OKKMrDJyqdC8X2tRCEEi52Vb53uxSjQn0AbDzZWq+CBpe1MtQLt0fodZW9TAsv1V5EyJ27NiMPP7
Fm+wlWAO7QpHTfWr0VGnliVCzQ9W63s3BJFnYS3AVoeZ5Mtp0024CVmDUexDGB8cOYN5lowhpMBJ
MWlNtmznH1lTvHPLmUKMBwaVJDj/8/7x04rQkJ1MtDEo96AV5EVWAXPKzNFad75CIUkCsSR98O3e
TkYUuLgbZoYAbt7E7VGcq2OBs+jeHyJ9VVATDRZWZNTfNQMYy6/nybv3mv1yZ51BBVmal2/XmoMY
jqJY7qWQZpujKr5eAoOgIaJy7i9+fbP3hhLhBAvipK5AiXq1yiI0I2leyOUeATPRAWCU76gHlIdy
i9FBR094/GC6vPt26iyl8LDeXu9mYt2ZZjj25Z5+At2hLhMP8jGdDnTqRstfv9vbzZuPNrtPzfsV
lET55UAaCcHbpJXlvvdAkzgTJvauzDG+xkzZv48bM76vo8DfGWWtCIDFjf6jfOq90Z1XPEEAc0d5
nROg8khpQWnLfZEGsuhkYMBBkpVNUNCamSbZNqo4K5bVNCl0hNGM6hfoCujRwhdofCxQnVT1g1hQ
W5qTAGkOqbn36iWCPm3k0sArow9mA1xexuRFSGdARMfigE2EBSbNZeqfl5bs5Zg/Ibe5n/JSGIwN
LEDDpPZi1Zlx1JnRHYAa2n1tkC84dFd6VEOI0aLkAu/zTRwWriD218SAoFo8pHU7tTmk5DLQnzcv
E6Ctuw5dBWdM0GQbxeCoQQvTbnRPdHsf7m7SRz94R9rbcn2o1VJ+rk6lftePmdOBobbZgW507TDw
E2kjBfW9HDbdug4rmh/Q5V3S2nadSGpqK3KIE3uRSzxqEqyCSOjWmAPL+yQSXERrm8uARnfZKMah
1eoz4kxAFiDqLqvJN5deZplArXqCy3aI0aIbi52fRflCsUYDhdegWpAId8dT0u06rDNrW/CScW9y
TNo1mbKtDKMMWX7QapaUku+mMbgYihgcLugB6nW66MotkC4lqtuF7weho7at2+jlnaSAz8pQAJFb
4TKto0MEmHMHQZrzXKxNW8UiBoqzN6F/rex9RTG/4gBZ7tQ0vZ/qYjyyxvrW8BF8TSIVdGxrnaB5
11xHipmedl1xHSsiwNvWLxc+ymCruAzQUU3gOcWDJ67Qoae/HneLSRE99O3AxfSYajmJ2Q9rGFDf
zN6fpd1gSqmXhTCW+xhsW2RDXBCAwEgiQIu44/Rxi06okVdrTIN705A2avq72w6SHNwTdQbHiNlt
MmKj4fhgFwzoVxqEHeJOP9/RZIIi4sEwT3dhlqoKjkAhHAoG2DxpKPHso94X42VddABaBxHdgqUZ
K9NF/dDHxBW4k5ZtLPbFtogVrbLVhz5oPLdEhYfuqP7QKa0j37+I9bC70qQQ+1w9bAfLrjOl2aQV
ltPQjAP9tBZkunhka3ymVoFW5FRod4Mhk9G9Fb2k+4EYoiod+VE2aWuQhBkN+QjE+F6MK/A3aR5Z
S0QkdBL+ISpvY9Ea70l7K4mcPmMhlHlY125WoxznoKjbGq4sVH22bDOII/BGdV9Yq6GWozpstukG
sRITKlDVGF+NQZsFVJXAv4TIFjcLCeJhtzTUIT8ozW44EorisBpkPQPINVNIOb6gk8Jjg4flPdBM
/ZlxGo1BPm2bsG0sp7eMuLRDWIvAW0Poqoo0eT/iRshdCYLpOgz1dNOqsXkUJyoi9ngJNgdpYiqn
oTcVoVujRpjQ+Q2yiyENtMwtCjTMIa1VIkWMSaURryhZnzq5lufbsWuMs468TVrK0oy7MUU8ke1a
q8MMfqpBRltpCp1GBS0BO1ViYCr4NbASLKg0+7wz/HUPrdd3IUpOwCHi3oedKvkJizf30uOubqiv
GCAUNSdKJTUGm0LwC9gzkc8yrWvmidakV2oRZ7OKoBEDbehqJVwW0wggWS2qOHDrmBMNGDTobtdv
9cFwZBA1nZOniHpvm6me6NqaeM7SNi2HajkYUxi4cmaVDbBZy9pJ/gjc2tQawKaGFEuxO9D7zZ1I
JReG99agQFKPIqDSXJQOpEkNwMjDypkAeDR6tYzLNFQoSdZVeCDLw3CvUMqWXb/3MHMqWxDFThyX
JGSF2VUJeQmrCrtzj3AvasKgtVOwgQr8WFGOLxLqMad1hFfQuuUtTgbqyvo2BMAKlAyO1g+vnMCD
9HroRdd5kLXxcVqU5XHux+VVyh7WfY9w0uCi8K/vpCAHh9yHgT7BxuK4o0RTgdrLEeNlylNCDuy6
MVoPKZFYinyna/3pOsrM6qga0IwA565H1WWHnTaGLTCIg32gAe4HaWV5I/Buq42XlZTl4sJKFOH7
KOtetkoDQfYXepyGmHQgaaksrUG0MFCf2vwW11pJWI/Y8gnYYKAJ4OJCXalOEZQ0xcOaivVB6FlZ
6wTwxaPFmAcF2eXYxj8EsYxvSj2jC+OX1B3g1dXgGnq0vCk7tEgH2xPmCqC95HAK9mrd16dR2qkt
s6sxQO1FyKo4XTfJt2GkFZc+dLlbTaQTJ1ZZoqyMLk+6bW+aVGkQ6opkzv00Os91uQnPtMiY1DPa
JRUmaGENsEaP+nJYEGlK8qaLBKlh3pi+tUWOqJuOelMd1ZNa6UlW5Kjv6FjEOpDdBui1hIZrNqb3
OXW/kIlaCk5jqIWxFSAhWVRQhjFAwNVksWsgB7ITMcVWfFGXxCrLFP5ctkEulnUKN60AqwEhMlxG
sp/1S8kjHQR2rUaSW1AY6HdKjibdBiBKW9n/R/Q7BFxSL94LTQ5oN6mEVRBL5S6GcElts1Afa3b/
CEbT00PMUpCLrAmb8aS9q8bTu7pNmvqZzTP/6XEeZs1XtL/+m7/06wv9gewkd/46Fnf//tdN3iJC
yRP4YZ796+mPNrf//pc0Z/QvMAUPj/TwvL+6QnLNxdtbLi1AgEJ9RwGTiz7cww/FiCTP8Dl7+As4
J3zhNhDr5Fk3nJ+HO/40Rn81Cr9+wcfh/PXfefEK17dpmLFQmyq8aX4ehLn6jkTifzYQr67y00DI
DARWmOQpT+PA0P48DqL6xYA0oknEzwz5P2oAKMTOOvz/yUz46wHQv2B5OOshPn5maHGvBsD4AjpC
nYtF/7QRmAt19NTJZD83BOYXtGwkChtPU33O3n6eA9Ksxcp/ZLL/tCGYVwFWkp8dAYVvjH7jgz7c
ize3vszeQjAlHxfaP276k4d/7tsbSPbOvmS4rD3+vFr/kviFdgflkn/etydnR5wMIczPjoH+BcQJ
IjZAxx5/WFE/zwJR/yIpBuCEeW/4Z22CT1sAtafPTQPekH4oNHLKcQ8/r7YAhgDp/xk59w9dCJ8e
AbZ5LA4Q33sagLmI9vMkkOQvECRU8Lv/wBGYQ4HPboIym7wMNAjcy+PPy4PQsr6gHz67gD+N0D/x
OERQcda9/NRaEL9ANwcfRan46efVWpD0L2yYtAFm8MB/uh38ByfH/wbZThAmtw/hdXhXvxeF/9Vf
eI4r3/75q+j5xV+co+3He/8Zff/Pi4DpIez76Q+fw8CH+zz986cXfHvrF/d6fqvnX67Du+q6ugng
Fc2B/9NjHl6nBOkXd3Xzx/Y6CdPrrLl+mQFQ+SVg//OR/v2vFw/80xT41R2OrxEJfL7MnFkQ5s09
2M9e96y4uwlRz39MXf7I7/+4zP3xOr6umhe3A02AERzT67M3PMwrYNRnbXqNav/z5eYXeswS2Bo+
e4dHoPZf3uE3vkNyDZw7fH7i55cg/nz+1WN2+N987+eX+ItbzHHkZ8dpf520cft8ncennz2oCdQ+
e+nddVq0mf98oadrA7CnK/jZaz+OzPuLzSDIwm/+8zdZXLOgD667VzN0TuM4vj/7Cs+WFe/f4DeM
/8N+9P7Vf8PcPLhOf7ya9TTUZt+Izw7M/725C56vMk+aGUPIzsM5+dkrP8yamZbB1vN2TT3d5zeM
zcPIv7P3PNwByf3Pv8nz5Hl/BTzdh+P+syP2sAR+eZPf8FmeX+YvPwpgk8+/ysNHOWzr6z++3mGY
df3y4Hkcst+xNT0M2Uf3+Q3L5DS8frFv8wZzdeU37Hs24xO3yXtX/w3n5nOwcXNdhKjQ/BR0HLyN
OJ5e6jdstzaB2fMketpVnopRn10j84f4YwPKI7utX9zhMd9XfsNyf9pQ3tmznu7xG5b6Kkddhg+S
v/cOv2GVP8Z8b+ONp7LILKn12S/xMExvguTnustvCDtsIvu7l5H9n0Wdzz49F/fja8G+SyjqZ/4v
ptRc2/rs3R4/x/tbu0GjFXFECfC3CviI/3/DAnw4fPs5R3rzhTDGRcqamh1ASqCFGGz9hjXzfKq8
vdsMGn1tLfbZ4fy7wnY/9Y3++8zgvVd7h4f6y3u9lwf/b9/kbXb83BB675+9TP3nv3GT3F1X//P/
AAAA//8=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_xlchart.v5.10</cx:f>
        <cx:nf>_xlchart.v5.9</cx:nf>
      </cx:strDim>
      <cx:numDim type="colorVal">
        <cx:f>_xlchart.v5.12</cx:f>
        <cx:nf>_xlchart.v5.11</cx:nf>
      </cx:numDim>
    </cx:data>
  </cx:chartData>
  <cx:chart>
    <cx:plotArea>
      <cx:plotAreaRegion>
        <cx:series layoutId="regionMap" uniqueId="{FAD0B050-CEB1-40CB-9B92-DBCA0AD667BE}">
          <cx:tx>
            <cx:txData>
              <cx:f>_xlchart.v5.11</cx:f>
              <cx:v>Total Shipment</cx:v>
            </cx:txData>
          </cx:tx>
          <cx:dataLabels>
            <cx:txPr>
              <a:bodyPr spcFirstLastPara="1" vertOverflow="ellipsis" horzOverflow="overflow" wrap="square" lIns="0" tIns="0" rIns="0" bIns="0" anchor="ctr" anchorCtr="1"/>
              <a:lstStyle/>
              <a:p>
                <a:pPr algn="ctr" rtl="0">
                  <a:defRPr sz="1050">
                    <a:solidFill>
                      <a:schemeClr val="tx1"/>
                    </a:solidFill>
                  </a:defRPr>
                </a:pPr>
                <a:endParaRPr lang="en-US" sz="1050" b="0" i="0" u="none" strike="noStrike" baseline="0">
                  <a:solidFill>
                    <a:schemeClr val="tx1"/>
                  </a:solidFill>
                  <a:latin typeface="Calibri"/>
                </a:endParaRPr>
              </a:p>
            </cx:txPr>
            <cx:visibility seriesName="0" categoryName="0" value="1"/>
          </cx:dataLabels>
          <cx:dataId val="0"/>
          <cx:layoutPr>
            <cx:geography cultureLanguage="en-US" cultureRegion="US" attribution="Powered by Bing">
              <cx:geoCache provider="{E9337A44-BEBE-4D9F-B70C-5C5E7DAFC167}">
                <cx:binary>1Hxpk9tWsuVfUejzQL77xe1ov4gBSKIWqSRrsSx/QVSXZOz7jl8/B5LVjwTZhVcaz0TY0dHuFkUm
crmZJ0/mxT8fxn88pF/u62djlubNPx7Gn5+HbVv+46efmofwS3bfvMiih7poij/aFw9F9lPxxx/R
w5efPtf3Q5QHPzFCxU8P4X3dfhmf/9c/8WvBl+Jl8XDfRkX+S/elnt5+abq0bR757OJHz+4/Z1G+
i5q2jh5a+vPzm/vh/plzX9+3z599yduond5P5Zefn5/8vefPflr/2pnkZykeru0+47uWemHbhhpC
zZ//2M+fpUUe/Pk5JfqFEkRoJuh3qXf3Gb758UvTPru57++///Glh/n6KPefP9dfmgb6fP33yVdP
nh0qOhZjz589FF3eLoYLYMOfn1/nn4v8SxNBVNQU7rcP3WJ5/uvdV4V/OjX7f/1z9QcwwepPjjyz
ttfWR2eOce7z9kv+mB2e7BQhJLcJI386Ra+col5QrqXUBt76FgrfnLL9JJc98v17K3c47/+O7njX
pfcDwuXZuy8I9Pu/0jEch0EoTQ2C9PiUUPPCCE1tw/mpQ94VXRs++/5E3z/7nx+V9fdXDnp3Zy0S
/2bn5V2X3bdf6vv/Bw5iL4xt20xwTb79g6x17CgiXmipbEnhwOOD893OeLD6BzLa6utrL72z8Bh/
Myd9rTbvv+TBffjdVJfC9omZTb/ghKOWMHnZP5S8IEQIqsXKQS68Vd+nP1hxTr+9cs/N3zLLffNP
lHX1X+oeZbTmRv3pHbLOc+yFMFRQZVZ5bn//w2jg6Ktrx1z/HcvP7vYaUZoAED6aSJ54cFDxtRRE
Ev6na+CAk8QGIMc01fSsApVfHiIcnIf7Mmrx72+g6lnxx//kIS+jhXfbP7n25O3f0ZPOfRr9hYfL
fsHgIWYM/xPVrVxI5QsKKH6e+7ae47KXvn1r5Qjnf/8dHfFvwPChRfvz17mEweCMS2p/735Omx9j
XnCbMqq/50NU8WPQcFfUX8HdD4KG1ddXnnr34W8IGm5xYjJ0Q/f5s/d/bWkiL7RtC1Qm8700rU+P
egFcYYzSaJaOvfS1vvz3g33/8BKYuXyQzn5g5anb678DCP/P8PObsb7Z4+RvPZVLIADfBOiB2t99
JE6LFBUvKKWcSPZnCvzujG/d61Gf/5+f6bKPjr56osL/B/LgPxML/yZedmhD918ZmyNu4fFPv6oJ
Jmn11T8j+6Kzvtns+vPPz2HkI98tP3FyIo6MtfrOF8A4fF3QFyCEOGe2LYHEqXn+DA01PjESH1BC
lS2kJhww/vmzfMmCPz+XLwzRDNWNEK4IeCP4vlm6X5BMFL+HwMCHgmgjbdAW3/V7U6RTUOT/Nsaf
//9Z3mVviihvGwh9/qz89rcW3bStwY0QoRixQb0RZGh8/nD/FmQc/jL9X7K2hS87Iw9Z1rb2TtGg
Cx02myG9HUpaZofGCsl4N9Ahyq6qkGSWa7dpMLtHNrvwGJRceA40moYYgDINnU+fI9QkHku/E4ee
p5p5YVIM+R1RfTI6JqrIH1OeRZVT+W36MHODB5JTVOxIWoXvHn8StX4QLblEV8VQqGAZG6D92CAj
C0xTjY04sKp4sMAqPaQyGT5ZeUv3nYnHDcXP7A9xaK+huLIptTVi4Ficz2yrbZNRHMJWs7sk1uI2
ZNUcOQMJ+Z1Fxt64SWLN/9I5lVdK+PYvj+uLSDoNgOUBOLCuAE0mtV7scRQADQtTVYlBHESTmoNJ
u/StCJrM+wEpQgppc0EWVHYqRfO8s6eBwqppXXwsVOrvg7SNXz0uZTHWSTCDjkAzzGzOYE0iUbyO
dSkQvEEwVPxQDE1zM5BmcjuSKncc2855XNS52RQVSkEXKRmz9SpMGhNPc2EEOwxtmtzKulG3UUyi
949LOVcItloIFqFsm3KznJoj5+QDLU1fW/1h0HG7VwXRN60lesfvkvTT46LOFDKcCiQVzbnCf9RK
VBUEiZXKxjokU6ZdUiSZS8ZSb5jtTCED1ygFoGjA/SHmTxXis5mkLLR/aKbIKvZ1WCWRMzd2EbpT
ZNPPT9VJUpxgTpVCv2fYovOR+YI4sk2vqH+Iu1yEbl8FxeDyoW0/PF0O+knNIItQnKdTOf1YF6rr
av9QmjD7xSYpc7RIyMf/Oykr29VaVoEoG//QWVV3XSRyOvRVnD3RQ6gDerGaQjIiUvCVlCqMOeuT
fDjorJxeBX3Su90s8l+DsC6vH1doHQwQZSMVgEK0MRMh9vL5kXviPMiSuG6HQ+NnzBkDK62cmnTk
N20jX2zoxdeZdpEmqCRQi0ptq1UwZJluw5C04yGfecQPTVjEvhNq6d8mvO/yX4WqSbxb/kvcxFno
s1vRlLK/64a0zlwedpTv7GYeiBP5pBuduJnLj0L0Xe+quMy7XzFuKap3jZ2Y0NFtojsno0k1OUIO
5bznOi1/KTIrsne1MGV73VY6+kRZ3gyeaAWx3a7u6vEwZDPNb6OyNP51RhrlzaE0nVfqgWbXg7La
bnCSntTV1cSS/FdG+vqlonXeOmnLrfH2qS5ihHPMRhSSj5RiFdld57M4yMhwyPyYO9XI+U5UkX0Y
47TdcNDyU8fJe5nQcK2RvVH/JQSeRsNk2WEeMDEckopat30L1f2+mg95XltvSGkXtxZamrdP1g8I
DNWCM47R3LoucU6rsQib6aASi+yjoCt6hwifXumuzMINDc/jnSHFfiVrDSQufOBxvDdBk4cw8XiY
srFzR38Yrxc7OLyL7d2T9WK2JIYtmXYpuCtRCaMqqILpMFkm9OIySz6pYcyuhrThvz8uakkIK79x
ISEENcNmZF04iB/0vC/H8WDJeNiZKTU35aDnqyjP2MuCWONH09ld4bAptp6cQBhHppJLL2sDK69A
Y9yXqbazfDzUWUySHS/iMnXtpppmtzfZ0O8f1/TcfzgKS0GGvswg058atbJNzYquJ4e8Ldmeh+qX
eg75LkvybEPSkotObcq5jfoIRIb2AAnyVJKyoyhRvpkPrJOfm1b6h9aakiefbQiBIkjBaukCVuEI
EK5aMxXkUERl6FS1aq9MF3ZuQDr9RJBpI4kci1qd7aJRZRBNGTmUPRXOaIelNxqqnhwOkAJ0oSjc
ZGu1grKoy5lNWns+zFNWOVy2nZeGZen4oSo2bHfBQQKzFYr+DCQxYvDUQU1pxTOtInKgRvJ93qnJ
KUUlN07xuheB2ZbxAGGoxCjKfIXJTG21pEG+PLA4zgunVwNnTl6S6F81nZo9n2Yr2hB5IcYX4seg
TjJGcLJOFUM1USSrFDnYDfsQWFF7q9Pwd6ab+unOQtsJFIjRO0X8rQTJbGqCJO/IQeXR9L6fgu6m
n9vQm3Q4bZymCzoBYBCEBs4steXqNAk+xMk8s+kggtg3V0GoS+aNsq21U3Duj1ePp4nlyVeHF30c
U1ShN7AxZTg1YdbZVpEVcgZOM6Nb1dWndijURt94ITROhKxyUYxqGnF7Roag4ZA4pqjorgpH1+qm
+T2vk3wjLuhlrYxAH4Ko1Gsj5k05V7Vm86HmTZ06fp4Ow96X/Tw6FQ1V5/Isl7Y7pR3D2Sul0m4k
wjJxta7Sdz4lya2IumLYEzjK/30SdfnpqXYHSlJA4EuHKc26lZ54ENklwNahiYfQi5ryN8VHvmH3
czPg1xdmQBOMH5BvTp1bW0FZxDIZD8Im1e+Zr/33+KNoQ8q5d5FaAIck5u825K2kUCsFlgyt4TDp
NHLGebyLp/Kzn81/6JBs1G9+URhwB4XxlFBfPz+C4XQSVULCYDjUuR30+yJineUmWVzMdyPrxOz0
YVYMXlk2WXFVTKUqXo5ZX72qSW2xN0GRlOldpmujWrezeN3fBklR1Y6V+6Zxxy6YMkfVUmT7jkic
A5PZ5XgdI1qmK57Po9y1ikTMq7ks3yVEtK8JqAGauVYZmvdJlQB0OOGQ5uNN3EZzvptJEvWfWa1K
y3aypKof0GCU3ImQSXsHoCd+K7sgYU/OIgJ0K6yE9GhLwRYzHpkpaKauSLUApLJFuueBH7tdJIzL
BNkSdR5kwH1o+lFalm2yNblQVtpCcamGgyny0Zumnu0qGckNOHrGudkAa4QJjayojUAhO9WIFSIO
yo73h0bH/8qGefzMhiY7qMBYbjTN5cugm4qXTVvMrsVG9jon+eZDnOdmRdGQCViU4inIKtIHzbsk
KKv+kI5R6gSx6T6GveZOq/zo7qn5ATQnKE4J0nVRd5WXE2WqLGvy/qBE1zmkAOieAzNtJMoLCqFu
ouwLDRlfd2OOw0Tw2srjCgqhc8qdWM7s7Tyjd2JxxW4eV+iyKAmAr4ESjFw+P4pIYiVNG5QNRMV9
+jZIo95ZOtlPxBriH9FKMYYMoVBKv1aHI1G2poNVRmV/qJqo8Qo1Zb+VTMo7FdAs2YjL80YQflJS
GVsBBBu+nI4jWWSMbd/IDrKM2Uc0OnSJ/c60/msZssLRqfA3BF6y45L4tI2uCI3Myo6z1t1k1CKw
IMEOqTfd50SMVzmauSfbEfwa2EIQzCghmq3KdhWJasop6w9t6MeOnVaxk8lQ77NynA+PR4eBmU5h
iM3ATwIRg1rBMsPy+ZEZTa27sKxGdiDNrC1nkHVV7Ueg4sohXVVZDupbwZ2YTdHdRGebucwW8/RE
StYGjlSS4JDbWOrD85w+xdwKYTEbT8GrmQaOb82zY09tex3qod8w7hIYa43BZmPrBgcc7cMqcNSY
Bu2QE37QLbTJeEodYoXJ/nG7nkeLzaCLBGOFaqCXqc2xXfMmTRsrKtnBTPV706X1VZijSGtpAu9x
SZf0MWLJJCDjJM7dqaRJtmFZjy07jDTt3qSqkW6Q2tFGnFyQYjPkKfDYAuMgsaprNOe2JaPaOgjG
czcoJfMWpvjJHaDhIMoJBpoU3bpc1ZpIF3y2hibwMOjJOmTDLGdOYBVDsWG0c/cYroC+EXLYJgep
fWo0mZUmCWUQek1eRDeqFvG+w3/dqtlXG3njPFFBFHoYDM6wZAe0dipKJBX3J2sOPF7lTLjl1AEd
WE0K7hIr4/TXbqBd5E0i21Ty3GfL8G+p2gacM6ikU8nWmPhGqCjyYmC22AnzKhrRGE7FU2MDKBT4
EwEIl4ElW2mYhChxyZyxQ9FY436aiXS0b/cbaPdMGxRkMLKMIiui11UrKT3r/Ug3YDvyUdluK4bR
HdDfb7TsZ/kQg1z0BxrTrmXUth4OAVKaMM7JeGiapO1di7bUdhRpSe4OWdwn1yA3jfWlZSJXbpmy
jjqjNHMYPzVqlqn9V3TAmeYYCp/6ri/b2u+TFM8hspcY88rdINWr1NA3Q552O2WaYkPiBfsKpCyi
hLHFgrVWEsEutJMCWcFHu/L6yR4O7ciDl0/MVgpVBnv2oAKXI6FXUlTe01yRXHldVpFdriuciGHI
NyJysc5JjocUBAlOHRSRNlvVk6iA/TIzS6/sptCpI1u7A6s/52lh7R7X55IkDboAfBLYJODxU6sN
WUWzfMIsWmfsswIm+VhoXKiI58DeiMzFMmudkN+pxviSontdZeDKCmtmmpR7YSGIk45FtBulxvwt
i6d3mSXVLSdT9XIsiyczI7CmvfQaGHkj+a8xQtk1cT8WBfdYo1I0NoF91U9Zvuvi1t8w56LEmZJa
aeC5RUW5UnK02cw7AlHhQJNXkxmIW2Cm9CG0qvRGzX3y8Lj7zoIeTR/4UwqTouwouXJfOw+5iGXF
PZtb7U71Tbbnoyw2UtdXIn2lFhIw2AzMTjHFX/aljtFAE4y9zzj4pNa36thVZaLJfrKrrnb6PJu4
Mw15CPSVliY9kKCSd7Ocqo9zJIrsWmcZsx1k2DlyKVYBHoqhygJ3EqQonJElsnst06bf2jm4ENkL
hEE6RL+P3M5On1lyvxcYwzLPysbWK/003Ic+CW5lI+ynph54gZOvp3UZKq+b5snECMB5YJ5vdSm2
C6b2SlkJuX7c15cUAlUJvhxJQWCN5VQhzZKGUbsSIH1o7nRBZpxcgqSK+ii++gFRS3rDqWGUrbNc
g444i2gpPNOzfJfypHTyiFveYIantqswHY4JBAkAaHBNp0qFfV2PPsuElxZqvqlEJNwkpdkGLrtk
OiwggQUAAARuXkmJkyxElrW4J6ahd5JB244kob8zYWptpLmvfML6rACcA5qjLyZyPSmamq4ZTBML
Ly5UexgGZfbtPNG9CGizZ3TMb62EFy9VM8fv46KeXpfhUOy0hbRncTk7aMzE07MSBgUoxLAxIM5y
UeL4+NqWmQIfMMvDVlX0WshRfUqtarxCmQncfLbajSJ5IQsugwkYWjGkW7ICbjlLaZUEkfRoYohb
z/ldp61dF9FiF0fR58dj9VIKxAUE+A/TAyyrrFKg6Uxn9VYgvRDzNwzZQ/62jY2/odKlCDILdkNP
hNsm6xMRJUM+ByARvUjW2V0/y2ZXgiG+svqAboi6oJBZ1r45xSIx/teq+Acm78uphyidtsrLrBSx
k3O10UGcwXplY2qK8Q4Sl5EIitOYEGWcSmtENskTXe8KPYx7EUbZ+5lnxXURivI2VsXWbPECBlhm
LgvbCwCMLulUqIy1TYo6Ud6YzHG5i7uu/FeHR2kcMox1fR2ndtI748T8e6Lj+dPjkXLBh2jJsHAK
0grbhsuO4vExKORox2MmgN1YC1a/DMt3mbKEF+qw2j8uavmpVRIwWHfEroxECsA20KmosahnbD9A
UXjTlvummjPlJi1G/7cFVnWYYxJfjE4ds+6NLYZm9KqyT4LD409x0dw2ohUdB/obe/n8iBwJi7xo
i4kqT01lkjhx6nfpLknn8BWh/lA4ta66twDp5U6POd8QfsnacCdHAGNqDobrVDiWGKvY0qX2+pY1
XlOXwxWxlDpYfI43rH3pxByLWsVy0/ctuLpGe11eK5fMI3NoIIrd49a8JMUGrcXBHgBGrhvhaJh7
nmMI5Gk/nq4ETc01i5lxf0AKMAT+kUvkrHSJzJA3dgqfmUxM1w2Pf1toq43Df1GVIyGL744CY+Cz
rqdyVJ4MuTgQOb4jsx1seOVShsH1VlSBZfVW6VUV4BN2TMWy25MM7Uvkb9+ZkuolWLHQCYboXnRJ
txFyl9QyaH9tFF9sYa5PHYvtqK5zNGfYA44+gttPXg6YluUbcO9SZONKzrJAi+nkGcWeW2HE4yiF
mEiPNwpdtFPNvnUIScE2NDoXtVxeAKYEzWOIWMdckPNMTwQxl0cAE8tG7y4Db+XMc/b58bi7KAl4
BcMYwDGQSqchMYbtOGaJJb2IDdVe5Za1m2ild22Vbw0PFH7qNDlCKYFlJEA/APR1N5FyOscjKrk3
Dar5MOKsueFM/V3XUXbwVRtd/4BqkIRESMGVrbe/06K2Z5RSJOOEtG+XCeEOi+zDXY+N4I2YP4/A
r5Msgn0krDPg0uqpFTXayizNCoRGnIZXpCot16QF2T2u0EUphoGuwiYZOTtZei5J3cxQKA6S6aoj
Wf+qGoZ0Y/ByXsPAceCuk1raZiCE1fmNY8KbhbH16My5Y4eauO0Q9F4eR8MhHXruDmNTu009sKuB
gmx6XMlLUYJRzLctDTBwixGOcpRuLTC1ekCOSgfq5lgndEjTVa/8yK88e0r8DeB+XiwNDhmzqSKo
JTZdFcuizooCzZD0pF1jXWgsSJFiKz9IPtc9eKsdVivsX7AR6N81mDps5ZTzZLlIx8IcVhoksPpK
OsWNCdu0A46fkVN/nRhVD9fjUInM8+tQpru2M+qznhq0Yo/b+UIwLSN+XMJBg4TFglWdTtJGcYHO
w2Mst3dGlf6OjMnWrP9CeqE47xp5eQEja5ZfxAkuXqSh9BqoisDBzgjLBXVZ2+YbgXNJFMdICHdN
cDSYXJ3BPixqkkoGheJBl44u0vzazGZ+F05lulFIL8paIB4YzGVbYiUrSjI0gnWmvNDns5taSfoy
GlDyymjcujxyURSWD7Hig21iROjpecitctmNLpVX1WTcFZKhka0ArzT4jY2QuHQUOG7FgU8FDBFm
Cdajo1fr2DSM10A6rZ5esWBgO+YH3O0HW3wQIi+vqozPTlRu5pxLwQi2GGgAfCR6oJU9J+L7rJ+A
m2cRyX1dVJkXK1Jt6HdJCtAwVilBF+OtKStTpqXOogmTDo/287CvhsbeDUOyNXC9KMWAGDLgobAg
taqo6Cq6sEql9NI6jl7XQmSvLNrzd08/vhKHF9wJRltYpTn11WCHQiBVCy+wAlzRIEO0UwmpN5Lj
heBTaEcRDhgdf3tnyXFE5F3JTUFk7LFEhy46mMjV2PJFCMxPNhtKGuCHAg6RYKX5KgQwRo0wXW5i
zxSp75ghjA88H7eI2jPnQIoQKHAUYAepdyUFEJ+hoOnQQ1KqrgY9xTsz28kGu3VmNkhZgOgySsU+
2fqaVdAwktd6Cj0Arz51xtRvH4YqsHdpRJonD4YXYbgph6YTRfuMdemHpME1KyyFVX5UPGTdwrL3
4bg12TknuLAZAathHsiA4oDtTyOu8FVvkjaJvHFhhT9Udqxp6UxRNcW/WtwE9S6z2rj6oywDLR06
FWPuGtnyal8Vahyv5OwT6xCPvYpeT9KU1W+Pn4jl5uIpvgTLB3iJ/IE6g1nQqqKRIWtTq0GwVmOW
7zMeD/kXPuma74wee1q7YSV78mHGkaoPZWlN8bspJxF/2+ZjP7g9VXkbbhSl881CvewpAC5h9QzB
RZdQOcqpVRybzNhx5GFNNxp3XVulvSMK35/egjC01dvIbvqH2s8k/ZhacV/9VkpdCjdgkY5eYn00
DvZWSH11M0fAhbdUF+XWkvsZ4sMz4sn4ssQAmma9O2RVdhcWkkReULdJsY/8gPauLftydHOsbuRv
aJ5J6YCoiHpcI4C1djociNltOHBBlicNAppr0LUo4VhzwA76KqcxXPmo6qxPvCIp2nqXR4hqx+a+
n37yg27U7+nIioHjzWBRHKYOy7lM74uCVP+qcmyF0v3jz3OGRPE4YHORDhR2YQBfTl2XRMTiiV0k
HpNThjm0obk7zz59TaNgetW2frkRLOfJCcPbpfICUWD0vSaqsPTR2aWN2mcsGbzOWpo+INKfzGcs
I2LcUMMiF04JpmMrtUiI+XOYZiBOWeswk+VuGZP28LjxvuLmlTM1tpzEcvEWpJ+9ElPEs9BtTmIP
GBCsYqoiPTlV12fT7IioZsGVnPRguzL1qbwFFVam1wIH5aHLyzl/PWaMz1eF3ZvSDbS2cCWJhV22
Yy3vq31sUQHXDzHJhNPzVtdbWOH8TGDaCxthoQP0LzrsUytNuvOVLOvMi1RQGNfQYIqcIPMlcX27
xL0WkKi631ssDao9NlqZcikfhbUREueVBH0rNosw+QGVhwH/6WMYUM9iAq71OjnVV0PdPFQmiG9w
UWurE7kQ7VhmWiamClw3ePxTSS3p5xj3CRIv7VX2Abc9w11JsuRDwia1m7vc2giQC8GO19BIha5H
IOTXRPScZFVZz0HixSQM37STL+e9iumcPv0Ugxtapva4+ok7UCu9MH+OgyGWmSexR7KfiFKhE8fJ
9HKM2/n3Pk22WMlzl8FVEqcLyGlpnxfFjzK+1fKc+WIuvKqj6d3IJ2svU4wMctO0T44OzARxrxx3
1zBgx8zgVNTADIJ0jguvU1G4V5Mtcd+0kLjo18f5U6EgNhOwXQH2gdu4FLK+tVMFdR/YWVR4s503
zqS6aN9K3Gxs0UhuFIJLFjwWtZzNIwtmljVPsk5gwTnXbs6G0dEDK3HkiNyw4HnUQyvc0cAJB2A3
bJXjxxHtQqHqwktkWrmdTG8S2te44WhRJ0n0tCHuPOgXcXhVAq67AEOZVTCKJgOHU5WFF7fxfBs3
uE2ADrXZgJ/nu8+Lr47ErLJGNwNTjHhjJu4h1eGuGWL/3h6nfjeLoHJSDOVcDsQ2OIGKpxvT5+3v
Q5baG7pe8iLmIGiOwTKgh1jpOiW0szBzRMDMUfc6nbAFP1mkv6oFLTfO+CVRWODD2ygwdMDyKT8N
mCkssKjpJ0vTGL/BhdfaozXWrPvRNofHy9qleMHSIsPLY3AfA93KqaSKoCsGaZZ6c6Uqp7T9xE3n
5sYiWOknfvn5cWmX9MK2NToIjK8hcWVC02KIpMos86xesh2JJnpF8DqMq7Zn4YYJL0XmsahVyCRt
oH1VhEu965D6J6yhZru+6VO1kUcuWRBrrBL7tig3ak2daFobltlB5uGub/AeREP9R4vXcxyY1Yy3
NO7VhscW0HiKQ/AuNLw2YVlLxnh1bcPZigNc+YANy5QUOwtr8tc69+s3jSHBF0C8+TXv+v4Gr0ST
G0TqRZNiIoHFDYQf1qxOY2XkUTx2FqKyNp1+yccILxwZBwj6Adctb1nBFVXsXGPufipnzi0ZSrxZ
xJvChrtC+9hDbeNpw45LAKztCGwOqhSt33KN6VRKXRYgYDMNKQDNO95I9X7CyX9LaU1BPTT0Nivt
LnIePwGXbIjVI6BUYCDMrVfnjctJ4taySj1qYYWyxiBzX6OFfv+4lEvnDAMJDPrRswOsrnRLE4H3
AiTQLY/75l4O6ZjehwEWld6AbY+S3ePSll9bWxKru2C6BO7bIFucWhIngFRRaKfeoFj6AW+lSK8S
I+uD7xfNR5bFzHtc3oUTgGvgGPcvJDdG/yuUQLMus+ogTj3sc5PsXZVNRfnRik2Mniat58zJemsW
100/5+F9W8blVpG94ETs3oBax5Uc9OZrEAtABKps6lKvsCd1Q+KmvBN5saXmJSnY+kLviMYG0bLi
3fCGj0RE8Zx52Cy4F7gli7ftWE/eJ8cKwXJRatmPx6r3eqeQJ3izjiwYMnKZ8NLlvs1u0Gb5xcaZ
vhCRkAMpYCtBaKz3TgoOiiXEcrWXkCZ1Rzax2yRixmmiKrl+PDwu2k3gBSzoM7AksQZ2aHItHTZD
5gWaY60sLgrc38cbU4rg6gcEYSETSRi32nDl9zTuxykvbRHjlDVF5e+tIA9e4Rpg/8vTpeCaJJA3
4ADet7TKugCw6YSFU2RdrNO4bRiXh5zrrVnmJaMt9wpwFwNJEcjxVBfQBk3OCapK1GfhnQywK4/V
vGFoNvLfhVyx0K8Ul1IFBpnroUaFqyw0tkjugXlvdhkRVb+LhChDNxhLdDKTwLxsA7hd0g1vjMD0
GYNnKLeyoGgqe0hKoMfGYgR3HKNhn0SJODzdT/j5BbBh1I13AJ1acJQRNsnQxnqkB9djMbQSQ063
5k8XSEFcNMTAWWByjyJJV2JmjndtdUGbe7gx9HLS2eRawmAhbnjHgva91Ta3XS9uCi6v5mlK3JrH
ZsOFF82JuonIB9+Ml2ScKho3Y8OzeM49zrN238/oM9rQKjcO16WEAfgLjhZXzjGGXj4/7plmuyMm
TXMvhcKHsiubu7LCRL9Q8daW6CWFcLQwfQC2R1u9OseSjTEIhDr34qFUTlcr7Yxh8ORxHjKtwBYh
3qwgUSXXpGTNuime+gqR3yS2dEPuR+1dEUydf2tNMv/y9GgUNnA2Ui7E2avzPCUkAdeaozEDPnPK
PqpfljmfNirxRSf9t5Q1UsPmStlQgfavEkV/mCkb96kcI1d141bNvQDXKF7AvAw58Mo3sb73jPvq
IP9EWnis1/QOr5drRwevpvKdpvRtpwCP/g7HYmtYeUkqttIxSDe4MoSXiJ1GYTrxZI4SK/dKjquT
+3Zs4+Z90afzr2rOzO8TyLbaGTtCqx/I+ujKllteYJQAMk4FQ0xiwWnwX5x2boQ1id7ppG63bkVd
in3syfCFPMWlv7UHTZjM7ahx5amuommXJkGzx2WabiMDX8xaSBccTQvqGAbNp+pgwzixNO8Lz4oz
+qYTSb73M165lWnUeysLJneMBnKdltbwSYTgKoq5n7zWbvXGk1x06NGDrNInD0mFHer/w9mZLblt
NFH6iRCBfbkFyAapllpyy5Jl3SBk+Tf2fcfTz1fyTEwDRBBBh3XnkJJVyMrKyjznJMWsfB6+IT+X
u5IjvaZS80eXjpU7xdPXxw8ihTO0+VWyLEgj65UTDIYEByp9vaqj09hCejfa+ggZvfcZgdEIzibv
UHKftZUgjmqzUvBT6usTfKj0Tzlz4v9w2t8a2fikCbjSRAas9A01Ds6jPreewjPq0lhK/fhTE0ao
g3gPpDm8cvOZwO3HsakQWDRTcr5Q/kldTQ2SgyC50wJEseWNGeEtby6ZUK+DSkHj0B/68YeymF5h
q58dOf5uye25lsL3Xdt/jKbODdTuJdPGUyH9U5pH7+q9KEqNWlzmorO2vepMaVZNSSnJT+YxeE6c
obwqQ1q964GDHuyr2LfNU00RMrXgscH2M21gvWC5Lw2JBlHuZ1r3j6wNkpvIw1Uppq8JWnIHZ23X
GHURWuBwIiiOr40p5mQXURMV/mLVbeI6UynV11GylsIbklgdLklKXvYf8gbyS2D0Jq9RU90ke1Yz
2F1TzaLusyyeBZnZa/M5PIejPB6ch71DJ25zqHoy4LItPSDqMrXSB1oq+VS1sIaWsm88wyrG6Ol+
DNlzEIC6ItuimUhffL2RswnpKzOSwp/IGX5r9VE7Z11ZerM2NwffbHdNwBlBagq89TZQB7WlRvAe
Cr/rrNDVilB6MpbMOKiZ7S2Iu40LHZ40lf7NC76JnG6Y1Lbw0cYr/GGaIi8e+ubc5tJykK3umwJP
ALaJ2sQN+q+cu6xcqgL4XV3obliDV/fCoaYTq046nbD7n2pn/9g0UXoRYjBs5PpTyWkdRZrdF76e
BsT8WZ09e9SXgyfuzqJ4EaIYByIe9sM2PCrjAvUHOA69JtOJXaMfy+ra9qWmenIzpUcHWfzoTdSg
mQD4gzIxRYItNWUaIiOPlyHxlzTMpA8U4+3QjcK0qTyzDrTspawcM7vUqWU2Fy2I7PbgpO2tV/Bw
gUSDdqHbsN7V0IA+mqha4sv53H/qmnm6xpJlX1Qyr68Pf0AeAr8qFUKVdqsOWiiTpEqQSvzaUPLo
WhdG+QexIzpCle8sCYyLpgJB4R3HaJj1kkajzTUrVTK/myHGWFTefbsxNS9B2vXgCOz4JKaEFIhg
V9ISXZvKlNnM4kzP/Ek1WNGAsmDpTA9j8UHz4Y8keALnfcNTzFWz1KcGK0lW5d6QaoYHvLQ7Pf55
EIuCaEcF8FZkTe+nRvResQLs8iecr9wz0sD6576VvY8Di5gLBB1N3tobf0t6s5c7iSptkDvJZzrj
tuZmatNfM2kODzJ9sfubw0XSRm6IHRrH2z71TD7Xj2Oc+YPRVu+jouGNW/IlEVQZgnOn8DSE6n6o
sLqzRFNwpsjFmbwB6XbtFOMvmE+c0vjJktFrkyrxCm0EOqFN48E322vfofAgvhhNSRoXIlF4k2bV
WlG0QxJkPDKUvyQlAnZSmT+Govlmj7nlLvTwXhRPP7hkdtxeQKAh00FBgYiy+YhOX8dJP0+U54rB
elpMST2bWmM9nlEJJc1/5wiijrs5XA5KszId1syPrSV15aUs3NFZrvFIAU3Lg/9wlgFegcKkW4fX
bIvCVm8NYHjV1Jcju/xk5aYeezmltul8/wTsbR4++QtYg/zStuo4goyydSictDjD3gVkWF4BhnQH
cf3IyqZKIaHbE4LUzny5KrWLHQTps2am46NERJpkolb2C1QIOn3zifKorfLWKAi1FW/ptJ0rNzb6
9sDL9w7UWyubm38wJ366khEz+gCR4RjxtGQa87MaLvrDAZ1QQQ2EFjFddyr36/M0zEUsW5mpQc2d
qNyHtfW1QC3i56MuwNOI7FbQ/+DTbKUvqqGLwnlsVT/McYFk0dpznMRHSs87wYE+H+QZoaUAxsTa
LKZo+jEdpVjxQ1l3C2n+ZGbF09w1nRvLlZ+qyQfUuS+tmfvANL37SxSBZx17TQBqQtESPByPhq3/
hVEJdBo+dSbZVv+Udlr6VUP1WUfNQS/eBXkaHmlK3bo8guqMEAAUTIOT8s7626l6z/MrxKTdO90l
z9PpnC9Rd5Ag/tKUWa+MmhU3MgsDsnvj87aThL2jxrXv1AnoUEdkZV4W9m3qR2FeRCeATFnjT0A6
Er+DwNqctLQPGtcYtSxxxyqUZleOpqx7V2aKJl2ioUxlV+/UtLno40w+BEGgddzYSofmOYnl+kdc
zuU/gzJX+SmUJv5+ritB65L/NrMXNUUUuTmli9TLAzVrn5wiadJzW2rpz8oA8vvx/re9FXug2Api
iW9LOgJob3Pr9KRuPeU7Sj106xIvKs0yvEq10UFI6bowPKUAQ0evXsb4Y6dVZeeN47L8HqSIhZ5I
C0JQocqYJadEK9Lu1NZ9r7mUIEPlORhKK/bUXOv0A4+8jSLiR9MhJhuAc7pFkelSqcVh4FBRnWXr
uY3G2C2GIXqSlT49MHXriZjCPcgABIdgW/ozOgDMRaeVvqXV1Snrl95rhrw5uB/3rdCroAstBOQ3
/p6VSNFNjVT6ZtZVPr2N7iUKKvnhiMhaNMZJCBltquybb+0MA4+52C79DDmJ97NjmOi5psGj8mjC
o8QgJp1yMti7zVq0pJKdZmEtRUrFsiwLphQsxYIo3HAk4XebFWIKthgBnucO7Yd1mMjsuqj7paz8
uMuaD8MkK5/bJunPoTHOfqMEmhfHbXGQiop/dBM0BLxDdK+4V4BPr41WeT2rICIqfxgn9bPJ5Xxp
2zJELzR03FCW2qe+pAfpWJJxOTisIhnbmhbNJErtgP8A5q1N147VSgGENV8Nsqy6pG2Zhh7tb2op
Y1e333QjMP7MI07MZRzkLka6NkjM87TIteW1tCDMgwTo9mrgDQ8XCogBEqLUx9c/qNOtaKIRV4K8
miDG5k4Azl0pui8UyrKnscqm7/e34MjgJl2VFYYYJAXOJVvpb/1QGB/DYBxeZSOdX8LgiDeya01A
H1FMwM+2uniVGhhN07O8KC26V2D0/W86clC/D3J/DrKxP/i+e1EAyQn8WXSyb/hlyqJHRRER1uyh
DP5ogUp5I7qwP+9v4V7wJCkSKtycUrr/628mJ7NmBzJhRqFLeI6nVPqcTlr7YZ6k8Nt9U3v7B4de
Jq1Ey5MH6dpUEFc6mEobUwgC/O00dnFh9JLjsuG2b09hfgCB3FsavTx0SChqcpttzoeDwOxch3Xp
V7mZfagCS/VQ0dLOipwYB7nD3tIEtobiKUkZDOL10qQ4GCTDpvYe0dXowVguzoRMmOVMLvNtrPCd
XEpOcnBb7zkI9WjSFYHYRm5hbTQKJDXtctp7uTa0rdsgUVw9j7I8F78//uFIMgipmgEKfstmk/J5
nPs0r3xbCnIvNcPwdyOSs5OEBsxZUrLlYGF7u4kKN9c5RHGabJsPlyxLHQwqB62hlurldIlqr1DM
8pQDRXyHWvB8RGy6tchtjl8iXIqCgLnF5EbzMs2odeCazBhzg9qZXViIP1G9/9LDDzrIIvasaTRm
cU708VBEW3+4ZqqjThtblOoWtUg8q0EienBm629DSu0vUyKZn+5/wNuTgHeIhiUoFcRPtievCsqK
nUwaX2sl/ay3cvvaVmNziuB0f7lvam9tcFfEyBvazvAF12sztVYnJBuVX4GO+hxkU5e6QSDrjMfg
RrxazMM5Guhzew6gWIJtE4Q0MAlbdcW6WSw5rvl4CG/FZ2PS09MyLdpBurS3h9S1qNWBe6coKP7/
m4IMmTyUQUa4+SGs+cGXxmn+kdeSvZwCTUsOPtjekpDrJXcSuEfa6GtjhZFnw0D304+KwPKCqJxO
DaqfD+eZQL3eWNmcM8tEgiuRytrXEOY4FXqsnZIpzQ427jYtwwqkSj6RquEUwmPebNykL3FTTxPe
rtXJNZ1V5Y9eifXzaDTlb7OkNCOgn2A6iCG7OwjjiF6oGJK7BZpFI/xwKStqP2RmUe0qg4GCvxFC
czvdd/g9vxDUpv9naBP6Sy3UUr3Laz/vguxd2RrSuUfE8avTHWrN3eaa7CQvAjIshrMg+LbeSatP
TcMYzMo3ZiXKz+jSK96ktPqpUCR6M7rd2099pqe+NeTLQTay+xWF7KzocwkM8Nq2OYAm1sKkRo3E
uOaa/L+QCSHINXV+3SRPcTj+uL+tu9/vjb3NCeh7y1niGntmUPUn3Y5nN1WDI2rmrhXqChZkUZsa
4SaBHApkkgqLjzcMTYHQRN2D4NOUp/tr2XMRUAx8MLBSdHbFr3hzAqx4UbWs0iu/KPrwQreQUAW9
8nND9e3zfVN7C3prahOlGE9QzrmJi/R5mBieBnKj9/JaD37/D3aYzflL65vPtKkPKkZjgWPqaz/j
Yf4nAMvU9KQxiI4GBexdJ6QeguEkWtP25qqU+mlIcp0QJZf1/JPZHxm1u8ymzmLWli81s3YUrvY+
FhkFXSbougj9bMJVqJhjNqi4BED2iPkNjXHRy3B6VlvVeL2/iTuLE/qU5MSMHyOCbBZnxYEGX2Rq
/FKvOujS8tC+r3oUck70mbufdRl0j/daxSgppOyYFyMUZDYhpJfjjB4RuL08n8wfxcz0CtfWpeJo
EthOiZJ0CsSeyBl5Cm0f45bcE4n0qfCltHdelcqMz40d18+6XAfvwRrYX9O2Tp70ybR9YHfOV2OW
4keHMZIXUwrgbUyFg3fU9nETatoMvhXYpZkB6Yx6qXyahzCKXSmwpodfGytbW8mrIjATq4wVdnbU
JG92UpM8siu9pYHUeN9vdlxUPKHonAjUMWDzdTzRCvTO0qgtfUaRdZfG6NqrGsbBlyCqkoNV7cQT
mB6ijU18JCXfBEitXPpsSWbYhTE8NdUKyteJGZAPdxuEtun/t7K5XGKIrRYDwgVdMjEvk1VO3wpp
sA+O2+5a8EVaQaD2Icett21arFTTU9ZiWMPo1nagnXurGg+S+z3PNxAQoUYunhM4/9qMnvNpKhWn
Y3Li77MhNb+pNHfpPURub47v6mZ8GhW4zIopeYvWdAcX9c4qMQ9WiTQfZPr2smnavJk7VGJ9KRvi
Vgi1OCc966v6YJ07wYuMDrKFeFMoQIfWyxw75uTYLcg28F+R79hLfc5a2XZBjmvXoMkeZzgx14Qn
DNJh7Cnp/sbeQJEZHaMC3LaS/pgSR36V58U63T9ae7v31srm48kBNPLGDAo/GoLq3I/V4HV588/j
RmBQKUI5GCzUFhvSZ5NklKFV+GodqO8LeTDPOMORhtfeUgQVDMobQmGYW29YzXjAJCsI9QpIlOch
66L3Rj+ZBwmHuDDWRUjgXDS6xOOLYvJWsTRYFjOmoAi2HqLEX2mSDN8UNXO+D11YN68MRZAaFMVT
+5nMdnT8+xu554No9gPxomPBq3PjE4E+WMaY5JSwHe25WILQq4rpRVX7b2VLpnDf2N5+MoYGUjKW
oKFtgpRlFAnQPFCpcZ5Wz3lo6u+KVkmOtOx3gjvVa1Ir8gIqqdtmF8ypoYoG+NxKEc3fx0bSvVrO
0lMkx87jbyTKRkIvhSoZRY9NMuA4Q5+2Ms5eLmH+HfqPcs3hmp7v79vegoR4EHA/VsXLZe2HUm5k
eZJp+GGnSu+DsWEeQD5oL4yRCw9i0t4nomQELxU4mZAyWZuqK4UyooYpvS7zU86k2dOSHmaIooSx
dXm+DiwvUimkfTYljihgcnsUOAUkM3s8TU7sDZrlMrf4o2k1/+NVzcibkL4Xk0IfhzJQ6MMFkFJT
RO1os5cODF0lqvhiVYv8XqMM6ncJNfCDM727jW+sbLYxXKRoyRoWmE1GwuDMWI+f9SQPD6r3u/tI
eghMU4Sn7XSnokai3aig+EdFNQIvkOdGyMiHT3HUT590KYpemADSvsucgbxRN3v7wDN3Ypco51Nd
Z0c1atJrd+nMXpmjCAIXmnfOhzJUkvMgS/JvczOaH4oY1XjbKi2fv+yE7sOHAkwKhW3orAa56Sb1
j2KGTrYS8NTOsZoXFdLYt1yZjO8l1OvH4xbREQQzqHB6u1soWyMZdd1JMZhRx2QCcK+WL3Kiml/u
L2jHZ1ZWNrGEUZcRk1QAwS5Vkz6Hch0aF9OpmiNd4107BF/ilRCL+zUE+81b2unjoU1rVpOPRudq
kD4aN52j+UjXfydq8TRjpLbMJwLstTlpVSWX9kSjx++78pzNlX62x+SPqi4fRw3R5v0lLo5EAgMW
NhunqIuCM2AojgrnOWrrj4HiWAcJ9t5qmA6LZAdMIAGHXnu6TRoQ9wuUVU3mKHVV/9FczOiU98n8
930/EAnSJjjCaYY/LYrAPP42wbEcmOVXtgqW6sELethGnlbK2jntu673MsUumI6LotT1vtk9t6A2
K3CMYnjhtgbMhLCeWBIL9YfJdG2lSk86EgOP3y8mT0rilSDZ0cpab2O2OGkuWaDXjSRPvFpTx6fY
OswA9tZCOQo8rYriD6WIjZUebIpWd7lvo8fgWnVffhq1MD0osO1EX8op1Ebh1TPlabuWzsyqCkwH
VpxseC/NnWyceXDa38K0L70wqu0vKFClnhGFUu7adaIcbOaOT1LYZsQEQDNwttvoKzWLwoscQPuy
wDXIezhwyHZMz3PNAPiHvWNlapMnloaTaEkEARTun3WyG+uHxg3+n4yAUVK5zkS8XX+2PterrKNb
hIpyVoNlb38Mcmhe/sNKLMpSIJUYabFNACqlVfOR8aN+IUcAlUZuC4Us/3zfyt6nYTCQkKMVY+O3
TRwt11DnSNivNgsZy+zEneQNRta9Z4ra+OW+rR1vF/MO6DyLgRE3z5RYq/V2VHgud11NX9ER9DI5
rD7/Bys00ZHsBsALWmP9cWppbirAGDjbyMAWV9HrzE9nefnrvpmdQwXwj9c3EEDIO1tarNzpU5XE
A7lu0s2fljky+9pt0hHCqo7EUOvmctTPJ6dvGVWYRlH/PPTBGE8HR2tvT4mEdD0Yrg6yfBNBKkYZ
R+UY5P4yhX/NSay82EqcH3SP9tZKx5QwCGMTtNxmS/NWBt+ocXE5vRa5CALaiLQNXw2j+y1Stfda
MnwYOtTlUmU5QCnvuSc3GQeN9YG62VyZIyTqQclzjnNlWCeeY/I57Eow4HV6pBy2u8hfgG96LuCi
N4uE4L9UigkfKzC6v+sM8d3Wap4sJ/i2WMuTFE8ox2h/5np2cCrEEjbX6K+eBA0D3reUotf+2vVB
WKcppLOgaOvcq41w+VOr1faz3UiN9Tnq5MR8iiHpNGeKCfNycDns7jDXKCho6i03omKIgUhxlDo5
avq2yRRDTRo8WcmGswECRXXvH5qdV7yYJg5jkd4WyckmcDIoKq0tjVxYiWXjxIQ1rYFzNGhuqPO0
t1LDOKpO750PcTxE4UDMr9981TnQ1SUbcd2pFHINs2QMpzyQte5gZbt2eKyhpiwu9K02GxS0Xpol
O/cHxSkYODIsng1W8fEarQUGjBcQr2wU8zer0ftKYzmAfcsY+p5kVNX7MJmOlDD31iLOHMkw9zVP
37VH6ksblWqHS5SSnCJiW4W+rafW631f2HO8t1bEr3iT3qdmS5t90JC/bJ3k77JCfMJxwvB7Fozy
4+8ixNYpH0EjURg1uTFl5FJfUcfl4/StcxrrKjwtAHaf7i9od9vI4vBrXrM3LG45sLOyMNg2Orrp
3wh5Ba5Z2tr/7lvZO0J0MmD684dq3ObjUPWIGPJLuAA48x2C5asytI6XNdLgJtMREmInxUevkVKY
IZKqG9UOGAGynaFn4c9D+xLZVfBBys35Ny5E8zNMAUAe2tFAgD23oO6B9glTB6jgb1w8HytLQrS8
8Olo1R4yQoZbRcriCcTxwZndWx0VCdBwzCkiw9qUTSMlHepQUrlc4r7/HCtNkbmdaoTnNliCPzom
zp1RE3n4dOGC0H0cnhZYhu+z9vslGaZotNriYtlt9VFLc8tjFntzvu8mN86IFV7NaEVSvxQY2bUV
SkqNzAzX/NLb2pS9qNXYLZ8sM8iOpgbefC8MCcV/TOi0B7boC2kAA97GWXaBRNfAU9UjBsY6pZuk
7dHtsbMmAb2ADAEWlmxn4/ptLKljYtrZJQl6x2ZOhJw8NZOmPnrCKJL+Ypuj4IwM35YQQzcJvHsd
pRdcJ3pXjEbwJ+KhrRcaDOLzUsWsTve/1e0WUpkSYtvitUcc2vph307G1NfJxYii5tWR5PFnUI/9
FfaDc4DRvpWaoPkMrEmIq5Gz8mxf+0VhzN0QJU1yUSaYvkyRHJ8HxmZ/HGa5/7MpNfssS73z7Axj
+1ww2+pStkX8KQSmdLDo249JqBQy5ijl8C23PYshN9rAyHMWjZD3Oxkl6qc4SZQDKzdHXAiDw/Ll
KkGYm+nd6+UijG4MXWXHl0ZWJSRCJvt1dIbZC+Ol/6uZ5PlTOS7yw7VbYZU+KlhxCoY3kwdspEio
HczxRe7n5nOvydNrQ5X503232dtB7DDjDAT2bf1FQufTzgw9vtSIoXlp3fVuTdHiYAdv7hvWIvIn
pOQ44LDs1ztom3mlhKMRX5inmH9qtIgJT4UT6RmQ93r8n6EDEb2/rl/Dr1YZMSaFhCOCW2hh4qhr
k3E+9CjgVsllUVMl/upITTq4ptJo2keJyvFysZdKyz0Nmd/F663B/jHpZhOc6KfIwVmu0qZ7Vun7
S77GJ9a9Ju/61F2CYcrcnqio9hTskzL/KPd2wtiJUZ0L6XOgO13wojD8cnzOEOcz3yldKsXnJIiH
5np/ibcnngyOFonYT0qB20jGc7xZZC2SfMlkLKSHukz6w6mLEMitlbR/3jd288AQeQ8HTLyFmdC1
feJHo1aFPG0SlEiq6slauup5Kezmo122w3s9C+S/Z4Bg1Iydwb9v+dZDDaAnDKjGOLjsLR7QHBWG
/plyfFGkzD6bbQEAhCnfj17jNEq4UpHSYCcFnXXtLkZq16bSmpzx0Fm6Zx6JavoEu6mtXcD9TJwC
V9Gnl9rMQNI9uEDeTLQ1OIOcP3Hm16ZzLeTfDqTw4khmILvpIKmnDO3iI6TBjb8gkg/GVmRg0Lth
rq3txJMUm0azxBdtSO1PlIuYdtbFtvrUDR0YovuLujnxvxT5ofdzS1A03DpnLdT8Kq2PL9Kk/GRs
KLSuWXkZHenjIjUHvrm3MMaG85YhgdCwtl5Y4yx9KZVmdCnVoDl3WWBeCM31cwD68SA9v7kKKH0K
EpQQjaR/vYU1BiWy4YyMIJDNiZJ8aMfYMF7HVLV/FNYQRV7TS+HiFp2VH/Red9ZI/QLuFU9DAMNb
wyCW1Xxi6uZlaAfFMxvi9NDZqTfZ05EUxc2BY41iCg3fDfw+RI/Ndk5jROuBo2AnSN8xRapxA2UM
Drx+b0H4PS942ryiAra2gtqcbiPlnlzgpkbnLJRYiyYn5yUtj9D6twti0+Cp83Yj8aMRuzY1SstS
OrMeXqp8Gs7LbCuvmdMcQRxvF0T2bwGdIExRl9x2gHKzDpfGjlQ/69L0r8zm3e5oVfIlbOj43j9c
t16IKaQThFwHLeVftMw3r96CPK+SEVLnajJ+z5vwXdXHr0WhfK/n4qVtqofPly4AXSL6Ex5vmH9y
THUXVoPiV1FnX4KeeVWJoVbvMsRnD8LGzibiEABzSBRwc1N8yjcrawD+RcD/FV8urN8ZsrNcwZqn
riJ10cG1smMJvgFtGfEKICxunKKHmQUvWVH8bM41JoxXvWdWpuwz5eBoIMNtLOTBgQeipcsngwq2
XlTRzNlo2ojXluHQeT0kGCVLf9qJdGroAhz4xo6zE24FvYGcWIGVvzZmaqEqtwDK/Fa2tI9yPCTv
O5mB0fc9cNcKD3Qov2J64RYIrYCjreD0KH7XmvNLjEbOWY6So1fu7jcCAU3qKFRptoATtKEZKg6/
yHcK+EMunF1KfbUTxD/r2myPOqv71oQgGhAr7pPNzkV2CPmrshSUFkfLU0aleVqYOfSUVY9ryfEE
JWcjsUHYlkrxxs1bTS+kGFiKb0eN8RzXRXIp5uZhdWNhRTyMEEwVM283de82duzUSQy2b1DGa1vo
/VOw1M3BC+I2GOFm4IMhtQIW4PW5drgoqCc7jFIVdpIQOZRzOW+fFsvI36vBVCjukMM6cwOGNM8H
rn77wQwxWZUyO8Uw9Js360MDSYqTRkfEMAmd5xyRBrebHPtdtFQPi/9xRwE5ETgu0B9ckOtFStMU
WL0+wQtu6O8rdmd4ij0fzby+PVUC3oJDwOGhmLRFeQD5lKljO7Ofh9noWnFXuVk+H6my71mhDSI+
lcpE0K2VKsoXFNKjBRpPNHo88NVT1dlHtaObBwMEcOAWCL4qYkTUFu8pVZLttNk0QZXQtWc7KMx/
9J4pDoVdxn82y2Kf2sgpvmVld8QBuHULIgY8daCm5Eu8j9bfSmaoV6TBe/HbcGou+RAupGVWfc6r
5GFEkAhO3FVEKHRCeCGtTWVBY40RVHi/taHEws01bJf+eHad27b2mGFhPYkfk3vdlCjfHg3BIOTI
0klG+Y8/a9u6Wi5ov8UmF5gS/B3Dm2IAWFf//bAVCnNkT5gSwM1NpLLkxBqCojeQnIpMFMnsfPjS
JZV+1PrY+WiAmwBWidISaLVNDp85eRLVeaj5RRvJZ9ivw6mZ5/wUg+05P7QkbkeBxgNpLaKHuFnW
Gyf15RzKeoROohUFiztrQxh6hTwfFaE35+xfO4wMZMCIOAvbGm3aEHpLwFRXbbYlT4ki/RzBojgI
gpvw+68VB84LZUZGId5IyJTLMkUJVpoi6X/C67IYjxSEQ3OSc3X+Z8jtVLvGs23kB4Z3l/fG8CYk
hlwvYILM6lqh5vY5oxTye0cT+eBdvmeF4YssTkwZhd27/lhlB/t6YgzTtbB4zBVd7lyiRpp/PO4S
b61s1iJZzNdp87y+Gnq/fIhK2/mUIKFxNCBskwj++lZgxKihAOAiQG3MqGNQLh2Tza9JNLw3u/Fz
wco8o+8Xd6rQ+3t8UdyMtKHJcIHMbKzZYRYsSZd3VxiP+nQCj1YxAG9e5CNC7Z4Lkt0SCbFFFWNz
dsFvdZpVph0ipy1AqkJCN4K2XznNv0V9PRQf5CAKqzMzrvT5cn+NOztqAOECVED7BfjTJgCX+pDq
VOH6a9sBT/IGGWjIkzXlyCs3XaAZf6V5NoLwum91Z8E4I5wJ1IVoQ2+V/EtTqReDK+WaJWHipoYZ
+BYZQuySKTLrTamTZ1vS2wfHLwv3AYLFsGJ6t2IkwuZhvkxNmI7ZgllVGpmiVTrxcx4t6uv91e0c
OQpteCftJT6pvDHjMEwvdeKouRpBG/Tu0pKTfIniOTzSQtk1BIiUAj6S1ZQb1mcb4adCH2KTsz1Y
sTuFSONJw/Tg2AWxa7TKaC8R9YmSmvgVb5+Uc8UsH4Q0r5pavp8kq78YyhL49/dsk+1gBHq+iCCc
Asr125Od9pYa1HNbXyejS5+tqv2rr2vqzYw/e7Yzdak+BWFgRKesUMsjbf3bMwAojwc6lQ04ItzT
6wWWjtp2VJ2qa1KN7WtVZcxak5RxRvLPsphPYIRt+WDX89d6BV5TQD7I7rbvdMPMZWvUWK9ekoh4
NcX81yqH+nKusnG+6tbQneh9dn/d3+a9pTLjkhQZMBvk5U1q10hdDKVEba4KjevGl6cZ5Giuk4Yh
+JDFqtsXpT4fnIfb0w6ghScO148ouWzXCnFUsUO0v69zMjUvldP3ym8FwgTZB8lB38qFJSbFl6pc
nOaP+8u9PSCiZAvWUbgvlavNAQGPYk7tkJfXsAvy54CJVHQwqgeZUuJbQlwFM0Qbm9fHdoQ39MDG
nMexvPb1lPqSWtefxq4+atXtfDpBj+V6YFAp8WXz6cAZ20WSZeVVRi/s2cwL5x8mAw4nnpUFc9CU
/MHJqP8uC3iDTC2O5/y2YmrrGbh8VS2vTTimaKP1zNONmTh8/xNt8tb/a4WXDjVZjt72DQoxxdC7
FDnx0pxLrwzN3lUDIHtaGRyVkXa9AbqKQJgTZbZxuZEDRYMYww6ORv9k92Nx1bLpKGvYXRCtGnjG
IIpvvJ0LNVIAT5TXICEfCuNmOQ36ML6OTdw+3d+7XZfg+wiaO6W4bamqTgyrhRJTXtVoXEY3Dxr1
iQHCCC8os2G9V4JKfayK/u/XoqpNIRPhRbD661CphiV5KsOYrpOWWt8NRLjdUrbi19yxjiZ27X0t
4iN+AaWOC26TFDHlgcFV8oxjqMpwRunKPEUAutz7W7j3tWADQOEn+xITENYLagVZZNLD6gr7t/+S
ZI35OoRO+y6s5SP2+Z4pcPEcKI4qEM5NeWyQOrNuMkxFPLm9sE3789wVxmnui+ggq9vbu7emxP9/
c2XzNltqWn7l1dGSujxR6TaTU0UieHCd7NkBAcKR4galGLL5RkqhLMqkhOXVzLXpKY0M02901F4f
/0agJYAa0VMRxcz1asoaIHNdJ0wcKKoqeA+nuNA9BYJD8DwWTDX8Dy6B4KBA0uDk1i/Zyjebl8hj
ZxfWguPNfXXSQye6JGqdu7OaZgcHeG//yBH/ZR+K3uJ6ZTA3EPNoiens2nIqtXxxm6qrTw/vn+iK
cg2Ksg5azWsrXdk52Kk5tJ00Gkwx6buviPeqwwcqOkp4YG3ntgeCRIJN7RQtne3MwiQxwkItHGJr
YMmXJEd+M1Rndw5tN2VUvJfqYXrg7jdxkIYs7GsBIhOsx20lJ5ZgTCAMV1ytXJI/mclLVXmVvHSn
EaH08/3N3LVFe4p7hEYVpcz1Zg66WkmNjcvbS0TWJGV9Uz2VRcNXa8NE+9RI1ngQdG+8hEcED0PS
U9oFAq+wNlllRqQHNHCu8hzPHzIqw17G0I/f7i/sJjyRKIh2Du1ECiHYWVuRgknP7C7DSmmEntp0
+ktZzsUlcer5IGzsmRJUdnhVYExgV6xNxWMpF3aBcv00haVL8bt5qkRo75I4fAy6/ksqUoACGFLE
eeaOXJuSi0EtGBYbXus8My6BJDsvam9l75vOlB9NNkUBn1tf9HRo+243UKvkqLRmI7yGicUwV6n+
WqTz0SzEG/cTkzxIZYHig26ldrdeT1ZkgRW3g3VRjeUlV5R3cTDaLqNLfh+k4MH+ADGd5hANKt7K
TH2hE7I2FoD3KDSmeFwT0vuz2QVR5tpBEpxq/tqDnKFfxsRICnLof3FHa2O60oVitkxxTYxEPRXR
4riLVhwBJX8V59/AmoQZ7iseswABRPl3c5nAYx5LB3zr1Va7YHCzom8rL+rjXL9kht2W7zr0S6Zn
AL7Zqam43dxijKOXOlI64wBHfvMtxWOXgMXwZLDCBK/1io1FzKOxbbZ3LhwGYQeOfAH3Z/xpJ830
oUU4Zj642m4tEpSp2oqMUSiZbm6CSraCrqi77Bp3ZvOttZTgPfzfPH1n96mVn4DPxMqByZvghVgR
vE5RfnSQi9uyYZ2us42m0rNrA4PazeNc8exJPyIK3kQU5JPhoIPmAm8L0mnjqVGLE0+BMVzHmW4M
mUrvIsrReOViHEkS/7pN1h7Emx1dKV5h4lm0XZGdcRrCtu6uUR9OH3RlZo5P/X84O68eyY1kC/8i
AvTmleW62OOkMdLohZBWo6T3/tffL1sL3CmyUEQtIAgLCNtRmYzMDHPOiagVWFSTd17GAEBXs3rf
YJropdKL4h15m/PnKCzHj0MzfpJcgUdTS0NBG6Er8JUbhi5kDgCkdd5ci6JrvoMj1P3G69IdZ91+
R3JowBlvYYQOAOrWWdVWC5fJE+21H8w+Ok22oTD8CTmDZ4M9mUaTm0lBW/rv65ByCWMGo0Ztd3UV
rfuYl1Z2no02/c7QXP34+MXbLokWHvgqqoEsjG7y7ZKgBYzZqAzFtUwQS/btRbF+bXV1+vLYzNY3
iVzBE9BCdhiisgYWz1ltEOgtmOls80AEg0Z9T4YbL4gDPza1Od+UBliJFGQGX0zifruieXFreJDl
cq3FWPtRNQg/TYz0SLOyYeZ8+f2xuc3KQIuB5uXdo3MCUm0VC7VmDYjLM/prujDXOKs6DYVLZHd4
3PcgxHdMEeBB6ZC3NoLgK/ere6G6szUP17IX89FhpR/6XKtfyyp8umgk0dD0j6nEkwaQ7N5uYtQW
NmJ4iX7tcxQJkHerYGHZ+U5gIn/wzS1CXwsiFD00G+TiBpqx2JVX1Vqmkw124hyNocMw1DT+czAZ
PWYVlf4ur7lRd06X/CIbqxTiaCpLWaZ1bmNMhqfM3qRf1cEIT03UNKelc+OzV2fjB23phlenMPMP
jZ2Ff6PrsVew2Jw4Cjwg46Q6OR09dd3uNcsqgXThzVelsdUjgv4TIoPt0wkcVsg/0JUFB4XPrHJ6
EJlulmqcgraYiuM82P9Yba0fR1vbq8mt10N4RKIoZfCRJJcg21tXCSH2Z+nUqgHMHOXjyDkPKsPc
a+GtXeXNCpVFZIWkstD6wZkIa3MvdpcgVN1Kwlu/NOb4iw68we8i6w9QzOfH53p9jUiDROcUawma
eU9Xh42RDMnsIL0fZLk9+cKJ7OM8RY5vGtm3tog+P7Z2ZxMl6UInf2OC10ZysKmtynbSegp6qP1H
s1HCQxd39c7VKD/Fz55PuIO8D414CrRcxuv+uCIjauB3YyDSovzbKjXzWE7LcJnqMHsJ69b4PUuS
4tyVuyH7PcsM0KKSJFsceP+tk3RGWOeWk4yBqSX1cWqX9qjXbXvk58xnN3fKT+2Enk1YN97Xxzu7
vjTlmomLaNygFSWJ5beWm2yqFmMchyDtCvUEFF85MLhB9YtwefZ+ZqYWbTVGXvF+ka6uI8spBoai
90UX9NVif0HqAOZ3rUVfKmfaY/i9/a3bT0nJiQK4lOCXCeTqgva6TI3iQeuDybATlXmoSx4FidLa
w1cexyw+RuaYJ1/csRHiZR6MaPHbKU/cD9rgRdrBU0EJBQRVQjnNmTqJo2Uyo2jnpt3uvUGVWSLU
eLS2FJ/RNMdRn6Y+gEcF7oPRgdXHIXHLs9dne1Che7bIC4FJ4MT0cVcbYg1lnLRMxA3i3C4PPaW0
d2M+Rpylavr62KW2hxVHBpLOOHne/o2EZioirYBxjkulVfvZczv965wlT85po10EfJXxIqizSALK
GrSghnnZusJug6H3wkOc2dlB2Ga384k2ueCbGRBOJH1YoS57ez70Qg8BGDM+ZjGN8k+Veab/TAIJ
za5LulNa2fNrxESQM/1o9VR3bnS1otF9ebyhd74dNLc3pSBaY7D7b39DHlrLlLhqG6SJWnywwip5
3+jdRCkrn3YEBO6YIqAhXIOPyNW+riPFdp5Ubjl7QTYsaaAnQGlqS+kvdvc0tgWOBK4vVSYo8rDB
0o1+qqHqS961Q5i7gZpVmi+aNjkLUYU779Q6mpFWeN654WSDmktuZcUxAQYRxgeR04szc5pdIElJ
+YKodnhu2yH9ahLwBF6ex+dqttPL40+3vdgpqUJsk7kgefq6r7nkxcDou9AJavCA7+feflcTcV/J
bZYz0UJ9XgZN+2jAczg+Nrx9n/l4kt4rZaYg5658Rg+71rKWxA1MJ/s9qtFIR8M2Rdwym/1WqHvx
x/bMc9iRl+cWk+3/9dOJwE+Tkn06gRKnSHiKfgxaHpzT40W9zbq7vdapDuA1UhmPksG6KkhtvwbI
o+iBbjCdDrRhZA0BcaraHx1QzFzc3hT9aG2j1JA+rt3yY+F2RnPN86aMQUny8tAy73TtY5o3TnwF
oR7+Nsa1rfuzO/XKS9uU4fslK9GC9mFJWMLPwAUIH8JLuyd0vfUNUMPEMsiw81SR0966JhXJmSzI
0gI6PrBM5rBTDQZ2Tdn4UaPiMp4LpbUAGNQKJSfXnitth2O69RFydJoX+CdTeshxb3/AGC4dctdC
DzKNMdU+I1g796so3Pk3d3Kc5RCxL/3OBbNxFGzJuVAwwWyJ5lzdpwqBAazWLgmaJZsuqRfF5xYQ
xMtjR7lnhexWYipJcTeCjbMZlhYdoDQwKyUKr2ZY99UBqYQ523kf7hiCEQy3BudnOWsELgSwTkuX
MQ0yt4I9pxbdqRZN9OXp5UjhH0BQeItk+d9+qCZuOmWK4iwAlwEl1prrQxKjc/jYyubup+YHGYmS
MX8G3Ilc608XctXEljmNYRyUI4pMdlLp70sdeQxDz54cZUgMIk1RGJP4LohJq6ZWm6VMIbeTJABN
tByVegoPDKFxnqwrvlmRuA7wFhQW1zJubdFEJV2aOMBYTWqiZWV9SKeo3Lv9NtkXy+GFlgheqhx8
p9udK9whK7y8iINhbNxfunQxT1lSW5fJVMX70VHqC61R7cnqgFwdbWmgXVLsl4Tl1igV8HpKGPoW
RMx4/RMax/xn5g7Ru8gZks+1YY+fEhuxzcc+In3g5gIm/ZLVIz6ahHysi6iqNcymlppJkOtKfg7r
WAXVy+35vBXofxAAQQCCQTJul+YtLkVZM04DJ4mNkynQugw1cw9ce8ff8XPCSPDd9HHXT2QURWk/
504a1Po4JhdGhJnL2UjbSBxyL9+Fr90zR3WP2joDbXi7VsfLQQ7ENZSxCupGhME48eS7rRadARsV
O5fs5mWhzMsly1cCAktyvrpky3mo2q6u6iD0jLE6egAxso8QIuz8AHZZZ1Rt7FU64dbSDxdhVAgA
Pv6A27UyWATgGjUrGeWtG7xDpVu9Cw8mMAZrObLTf6s83YdoWPbO+PboYYkNfROfpHOxuhqFaAr0
C7s6QFwlfF8piskwdsf5hVjcOKaT5b1YzhI/J90oUyi0NHi3oVaiBrEukUUDSGYr7koSt2W6QHhs
D/UEFnCo02LnwN3ZSZDDKBzD4KRjZq5OeZiqoaeFdhnUGsPDqbHoS3IY9bFtT1qnhspOvHpnO+m4
EipDjOLcrZ0UhADT6zziDduIxrMWdvM7ADbzJwfW4yd7ybRPzHzam3e2idHJSLnN5GQCAnUaQLfH
ndG5Q1qEbRI4pAQfUGszTs4wlVcodprwiyrqk89LXnviQ5UpVnvp8tzZ2ebtvUYSycwRONuykbn+
CTOUd2McXOWKZlrM8HLH9Xk89jqLd6zw5HFVe3LePcW624XWs07TJW7C61KL6BPsum/wWJPPj8/e
PSOy8yRr4Tyy6spIqi+dVVtZeC3iPDsXc9YdjBRx1sdWtn5pwIQAIioRByQ2q2+WcqVEulmIYNbQ
tFhQrQzKHFZnZCl72kZbU1yalI1kuk/CuIa+e7BiCssYyyCHEjYdbOYWIeRsKVaMHs+IDPfjlW29
kRQG12ecFErt4GFuP5KS1cNsN24WVGmmH/PMMIIsXYDWi2l6HzM47qw5kXOsWjGeRjE+Kc3NQSBb
5YmA/c2FTCXl1nyeyXdX6ZeAeVmZcixNA9iISbVj8Bk8Me+J6W29BXMUa+BHypGV6/w4g98ed065
BHk2my9R5blHRo/Ep8d7uv2EUIBoAwEVpSZEEHu7qI6YYczmaAlEaNMvaQyn9b0upw8UovG1V/27
a41h2XIHqXltivvdxMRvxZkDTa3bi2UPTPmp8dKWGU3fHi9su328ccw3YwAyuBg69bcL8+JiREh/
GiiDG7WgDp4k8INMEOGP7WyXJN9S0yNs5rlBJ2plpwCjR6Y2BEY4qD5DFMuXDH2Cc9ere1Ol7i2J
FI3M9K2+v1bi8VpmPC3gRwJH6fMX1Sv6s1AQvX28ILkxt4Gk/PskgKacYrJ516pJmQzYK1rgqIDp
UQ4zCoZ0RUzmRtt8nIYzwbr6JPuYsyVB0cTKIDtIptYdQqeItCl0Ky1IQWocE4ZlH0QTO4feS5+c
bf5mip4uJQrKL4BTVx7f5PmiLnmsBcZEH3cesvwcMZZ751xtv5W8Dwld39YExPzWLSy9mtECNtRg
oFJ6aoSGplc1741Tu2sFCCKTT2Uwty7uRLGGVI9w1cBJw/4819biG12zp8W0Le7IrZIaOxKnQd9x
tZh5WdCAGSY1WJxGTGf824z/mbJcL16LSe+Mi0NFxvzUKfNQH5rGQiNnUJD8OXH1ROPHTO3r6KUq
qt59EakFLjOywkhRfDWvWwveZp6537S5SPOTiuw6/4ehYFZJ0kZEplZbeXtTq+5tm6RNa4ziQk95
LaqTTHrTEBrOlNyT6ZsOz/5V4vP3TtL2aoBBRPUNIBaPBtXbWx8QBKlZN/dz4IRKcVYLT7aNUvdg
iPpJkVecWpKVCFwAQUPSXmd/fJYwZhgnF6tZgiWvRshnqE75Rt20nx7fD3c2jzo0vibbOOB5Vxer
Wemxk7fJHKgEgYd5rnXfGVxxfGzlzt6BFqCeyLxW+Hvr8xNns0DrZZ6Crmzql7lBsCSu8uhQzt3e
AIetKVQC2D+6i0ROG2lty1S8vkzCOuBq0D9kmar9kXiT8QrXRtnB4dwzRamZ+AUFnTsB0xxPnjMZ
TdAStr8wjaU8dIOFKnXl7gBCt+kCci+wH7FFu4cQ4tb3GH0R6Unf1IGuA63yU5Ertq80g1L7oBDL
/DxMWlSegRwn3tMvopz4SW5EIxFs+VoTsuxK1+o58kFdztoVfGJ3ahXNOecx7aDHXrJ9q5gxCt5I
ViKg6q05gYJhbGZU2U3QFEr+0jqZ99JpRXHI+3w4DL1q76TvW9+nz8R7T/RHVZau6e2uUum1xr40
8yAavfwK9ts8CWX48nhRWyfBCN+M3iKtUl7hWyNjmudmXSx5UMxq9N0To3OcYapcqSeMp+dNkZDI
1j3ykxuALfjnWCW3ygOaVv0hymrLz5pQHIsyiv4HU2C8YTuSxVLxW60qlTpyYzjmQW9bP4yl0V9g
lYmjqDpzJwHaOgXBGCBvWtn0zjfiW96slxnziOtgpBP6V+6YRRkwwqOfz6rWJhEdCiqFO9fVPZs4
PLmjRFyA8L39ZgDfzCphpkIglqj/gtJae0xyIz6LpIr/YBqzt2Pvjo/IzAC3pz+ACM2qTCusUlUX
paiCyTMzxc/1yll8s1brlMxLrf557CZ3VodGO2Uj/qEnvo5xh2mkW05zICDLR+Xa1DO/drVv4aRc
p2Wqzo+t3Vkb6Hx5e7GwLQ7OjkezMhA1o0/FqKxz1Rdac2JcQCNegGF2e/NG75xpIIS048iWqTSs
G6tu3y5elcVgS9xs+qIKUtixaorPjxd1ZwtpiCNu8ja/cpOOjLOJTEsX9nQ7S++s2XFEEFRZlw4M
8zVl/ujTrzRgHClaBRaTaQHrbo5ZxFSHejEEgAtcXxjWHFiVaHfeszt7JyVygU9B3AC+uHJ7ZyxK
Q4ekGUzJAA4u99prQrPq5fHebd8yqAb8dS4oGUetMTgJjQI9VtIhUECxflOXeTiaS2pfutApjwxz
b98rs6E9e9XjE5LSzDZyhaApdXuiCzVO7Bh5x2BsNONzrBvRp6Z2vj9e2Wb/MAL1Ww5lIw7le90a
EbMbd0WkDIGYwSbMSZIfijTaE8e9Z4U8mHiXSgJR4qoJkuvG7CnE5oGbltmxy83BN71lr4S2Obby
EKGTRi8fHUlabrdrQU3H6UtUxejYz85H5oYyBsCpk49jkYvnvw31EBDGlEPl678ylURKX+dpMwbK
qLR6oHp5Nx0j5ho9S2vg+iHfobzL96cYsy4LdqYy8uWLMeCYmZ8dZah9gym7X5/2gjfqDtESuQKl
mNudg9HAiPsGV7MmMXcUrPv+2tm2Fe9k9hs/kDM2abuCY6YVhvT5rZ2+D4eOp2QKYnz7SPI4vcuj
qnn2+sYKt9wbipm2q7taDVxmb6CzrwbanMWHZWwjvxy87FR1u9KGG5eTpjikBO1g+jlAtwtKhNHP
s5apgY18WO7nbjgQ5PKBCHgjijCnx99pU3+04NLQjuLfhLfUPW/NTQvTr62YlYFyTM5q2yt/DGNv
funyODpHBCXAOrXpaBjhjwYp3Otj63cWS3xBHVxO7COZlF/35ybwpBQTuBQ1iCPNfLVLx2NwWBEf
YiOudx6PzYXLQi26l1KcAizXmnmf2FbSO7ADApXK4GEu+o+ja54UPR1PjpO/W/JyTyJ565qSbMiB
ljxeoGmrVDk2ytyYQUMETdNPtW8r2n+g6XnPgovl+FAPSJohNQ8hOq59czaShGOgBopRgTQcHE52
qQ4nrXLanUdr+7mQppJEHcBasoW5SsASlBJSpjprgVoU4Y+xm8ZTUTnlwah6dafffMcUSbJUJGf3
JEbg1jO8YliU3G3CIJzKuPZjdbJOKoR1PxTe/KwMC1soM3IaMRIdQ83u1hjDHLn+vSQkMVfif+zC
yANDr58cw0f3l/eeMw10CZwYddVbK00GoTEPUydI47E49ZUuxaebcidT2Po5NAEAFRLDh5evp5e7
oE6jUE3tQKnj8pzGIu18e0zdE4yS+Br243SgYPB0GZdZAjTo4UIQbvK/V75eCNGlPDtOYFTG6OM9
5UUxq3lnbZuAk3eELpA0QE2VDb3dwcHUwEuHuhEYtaGfbKOOfkkieifCUJx3rjDKZ99kWWkHpC3B
kCQLazmbSPYhiQraV6NmcDncyRJRkjD77clLkPdRIpVBzfPGQOC6XVUYFqPClE2spCL8o5vNwvfy
Znw39cu4s4G3VxLniasPhBI5llSb3QDnaDeG6Clp/blypxwzIOkMf9JGZY8Vent8/zVECP0211By
clZfaixCsoNlHM6NpxVnMQ1gAYY6fsfAor1m6n1TZCG0KiRaf3V4DZFE9DLm4Tx2xmkyjPZjqXXD
r/2yB6C+t3m8kCC8JYya1sjtdxItHI+0dVlTRxV/9JLOz2djT+REvu//36r4d+dIDeBhEgvyLK+W
EzHKh7FLWGk7U7yKybTOSmy0B0Bh9iEDdvCLXSrTa6f2O9ncbSTwZph8mIcK9wAeuHbDmtlBic4M
krPQDOUCojoiMOwq9aLaU3NMklp9ATOonRlA6x3tzNwbYnTnO8oAWHbQeNA23YWawZ7JsmC/K5TC
V8c0PbRxMQd5USU7YccKsP/ftdJ1pfUpm9ZrHdVKMRsjzqrxPBcolISh7l2Uohkuhinao41evN9r
y/wqZ4zLYZXOKdaYoDC7neNb2lS+9DnSKcWSOl8eXwV3XAzOKAVG2eeWeeGti0VpAz1iSNiDrtBO
i3BLfxiK8PjYylsLZeVjmKH0QWkHcav1p9ai1E7doh/PZgMaqAD28cGEK86Y7jY8pqOR+iJr7ctk
td1BaZkwJjw9OSVO0/36+JfcXuj/fgduBypaQFskGuJ2vVOqdK3Ii/HshJHtZ56rvNYwpcDohd15
qJTn+OP/2rMRdCdXQN3WXmP0BDqD6UjB+mzHCUglQSOu18qKllyxJ8uwdWdJLSP4owTvAsJYneN2
WTSE8g2WZo3LRyNLva95maWnBHGvficJum+LRiNcFyrj6yYqopRzEk3ueE7MmlyrRfHBB4XBFDCn
G74+/mQrtrHcQxYmZwkjfUolft0rGWkCayKDKWS3S1i9ZkMj+g8zdNzxHEVOZ/w2p679SV1CL/at
EaixVWhWfRCKt1QHIxLIpfl6WhKn7OzC9vAAJiMwQIDe5bVeIzdMECGVMTvjObSy9Bc3Y1hd5HnP
aV/8u3wQYOALwCTShF9918zMlabzsLIUeR8YdqH7lep1O0f07looAshXAFjvWo8wdcRgA6ifzsvs
/YPMc3bwzCnZiQbekLy39wBvJhIHkpcoeVKr49fwplSKVs9nb0z6CsXKMKoPJrpnnT8ZracckL2D
b1e2o1udTDVM80tWGaK5hGiKta/aPOv5sVej1PxELFrPh5Qx0821tSnB+7M2tHu1pTuOjrSPZBm8
kfPWYeawLHrUVCj75JP727ygu25G43dgm3uTNe7sP0ELMm2QGwkB1/0KYwQnYLrhROhSKn6Vt+kh
D6c9K9vrT06UouSNMA1cqTVyctTqyW7TZj6P8pw0CxA/NX81BBq2Vmfs4O9leLL62IR/wDMJaCXU
dVVYEAybqGYoROdcyfKD07t64beusZwsa05eUwacndN2iL8/vi7e8upbs+RV5CNIR9C6gF18e8UP
iZd2PV38c92V4T8h5OL2YprJkPilV2vedx6f8RuCOZnzWsZjL3zkiVPt7LVa7J1iW5h/K8DQzUOf
zYWcXZEZ4YekcdyEiVRm2520drGFr8lJwj/cXl/e0WDKvnVLnXaBWSYCvWirYNZFrebuq54zcd2v
GsUoL3Go29+WJFRafxrHSP+YV9XS0t5fYAnIMUTVi97PNlMbw2q0g36qZqGdjCnNf6jIp4WXMDeq
itNhxXOzczK37ueCCKNU8dZQJaC63bREXwYbSqQBa2cpXiLgiAeS4efg1fIqIxGAKcS4G5Jee93L
j8w0mRx9ds5arqYfSrhDQalWe+yIbUBL0AzpSqfrB6TIlGv9qcbT1Y2WOZ3jnEulyj+Z+aScR0XM
HyKGth+bZoi+h7B4jiZ8mZ2q3R3LcNopQ5Jty7xqVRkpEbko3cF2z6Y2vNiTGftzZfzFgLErgl0f
ptCu/DB8siKJzCoMFwkkl1N5qO2vZ0NohatPhd1Y5zFr9OMyTvM5rjV157Fb34RYkYRHSZ+jfgdh
/3ZXBVeXoM9pnbWGcogiYvevrs89GtJW9FQW/LYgpoXYJtbkv+xV3jNXTZkM1F/OaspIDQQKh9/n
xF3+eHxRrO9CFkSxhxI7IQzKM+t4SfQMfZUchHPSNpZ96Jel+RKWYzr6dTt5f7pWpe7Jed/ZQzn6
BxERaiUUtVZX05jB9pztzCZgQKywj5vkPHLNnAC47EGn7pmCrgZ5lMIuaLBVfWSwi0ZzZkwNjtH7
yaIPh0SF6RUlyx6i9N5GStdDElES9NcxNXOCQe8snX2Opik7uCLV/xBVyyAFewo/jUvpHJ7+cPTA
uUHkSFiqMvL3/HS+lyKzKk1iIVJzFAdRIyRva+l8Qc61PRpki/+DPQIvmtKE1RQhV/Z0uAxZCHTs
XCex8w4rxXnOl+piO/18yjWl+PJ4fXc+Hek4sixSWESCV2/XZyY2Ibu0R95a/FbWGdLUWjF/b1xG
0T02tclLOQRS5UMq4YIKZhr6rS0NSc6hq7Pw7ExD8zsTlcKyQPO3z7vfe7fK3F87020sJK/CUn+J
tBYxqAr+7Hi1NDG/ljwZAzpzWaQe9SIxG1k3bcqdH7l+m6iDkaHiQzTGPKrAq/vcpHBU1abinGNr
yY5mP3fHfGx/PN6Je0ZoT0F8IEAijVo9gGjq0SJDcPNsJswNgCGp+LPd7dVa5F/5OTaRS5G1Fhou
smC6tjKLKkvQe/XO2Ty21zFrmZcY9eppsvrh01yG4moujnpyel18dgatPT27SN5EalNvk5Ekvv32
a6dJVQ1Zn4hLMpKDpsLQznaV/vXYyB2fwjvly0vzg/tn/f5WS+aWpTeJS8wkamIdSEjwTOl2xsem
X7w/tbBRzcswdp72a2guapiQDlvdfIQEju60KF2FesSYeN27qdb7H05vjM8NKJNPDAMVJIYaHCZU
kPWdxajxMOlNEV3aabQvRpJbl77Jq6dkC/9rhZ2AwsZZpSx5u991aJZGvGTRJeri+qC2WUQpPCqf
/qqsBfoMEQdkTcrDt1Zo4M/OXJbRxXBLw7enpDiM1A13bsHtAQFRTDgvxaLQM1uDi3MA7hVSMNEl
pyDOv2r3MBldsdOF2VihVgIzx4ZqyHfZyDcNkxcKs2ywonnxqQX/e0iY/fPsWvjL4EkZ7gxGTLax
bnfMNcKoShIluiiZHaL85il/1N1c/vn4IKzmh/L538zQKqPSTtalrh6ORTHsqW8ZZKAOuf3P4k3W
8lV3osryCTjEpzr0siZQBmVR3yWV6f5Q57S1RyIRxk77WReP8bGbQFL+NZQMQzwLT0s/V4kJzW3I
neG9ENPSBUZUjIm/WIsVXQYw2PFhrhLR+qpRoGSnqqL/pXV7WNCPF7d5pFgbamiSswu9eyO8LCuT
dkjKxNpqBAJNs3xNi2QJlDLdo0veM0XLXQ4kZlY1MLvbr6WmCSPdoMNcrMxmPkLOSKOYNoqfePEe
D2Gdskq1NcYVyKdX6v6sn5oicexxbD249HX+0slpNdZg/cV1/Otc2J96hkE8vYtvtVcpus94qHVC
pKCpWLlmm1ysxK79hdnYiB6GDACibXt+bOrOySLglMAfYk+i0NUuJh4ao0laJ5cq1bOLpzbj0UqN
5+YxvLm8jDrpIzAAUgon3X6rxjTJiPUuuSjQaA/owhdHR2vDHee7uxbyHcoYcNqovd1aMaZuHpSE
8lRM9ncaR208JDY6qo93bJ3N4QyyNUEkRsZKWWwVG1lICtZxrCWXweEaqs3CfG2yXIPaYypt5+tW
O/yYNSu7msjff39s+94KsUvliVoNAourq6PMR5E6DbbJfuqjN+rzUUEF+ink2b9fiwyIhITMDmNy
B36KpMt6LGtVcZi0gnD1sYzgBi4LU6f+h7VIZUrQNjQZ1ulclhliGXI1uaS5pR6cxYGzsKjes68g
USxtJIggFIsJslZ3etr03aBFWXrRFyV68fKeDLzNvj5eitz2m/gNSg/NdP4Bt08DYWVkjE1jHpY6
u3R1jwbsQjWmM6x89kEFxWenarS/Hxvc3n1UZZB2Zl4cvRO6VbdfyMmHEEIIxSMr6oaPSz8bx0pJ
6r/tNNu5ijZLIwiiYAKIjlYjiC3pkT/5woi60Kg2enrRJqVVX82x1xK/EIjOv5g6/eJ3UzHAM3m8
vHtGaSAQH9GSQbp6tTzRqzDyIi4ltxbTcVbH8eIyDhJ6M1RIv+Mr/Oexwc1+skrQiHJGM3oGpKy3
qzTKzAlDCLeXbNIr7xRGDsijMnLcS2cWxt7U2HvLI/7FH3m7uEBWyyOQFbGjzlhD6MxHxL/7WrWh
+xdXtPE+VOwnJ2RwoFneW6eYy5fYdt0r6GzYKwKRtUveTPV7JdS0XxRg6H9WDUm5JvK9kcL3Fggt
giycpoFU+rrdzo4KcrqAB7oU85zUcFeVwTh2nUhe8tEJf5nqMbs++wEpDZFbEIlyIEAT3loUYZYp
GrpKl7BY6Aoj5hukbhx/VOa5PD82tV0cpjyIqgisUCpfN8ZbAY0rm4zi4vChoGCo1TfLiWlbpIMI
ixdtrqpny7DQIiQzkW4XpS9YH+vVUXmKzbwD9NnPgtqJ9xW4XLuTlWzPAGV50ECufD5Zl/zvP530
1G30KaaPdJk0EmpfqcL408Bj92UxxfLP4z3cvGMsCIwO/CMuze2QH0hBdTbHeXmhsWMempTL+9jU
nrKnI/AmWn1zM0tDEqYNThtvXO+cqUSDjvdVF+FlyefRjtv2EC5uPL0QDiMGN49e6pduXLdB4cat
+MBVJ75WTuzOgF/q+mNvp0b/12An1GfDTFhMG1ehMvllZlnhxyop4GllUTN9A5VjlQdInGIJoOQt
RjCD7LbR+B8a69TXmvZH6fZ9VPgUACav8h1zLJ+tpEtHIeljbi4xnRwOePsNvWJZ5qx184sy0TUb
0lB7XyXx8vXx19tEQCsr8oT85ClAnXS9SI2cr+clSM5a7qHMeyas5Hl6cpMuY1+j6ktRV9nlsWV5
caw/Jxc1qCFYcrKMcGu5AkrRikyin5ly+wJHfDqFel8ftKmyf0VXZH6pNRF/ceEMvxeDhhv/D/Yh
zBEAMklyI3xUmWJU0KYt5CzJHK2tPPkjUtLpkFdK9qFq9ehgMTXufacM3reYZ//ZNJgCBbwaHg5I
65SmVw9HD4LEXoqUIxqm7tU2huVjnxJmPF7kipIqnwsAOJKGD7hIIttX37f1MhpwjANiYrVXdVd1
yTrLj+O5Na40WqvZt1NdGf4T9YYifLV0lvxKVlprQaW3tuqX2ujCMFXsqEK1KVUSJlvoU36oCoiw
fus4E7ryWa3GhzEzYT63XjHbV/T2iuS1N9LG3nFX6fS3TiNfWd51bjfy+nUPlR1ipAIoGyrBQ+nP
WeYcMqX/gizNcnq8c9unQRa75X3GhaMj+XXrnk06Niai7uUFrWJL8714Vt6VhVlc6iqsfKPXsuem
9Lx9KsoIIDk5C9RA1+EZAgPuMiGTcJlLkZ2WJP7iNYp38PRoD2+xvbIJcXlhqT1DhzacVaI4QZnq
Sd7Ki4CUfxpGUz2r1bCHVd5eLRSRiI0AgLl437qdpC+Vu/SRUV06L/zOSz8czEE7cY+qB4St9INe
Kp/m2tyJHu58N+nqSEFAoqOSvPpuaSuqakQT9rKYc3wxE+TGmnooD+aSi9OwGNW3x35yZy9v7K2u
MaYkR4CHx+qSOq16XYyBWdbktYfHVu74PXLgxETQEQii197YuwRAyThLGYjai49tkzkzox1V44he
g7NzM9/ZQjq4XErILkp1UvljfnoTyqgoOyMvq0tZGqDWpvGfyRDf4qL4sXThX48Xdmf7uPxpXnEV
Qvdbx8+ogiphWhBlFZXaHATzQI+56e3FDlsrEOWojUgYnIt3r/J8BteYLvMn+kvmOa3Uye0UP7SH
8lm4EPslJ5YAGAU2RbSyyraHJE9dp8LOoLeaX9uL9mKLzDg+3rOtM1AReQP2StG2jQJhG4U2w5uW
7hLrsy4O4cSzeRosPTEv9pK7e2SArTvQ+JXVK3yPdtUaUdL1TdK35tRfnAiOku82blu8EDNk8QeG
36blp6rVmucYt/IylM19WmCsE5nFdR9DUZ3MbjWVIeeaXRzdJlYO2WJo1L77vTdyu50S2yW1P+lE
U4BcZTj0zyq11hT1EnbDeIjCOD5WudteOwhZO7JbGz8kmKPiTQZnoge0YZunOHsxURW/iKaejp2o
67PETO48+m+QpZtXkj9POgNC4k1Acq3p0mhhnzIlgdntY9H8ptlc8BetEHF7iNJRmKe+MJvf59DU
u/gQJs04vyu1sp1fjBT8qtj5Nds10xghviHpoXGxGU9p5vWoGL0wL16P6H/YOepldBnX8PhMvJG/
btcM6AznxEdNrv219oYzR6WtAt+6DLmVLqe2c0TzITGXuDjSo1JcP7ajrPP7MZmUV/Cgnkk4X2np
u5ai20LGN2m99lWNm8JWL8vs1APckG5Wfut6Fbq8S9HW/FzYgBROiMuM3uv/cXZly5Gr2PaLFCE0
61VDDp7tcrmGF0WNAoQQQgINX3+X6r4cZzqc4X7p6NMd3RgSwWbtNVDVQSAjevDrVd8NMx4DXT2u
RRN7vfc9ZWv8osEWFSzTRqg4pytpl2sA6DBAbpFi8tImHAJhG01KZUpGQ1wqpXpy6F0wGa+Ny0lT
Wqsic9emCsz6vrO8hplx0Nhi7amnfnftML74YgiGzNYh1fueD8RmSe9AMa4UAScgT9EIvEKk1jgU
NeA7CWVSoJJDEi+VeFxrOkYo86slKiuiq/GzgTNPXOAlxabbAcyDdAdBDRIi1jAedSml4Gkxx5Oz
AsqZl+lgAw8eO5Wg3mc/XVcXX81m198jHfKv6kDp/tq6sIL9UfmVcG9EorkodWVk9fv93/98l23a
NlTzKDTACztlX8+KzANHG3A/pIMqopHUOUJq1OH9UbZ74nSTwboIOxkSW7SWTop2bfqK4qSI9stE
1R8YkcsbriMF2x8lblbqk7KRPS/fH/TsfALzB3XUZhQeoJA/9SzhKV0c1QXoYcKR8DBFHdm3EKjm
dpGXXA/fXEWU1yidoGg7Q4tpEFgoBPARwYfH3khQ2+B/6Lr/w4S2thxoK+DnwFLkdX2xKEF71lTR
PrX1ZrARibIFU38nh8U+vb92b01okw5BDbjZfp7C33MzDkTJJNrHSCC86+EleVWFqfrosZ6gfAGe
ihYWwFX/lFnbu1oYp5ucvRXCg7TCqQpQ/chHlw3MPUisobHZ2J1nuBhNVqg4JhLvx6SLv6ClWRWs
D9PdHPSXgqrPthyGwjaAlREqM/QntpLgPxWgawdclGmX4J6aqp9e1S4cDnmEIWMBFg4XLojzwaAp
w9TQqAfkB27y68EStbbI83bSvYRcZG8jJ/kFb9YupyOyIi+MdbYfwIwAjLeh7QD88OZ9PZaOaica
WJTusfsVGMkDkKSuTy+xoN8eBtQl3EZQk5/6TSmVcJBP/XTfthP0thHvYFleJR/eEJgMjl9wOjeR
4alOmTkpzmNSpfspGF0wAjafLm5HU6im15eyvN+YEs5V4KTY3qA7nH5JUCYxF8A2pkR7lYFlbGBH
3Vy6xt8cBUQHNAzg/nrWCKZ+A0egrq72tguqpqg7Wf8CNrteSkU433P4abbnFJAf7LjT8lLMUQ/n
XB7tK86CjHvQqMhgHA+z2wQXONJvDIVqHfQr4C/Yd6f+p8gGmGB+GKT7QfOpRJ295IRVERI6jP7w
7o6waMjPAQUIAvXToSDThRVUPaR7NYxp5togzWtykZx3BtyhnIPqGST2zT8GnLnX31AfJwYOD7La
J0NSV1/50CXuvQr82gX1FT2ljK1WtQVo+81v6mxdtDX2nEuNl/NlBb0Y6mQciBuz89SeLlw6xyd8
ThHvjuNWMRPkSL5Oc8MvKvXPNyWewwDrNnkjnnWn7hMylLxx8Drfk3Zwx5JOjdsiG7rzL12/b8wJ
1mQYCG9vKERPX1qVDmsdu121D0075CIB2tSqFv3AaJmL9y/GN4bC2Y53ApqpwJhPecwDDvbABK6z
R2gbfMN679vkgtDZgpP18ZE26BHP+625CXXL6+3SiEYj6auvD4NBzAhJVVzCZDjeTdz58KMRxxL0
wviiMV6CSI7XQ9nK9tIQrz40wfCtScDznYfFKbf/1QWI5I0tsWFaeDBiOKhHTu4s6kjQvtlSH+pA
D7kOV5MH6VSX7/9IZy9v/GUoXsAjRNEJcuTJNcxnhufYROqD6rqdAyJeltLodzdaPFrkx9xP8OJG
swiU+m35oEXFxni9eKEvR0g5DD3QyiQZeLdA4c2cXoC9/+3hVyU0amecTehnoKmI59rJb+R4dAid
Tjv7wPGDdspsOrPmfnFhyvyweogAzgzXNgIgv/I+65B99MR1amTWDDDP3Qg0Uuw7GiH92B2RTfbD
CBkT0GdpUl0oHs++EVwQqEhQdm9sOHjbvF4RMtVwjqrr9gBDsS9KcrygZPtNIi7sArp3tpuw8DhT
gT9AOQps5+R3rjoL/Vej5GFOG1rE3RCV6eh3Fz7Es920jQJFPdpJ2Lloeb6ejl7IKrsQ2g9/8vSc
w9qhG7PVwnw/g2GQFVcr/shLLqLna4gSCDctCPG4m2AI93pQEymB9gRL8GKCT1AepRMwS9iBz+uO
BWN9yVTlTIaKhhlONXezN4exGWDg1+OlM0mpjNYYeqB2vWXtXF/pirR/3QUGoyWEdszAt9emiHzu
JI0Pacq6Kfcdhw47v4e458KL8eyyxOWEJxtOPpSBMO44KTjbiiFaAUST/cKqH+Oy7j3pXIV1/a2e
mxumoy9+H9+0/qUu8zkEhHFxZqCIhxJna22/Xodk8GXa1XWKdVCEZKSWfpawKsnN4JJDa2h6TdKB
XYvOmx+JcbyvVdCGz++fX2fP5e2PQHsLXDQQrUDHfP1H0M4GAbKmUlQKirk74CKJLhFU5IeHVsA3
OUtoNzw0tIUW6v2Rz78oQE0AguDLvvVvTh0rELDTQ4W0pPuG9KrNQhUv6Pmuof1fxsFhiQczzCrg
y3I6w6iDfeSYQtuu4591s5pH1x/aCyXkW7NBTQDIEHUd+qInZyb6o4wM2Fv7TsXxDRrxCGYXbCk+
vmYAGfDpoErFqXcyCgpVkXg13kYraja/nGRDpqIj83Sp83p+JuClB7U00Ek8JJD3+HrR5rBGc2FG
kY9XM8vBkVPXaWz6gov+khf5Wyu3JdvAeQ2ADaqq10MFaeMYJpoK3RnNvkbQXO7DpvN2H185iH22
HEIYgQJ2fT2KHHSFvDha7X3bLCXzuXswDo8u3BLn5zeW7T+jnCybAt9nwIOo2k8xk/dyDbsrRQNv
NzLHu0WfPS7fn9VbX+/m+4y6Y5O2n6awI/ApnYEGocImkTlGa/Kj6e2cg60CLf1yxTvwZN4f8Y1f
a3N82bQL/2CUk0MLGgD4UJC22td0GfaJq3lB53R9fH+UN7Yf1CYYKEJ3ATjeyZ4QfQU7GK6qvVMN
9R7nX3qYWuqW2B2Xws/fHAoNIYA1m5P2qfHWNE4oG3xT7eMm/LzIGchyzDVqHiku3DNvLl0IXvPG
XITI52QLBk6Dzga8wfcIatWZ8Ry/dAMTfnyjw+JhKw8hpMH5enKbCx1FS82ls0+F6aO8iurqJvA3
hdCHf6LN1RJFIk7WLaX19QeFK36SqaT1ARSM9t7h7XTNHZXmixnk9/eHeuOrQpME4i8U8yAUnMpE
fKFWLOhID0Z67vVYLclROs7wlIho/B7GWl/CCrfP9FUBjLBl1MD/5rcB6CebXOOehCVpQw/IRZ5V
NvV+QgtP0wBi+cjRv1DNVsmum0IqP/vNGOsMRgiD/m1io2WJzrbb80xVQ3sPLYg/PRiYfsAJDMqB
MJO6m2Qu43isszVRNgDbyVQ/KmRvjSUu2xn4GqzzVDFwr+aZ26xR8jPq42pTQROX3lWThwOGqMGM
+3oUzq8U1gQJLjYtux0ZRpqWvBlcKPpriGuge7WBmzXT5DS5P874CyZ/GkxeTzX/KmEejmTi1GVi
nzgCNO73f7k3tjy4xuDQQGi5CZG2//4/IKUGNTeA1xCYwBPtnmCByneQ6fwPt+JWmoMkhFciiuaT
rWhs3IGpt8CXvaNhCXSlzfsVUMf/MJf/jHJytkM+Ffl4utJDRfiPwJi5UMAxivcHeeM0ApABOyPQ
I4AwBNun8J8Fg92kpgD3sdUbO22idIV2aktK2q0fdQ8BGLnRcNG6xWEOnOhkKEQaLUErBALlkEFy
4CHeGFZxst8adxeW7nxW6IGj0tv+BejZ6YNSguUiWOSxA6c1K2PYv5TVnM47fwWv+aMLiLYtmIdb
2+Kfx8XrBRQQf0eJgG8rzGL9fO7jsEzrOHwcg4BdOAHPNzeGQhN347GAv3+m1q/E4PchWLYU3cMM
N3SfEZNeYtS/tXabxha6fYAm6H6/nlA/cit9Bs1pJRk6hjw1ubewLzBKuqSbPx9pwzJgFbtZaqHV
fnLpQpnawErQ7Q59PBGegw0CB08qyWQLt03dSy/q0+Hw+2z3O+Q26OqjADz5ntDkbmQk0mrfJguc
RxJPeM2B1aJGTKZr6HoBDjotlbbhoP/DExdtEyjBTs70UHm9G2ugaXCEALupZeqaWF8UQ8fMXieQ
mw6ucC/UMac3179B8TH/W1eQ1U6+MQdYHZxS4as1LIR+cmI7lEuog6OCgOEWVe4l/5htEv+9uDDe
PyHJBhIFmOrJSVjBXGGFENxBc5DBQ0oNf6RHXsSgH6ZEwNGCqF3Lp2PQNhceWW/8mHj7bCDlRvw7
s/uoelAV6m6tD9TzRYrUhrp9WkDYHsppjdSlo/iNZd14T6jmEb2DYvSkxulNUGky+vWB1MjUmxKJ
ip4NCIeqm3k32XSZLxxgp5/6tq4gPmHfgBdy7hoexZQ6WmLAuk/mLE00gj5FeylO9+1R/llRAkrE
S+L1p54kvWxhgl4fggXxgEgy0wWyHT+q9sBc/tFaMR0oBgDCvB6F+HjXhZKyQ4TMZ+j3AqmvEUNW
39AobKMMqSbhx1cPrluoRyFD3rgfJz+XuyAmtQ8GjDiO7T2yTA28MMklE7U3tuDW8gD6D0U3IPqT
1RMsnZMFHvUHRzRd6dI6vFscz9t7prkE+r5xlqBBiackzkp0N04Fio4G5bZpXNxnveqfKAVZQ+GA
LH2qK5EtCEXem7APLygGzj9u/HJwWkBbdCuETz/ucFlTr3NXflgSt7N7NlrPXgd1SNhugnP4cDVF
RvwaK4YcsYZoExfzCGXtB289BGmDf7VhNmDyAA092T4TcyIy0rY5jCHrPk00WT4ZM6qnj13jGGVb
VzSdE7wAgd6/3qQ9nOBCRgJ2cPvBXENbu+bwRPDuWCXjCxXD+VeHodBjhCng5tRxWqMOUP6PnRez
wyzn313n9kUHeGj//nzeGgQHMtCnTYGBa+/1fNxw5I5GxOgBdj7ywYkd2IdFcv3x/ijn5yIaijiG
t5N4kwOffAIAWPoAKCp0PypkD66o4xcn3OINa0oQX+LV64Ut+daAAE/R4EZmCcC1k5Ih0FEz+9PS
oGQI+Y0nanLVUx5cIXlj3Ml46Y/vT/CNZcTxCBu/zb0BEteTbVEv4CPWzigOoZJ6502GHj1GpgvL
+OYoaH5sYjg03k7bLNydid8iXu2gEqtyxltOM3fSzdcLkzlDwrHL0bEEHQpnvbv1dl7vCuPNftD7
AFOaWUp9t4bCVrvUYco+K8Q8/3EAmznXY9/x41xpLz30mPd65Csky3htj7VfOiMEJzfTEMT9Y2sW
T+gMJSt8JVgU6aikTU3T/TaMKhfOJoHC26a/LPa5zT2ppj6DOCjp996gdZC7dkWaQ9fUvfzqVqMX
FDUMqaJPVTjh3oPMo4+LcQWx+Vj7ntU3ZKWwuK7MSukT3L2i5mctK8Wz2gTEaTPbOt5w7flrTOH1
VYESA9+NZNnzIXHGT1D0EL8Ie1fBGqfqR/d75dXLUmpvWoaStiwWYKPBOSpvoPt5tClhUBh7joH5
KnhteJjzqgtiiobTbDwogVVNlowKPbGD7OI++cNr5dtipkSTG1hhrGE+qMjKYmp9OtwuJlrcfSO6
1n2kCVJdCpnO7nRNpZuKfYMzNi6s7GBnkzph6z83UdqlWYT9HeToBNU0m0bEOpls4Ai9uNvsttyb
EPINmLGkHtL54GIkf8LQvzX3jVWJl02z24X5KLX6M8do9FyR1VnaR50k8LBBExHpNY5CtEyR8hnK
yzaC4qWYm3mNyzHhDGduUA3ytnfa2OwcJ3K8A95RU/tpqdE3Ola6isRRr004FdNmjvNphjuCdwMi
okDU2dA05BtM/uIJ+n2Qu5Y7jAIXOhcSBv3LQc8x+gHz8gqlh62lLGEhxGSGCOhOlAsc4inN0hmH
dQ32PDHTXRKixVcqOLkgZlSkNeKYNC5bCuZJGPEHMi6+C0PKaISZzbAsEGsL8IPHYhrIEN/yBQR5
CLVq5RWAW5rpQYRdnf6BcLhOH/teEfWY+taKzI2t30TZ2jpDe2giJ4h/DTQa+3JO/FH/1k7Y+UtW
tXTmJFc+cbpPYzym+AESNU7zVTcaf7gSfFzIjYacp9sLJ2V1WSnDK3psULl6L9AZe97vafZ5fBcN
tesj5I145vPsAZ/eaYfDnYeKmUxfFxAkx6NA75rhW3PNzMvN7kUd4eE/03yFVRD3srGm+JgyS3mH
Zpqnu/kvYLTJK3rUScOnzqkSf4degaSPzoaM79oBRM+Sgl3A8zqdfDzzpoXwXTeP9kUrortyTA2N
cuwZqzMk9uJUqlaFX8UO3dDsmt748juY5kjKVsEcO0fPEePjGkkY4GeBWJNqyrxksOn92g0yeZIG
5n8Pbj950BincnLZmuk1iQB+QlqDop1ZGd65Fu3fQxfRyXtpQzEthYcMhDSDOeX2/zTCDqUgjNPx
akbQCNupYAzdbIyXIdlbn8VpCYCwkp8Uyk0vGwaffVedGX3E4Zlh9HcwG6U/gRwgDnQlQ1MdVrIa
VVpVz9NXJxwpLxNXBCHYbdoEY95SO7UlMd4Qwz9hatSOglvF7wOvd3yaod1Y9wVMjCOe+SIZp58T
or3mo9fCQjAPYqmBA0jraVIwxjpSThVkpDA1alr9Yk1KxI9kcdmc25WmMGQEWyH+Q1qNFK5sbpOJ
7SUbSW794Rh6E3hJSb8kpR8O/YPPUWXkcoz6uuiiyKYFb2g95PCeHfpHjuj2a+CAU1N6cBuyyEKN
OLupFr2ybHXihoMYlprxMVmh886mVloHyraq/r4BuZRlkZ70muNirIa/3OHVsyGazVerNJUwoCol
VooiZi0NcoCbNtFZjY75CG+jZUaNnxnLxrbJcJZx95YwESxHEgjk6ESLx9zPulIzNkDVCrsWkWwc
uDGnELlbmZGgcaMHrKy3HrsUOvhPcMYIp59zb6KxkDYBtTobB9qbDL57MtrrtI38XJpxktCbRasf
Cyh8YIZb+B0b+A1fq1nBf0Dp7fj2ZATRGui5zQMTmtEs7qX4CQ84WzfQvutRFywe4Qa9hgp/22Bb
BRvJYe4jct1XDjXHNRARVlENWroc27YakyyGf2Ry5a5eR67Spu2eU5C77BUlyyAzlq70qu1n1zlw
rGq4U7Ppo2ziGKZopE++DmnQmHxGVBOa0QE1rFiR5hDdNrh0nTtWY0fMWe9C93mbBDr0rvp+tPVe
xjyJf/Km4usdYrTtgBur9/RwmPmSKJiuWxS7j1WUVvoemivvKe0agEdyDcYviQ3Irwq2zIijxs1U
5Qhxmm6G2rRfUUPQB2VN0GZaoQd3cJgbfYWs0L70Us5zDpR+DW6QWhSHV+geWpaxebZ/eb+Gf6pp
RkkYcNM3B4nUdhxLig4uAII0hHnQXRMH8/KiiYVKCeS6Otkl7VrjK/LpGsVYpqgyTyJcfHadjIQh
grzHfdwiDUfN0S0Yh7b5LeBKEPiwjPV1+0Kgn2hB5tdL3CGuT0aezfDFre1egdzZPlGXJmPWjNUa
7A185Lz1od/+4UV0vIEDiyNUYCj2LYr1XSq1sbkL85xfMqpCBOJZ0OgzPvDRuXV6f3wgA1D6Kydm
fb2VQ2GT8b72DCoLKd3CX03405lHBlMrznj4K0BkYJMjxoWqJ6cKlcjCCHzJW1NRNnhFiECZv2Ti
5Bnfk1O9SKtbVi7EY/xvgwfYnEvQvT/ab0UlmKIbvhECAWVDCvq6EkQF4eJCXOTBw61YqNCJcnSS
QJoTflRcKDvxf/UaI3o91EkNTXxGFgCA8tBi8W5nKuR3N5kuIf/nT2S8wGHMDOof3nDASV9PCKm7
XM2LbQ8MYptjGxo0RMgaPi2J7F9YNLoFn5vg8aNTQ+91E+zjkbWJoU7eP8q42sZcyoMmM6fF4Jlq
K/ncS1q1c6gBRi3ouW54Ikiwp1BDb5nrtV1AD3MbiO9W1HqAG/ScuMWyus7/8BSGoBYG1/DDA0Xv
5PfyILv216WihwQ2JA4+K79+7lBTL7kC/eoS+/psahstFXTlCDANHANOmaNyVSh7ieoOc4yjsHYS
8RNfpQ+bzHb99P6vdfZ4xO4AdgddIXxVNnb06y3SKFhOA3caD6bCLRk4bpOzdHqBRT+sgv0PazTg
WwiNMKS0EfATJOWeoFCRYnqeUg/DIX09p/M6bJYqsJ8PwYd9f2ZniwjoAtsC8BqwQvhHnrzr3GXg
SFMIQTFolrjE6yR6TifBrrpFjH8+PBTKQ7D0fMD2cDU92fIpFEexWTHUmGJHNCZhmREN23dcXbKt
fmNWG2YIijkcatCWP5mVM3fW0H4kBxJUyEcguM7ZJnqyIbtkk5WcnlE+ugvIzQE1aXP8PFU/EzLH
tURD4GCWgOgjeMTeD+kOscq8uuYvPvWqR1pjoqVYO9aW76/p2ft/Gx1NAnACQEeBscPrjdmSemQ+
xeg1Xr87PMFjXEnRJdrZW6OArgzIEmMgQ2dbg/+0+vAGUSGejN7BFWgGwLDTFC5cQS4ciacfGfBQ
ICXw4QZrFHjJKYkYR6LaNK7JwUqSHDu/X48iMH8MZPm7wMhLS3e6RyBK2dos2IwYDPZtJ5Ma4aAW
z7KtDqDBdLtuTZbC9bXe05Recok7XT8MBYrqv9ayDzT01GGczQZ8oQXQK2qDMBdgpB6N1vQC3Hm+
fpuFAY75zTEYVdQ24f/8SilMkFNnjpLDTKNvIyU3Qxt1GZ6Oj1O01hcGO5sS4s+3kxcHFU5F/MPr
wZiE33Llrf4BzAI1FeOiUYN2TPAf72/ws18pQNsXolksHx71Z9UGxVzSKiL8qBcNk0LOuzbfOA/P
1NLwwil/PhagSJxN+KRA8wNx6PWcwsS0UasCcYQI378acHHdwbzCuZ5AnL6wfNt3+d/KBlDxRgXG
eQusBWDkCTTdeMvUyNQRxx4xdqS0DfOin6yvgGisXhU/aAVZwL1nq4bfWNqJJ3dU1h4+urZocoDM
BlURBGfgq7ye77rxy2oCjw5/UBRO9tS8kBHsmIyH9FLYyPl+QewWfJ/wY6K3iJf267HwRAPRnNby
qFZkls5DFBbxzKLd+zM6c/XBuqKAAwcYwRAbyexkmAp/QuS1XnvsJjxUkaiMk7lYWtfyHEBL8jym
iMc6ArJAYls36Xm5SaB1Xe8rsfAAyEO9uod1SaLPZKIjHB4axHUUI8RdrKi8iiMYXQ9J/1I5fHIh
xaqbtClSGiPCVsYq7suwn5fuoGZ3nOGOZPrpGX6Nob1JV+QilYHuLuVN/D/y+noroSWwdfX/yUpg
cvV6Zb1R4CGSJvVReBKlzw5vv8nlRzds2QZFLX1iv4SBMuvz0K9z8HVWniQsw3/C/DuwHZqwiEII
au+YAD3mFmpaOudhNeO3QuTOSh5aykVzMICJgGOlSNgrO44E8GwC81P+sgLEnhwCAHe4h9yZzseO
onFbkpj3LLdeT6sCABN1nkdPJUhaVUvXlEvlO7bs8NDgUZYKd/pr0DkJik54LZ7ZTZ+EBzshAjnv
ap9MsN8wA79dZyHZTad6GIh1YYraKGlWn+ZqASMOYtlG1XdxDYPMMjTVpDMmXH+5DgWkP/AZZ+jU
38dDnLT3dGj96AEfWo9cxVpXbU6mpYYeIMHL/5q2sneeljBlwRXO1Li7Djiv22z1/eUHXu/KLamN
5XxHkOSQHMEDAPkqIxoa7kMIAwr9t1lnwBiARAMkRMi40nnVNE27o9DK82LFs4yUtdxijKhI4r/4
RjHrCTbH5ujytje7tV1EmiNYqfpJhYAppk8RCJQtiROKbFoihIkx403Jfqg88gNXgmyx2ZnUB3cN
jSrwvSNzvh/E6D5N3RI9O5NdxMMoqtApWdV0P6AqdP+y0aufFu5qGBLCqhfItLNlXYbNPA1wpRnZ
ZwYsNS3iKOqfeLzOD7pzDISc4ezcjMsYTjuJFFUKDyCUd5lnl17lcSuhLBdhHdO89axIbxoRh7/c
Fgh3iQaFIF+A0gTLTa3S6ifMRXlVkC5gY542KV0pTITiNckbGw7PMlIwNED4hda5q9u0LwiZJuC6
kGQyu0ceTApfdZe66pm66SKvYTI7Id+8Xlq7n3ooXK9pFfjfJx2s4mdU06Q9AJZTziEMFl882RQX
P2JlXM/Jhj5OH3S0Wn/NLXEo+QxxtPfctkvAdwJGUrLOOpQN1fdE9Qn/AzS2/cwZ5Wbvds0U3i81
WqmFGyiwNuTK8ZMsK9zsn6TmQ523TogAK8tmsuJl5HbwQnGUg/arJ8bkVlLZmLuOO+73dgWz6uDR
LuE2hxdmbB7SWcfq15RK/hIgGau+t7PsP03JQsgnCVcGjUZ/swCm4vMaHRPdKwj83XgSL2HaLGGx
DClBUCUw3L8zWtI2WzyDmMUa7ntulrqOO990wdD2N01s2TPsj1wG4gd2fubzpYqe56lNx7/Mq8Cr
nhfh0kzbSr5MAVPjXT1aEu0i17juPumbKLzqevCxb0C9lcEj7yp96wcqhDVpBL3+bVfRgRVkgDoT
YFIP7M5HB2J9UNAFN89oDuBrFECmSYbtRWNUSniS3YZ1ou6RHIDGSAhnDZ1TvyJpRuCR3ZbCaeB0
gEA/2KYByu6OU42o4tKrgOSWsQtVa84C2frZ6Lu8L4C/A+GnMUt+uU64NtcA9Wi4W1B80nxsU+8R
LmUiLFbajgJGId6IbIIkGQFGTfWgc3/aeJSAbJL7ORDofkTxElkELy4K2gjjdzZn3oDeUmCcwWbh
2AJjUnWk/SIBKR6hRXHS8OPk9W2ySZBgI9lH0XiIk4qJnFEHuTemYSG8jmKP01yjZfLbm5BSkmkY
KqBlDrSO5yGv108MtR0tfV+79zVBI7D0CevvIO3H6tpm1EckmPW/ogFc2zLwWfAA/4Sugev+2op8
md31V79SNOpD+CsdPR9GiSUd0wTQEwqDzFmQKVPGXKkS1v3rl9rUwrv2F6/y9zHw7j+No1sY7djO
hjiL/SoqHDrHX2bw/Pt8wbVEMtE14y2eQe03ozykUlGPW0C4Xv9I0Er7jTyB9ecoLf3qjegN5Dql
vZ8P8Rhh5Ugj2mLycD0ApIkBrjI3/NVoVn/jTTKl+ThCqo9MJ89OmbNCp1ygdZ3Q6wn3+R8cnr7K
wOqaSNYFM0H3DbpOUzDrqi+hWZMUcULrCr2MpF+S2Knags3wpCm5STjYrxbx9LAga9GepkH/GPRt
+mPydeflc6ja6wHdxhUqGNpfsdQzpJgFghGQPuKtQ0bSamJlyrX3E9ZeSLkASID1pKlTk6zhabpk
oQZoCsIuiCb7Cd2BCg/G2J9KT7MkzVGirGC4eJFVhYCE4rpCosmvdlotYCrGbYZVhbprQb7zb8Hc
Njg2ETFNPkYd2Lodnhj3YQOBQekLSDFzxuLkd+wp73McLK6T1djCaMJ5wLrM2g4anDZrcQD3zAHf
Nq3CsGDVZIdsRMI4cp1xeH+vTBz7gJzd5k86Tt63akIsUymG0XyxVqMBa1Wcfhb1En+KpREIZ7ar
uKlWAzJg0hujc9gNoISiQ4eukAMW0zfkwHn4txMM3It1QPRa0ddkvoWgehSFQXl6cLoUKwOFJ+7f
JNb4G+E2I1lh6hAXBiCsgeA+6+Ykww5xH/sgUr+HGnc32EHca/NK4vIp+8RZHvHLTV/GQYZORrhW
nzwkMPWZjoHhZlrX/i2v53gu037gsnBB2jJZB+444qigxfzSIXnRZnyCBnk7WtHSRdOlx8FguRIl
mKT0Tk8jTGlXqumTG/CR7vFuCI8eLncfIu24D7NhqiK6i1ojPwmlY/iyLwKdA+sh3xf+cyMOmpkD
L3vSbduWIMxUohCJDD/1MTqKGYpPX+TztIRPbHAmWGXDfDzZrU7QxXAUFv5XZ8UXgqkbxfJkcLsX
sUQjrBfh7Pq7W7pE5xDlWzQ/qhWiHGLQwb3Ww9L+cPDSCfGxkBTfbZUwt1ziwccKO/Pyw29dUmU0
6rqqBEe6cfdoY8IuZJ499PQaRnWTIW8P13KvgtbAuiZam5z0Ul2hy7A0mZ4EhVuPBYKbw6RxeIJ5
/oLmNujqt7A0Nw2A7bBPMuQ0uU0xrH3CcmXicNivBmtWNmvAdZ4GCLnMZ2dc/sI+Pvys4bn4tUX7
+EEGqR3QK7N6zHQarV0mO7vgtrVN/wewrvnjAj9LcWYP/ovqQS64cl3pentqrbrxhxX0degH/4+z
89iNG2nb9hEVwBy2ZAexFWzLtmy/G8JpmHORLPLov4vzb6a7BTX0D6BZjDEuVbHCE+7Aq7n2Fm0k
J3YyesBtXX0m8Gq/VkU9/LBjA9qbqZfTJxxxu/pANcv9XHaz/s3DfMANppkyYQCxhjA3rxbx2QVu
8DxhII4EeF8g4aErLcVbMDWV2FM/NR/WzHKHXWWvSPI301pL+lkri9T3Hc2L2HZitfVDu1NBfDx+
yPTaTzBUKYvnXJMeiuyqMvS7tSnnajfNQnUcD96+0Jwc44+xcAXu2n6dfzh+H39B3thvuNOJqQK5
GngFW6gRToE+6J1xJEOZRRo6yl6qu9z0ZHYcRc1pBJudjXftZBfz7xG1n+WRANwSu9xMJ/1LvCjE
kJltH991XTGuB1aprI6qShw+KN6SwPtHq49/AO9Ilw8EDnnzzbJFL/a1p6w+HP0+Vw8teLnhE9xn
p9s52kSW1hlWaTUBhqdc3sHY5NLbN5qRVWHaD2nyTbV5RzOd9+S3E/tr/ALXfqZlU8ei3ktNm+H7
TEUvIUnyjDwC67O6XWL0rvcSb6J0B7M1ZL2vPNkVpzFxyHlnZDXWgxMXhvdg0eCTP23pDWKveYXh
H3AZHJzfEOpGlkAXC2Cluh1LfKt7GcU5dIkfdo0l35OfJGKN1mWZjQhT0eVbz/7pv1ruqrdJUEB1
ah8ryLPOE6gQ6wtlKEPsWaTcSYNExfUYih5bugiRcH+4d4aOTAdF93qM+lmvi/tZ6KWHXuZcew+9
jTNo6E657RyyghYvz3VDuAn7I8lDLR9bdUcQ4c4UKNu23umkVvMvx7CF+YJk1wJ4gsTWe3AJQL92
DTyVrctZ81g2OtlHbjU1SZvAafo7PsZl8mUUm29SKEhfmrBqmqF5sWFR6yENlo43LsGld0ILV47z
vlWTaH4u1QglFcel1r+3yFbNJ5wvRXlsFyNVdOWsWjwhXoWrI1vRMtjyqacl/l5ljSqjmutyetJV
Rehnim727nEMn/1151WAwL/O+N0tuw4vvjIwYrux78HTZP0hr3x7vYNOZKPJSo2q/lMZGXbcmMOP
a5DYU6yHUF2s6lADWs933kwK+7m02mFBl2ZxnaeiaN1xtyqJdyNIhnX523YKpF+g6gVZPDXUVroH
Ael5p3pSebdvEq1/7gfRmEe6kS2ZjFcMpXZqU6CIT5SedX7Rte79gzCXPJ0DbD789uTUjd/cqC+9
UsrixgSKT8FFp+V6WQs0IfWhg1NF2ViP+zqJ45CD+5VC6BC9XXJ5bSQXYgEFMyhhVM/Oyw9m5mkj
9cgqmvUmfcS3/cfqZhQ8+uXb+wdCqgjiDNVuZEAvAHyZ5TW6xhUd0T6dwzjWMIynnhGm0KpulJEu
O4IUATUQszboR0akmnQ+J6UKouS6bCK/9u1H6CZ+WJTDC5K3KuJGMfeAPP55e3bX9THw6CwjfQSL
fsUV6pKAqiFRrSJET9zdaCYjN8dkvvtjkSvRdyTopV9Aj+58YoUmkALJ3TrCkiDD+GWW5SmlUrbs
TKQJbuzB61XcCvmw+7biD5ITF3swseGaJDXZ2FbL9HbCaVCC6PVxuEvWISHt6229RADIX95r17M5
KCFryg/YX/bkRXHa6plYocYmcrnP8qDqKUwHsvMMtX/7q11t/q3TyRlD02o7aVeUdN1yVg2ETLTE
yxJYMTAOL/brUFC4vTHUVXWfuimMsc2CAPjvVcHdXgCwumgSRotqjH+UqpywGhsH1zW940Zsp/d2
YzaREK5siu7w4diZ51tlQmVQ18a1iNa0M74YnLQXMAftL0+M+WdMqrMbZ+76AIAS0DaJZJoKPrzQ
8/HauOvNGLxsNA/CDJ3W9T63dV2/u53AKESxcBZo1RG9n4/i1HGzAqUpowzMKJHmgoduYMo2BcKI
yPwtWaHrSdF639SX4Si5yBdcLKLqlA98rswiM14xi039sf+fh6bqe3UxaEkjnQTWfVMO4HK8qORb
LVVe4Cw5eomouyfpwHtm0HKs+uIWlexqH24NGYxf0RDcrqvLu7GNYyl1zNYiUTXdrrD88Yuud8Nu
cjLzJfa9WyD+qyO2jUepibnRh4agdP7FpLNYck3GPHJ6Aopynecasd1ae5BVLX68fZyvPhdnC+on
TB3UPghrL3ZHYvZIX4hxjUYrm/eaX4uda1XWjXvxtVF0+O48Zagv6JeCyCk5YKZrBIgTioi/27hY
vqNUM7o3OvtX1y8itDAwABIgxoPk7sV7aas6M+bG1qJ4hiuTS7+LxhKOa1DVxRrkFPWTYM6S9e97
13CTr+CZobMFPMO+uHv9gjwOM4U+WqTfHzb327Bty+zG7XS9htszyQqCSgc+c7mGfENzLMHDcTsh
3z4oCl+DKG6BI14ZhfCJBeRmBxt0+YLVGXln4dVDZFli3C2jdEMABcPu7RW7/lDb08EwYC4pW1/e
tFXZFZT2uiHSeuWGeY+k6VzcJ0lx7wGuDcveuvUyX53hjXa0tVT1zdWQbXJ+ppzMovqvCAVFPi7P
Vd/Jo5+o/tC4sRnJoplvhB3X6+jS8YMMsW177t+LeAqSm9RXTZ+ifPCT0MXbOgBKOL57HbkkeKsA
KvBOEvWez4rFM9FccGWEekXyj5uZdDJRbkm6cJwwfr6jVeJ/0uvGuqWQvP3FZx24Lb7ZrgsCKyhH
l1L70xCPzaRKyIprs/yjmVO7l2m93muLXt0tNETR2S1y+0UnDTi+vXeuV3YbGg1Kdjw0p3/7of/p
+cumyvN1yOZI8wkby3pcIiOn6vn2KFd38DZB/1/XV94yumXnK5sWaW/IapqjrNdpKaLP9mB2dMH8
Yb31Yr42FNo08JvAQGEeebE1dQ8XCXruc2S0phVoSvX7xcvcsI+9W81i/5XPRjTAhuSBYYNup+Q/
a4dwR0OcnwO41sv8B1zCpKU95QgVojOF203crfEH3R3tn1OqpjLUEtnc0C+7Poi0/kFEASBieYGJ
nP8KssercEZOOZpTOAEHY0JQ+2epUY9zK1suH2Y6M90N/utrW8b7f1cNLG1YXudjmjIz5EilP/Is
6h7aCNkRgw333UceIAr67tCJEV2/CrQWShrxWDKKAB2/b5qenmQpP7+9L6/k3wi6QTWSyWwvgQXF
73wuLv29Gt2KKUrdFGJ2LQZusdhe5vWJKpQ1BpUp9Y/Isyw6F6tWxsHiOGjdlW4ihoNOgbs/xmUP
PSFt2lkGUvVpsQcrree3hDr4TS7vCMzsCWEwHELj72JfryLrLGD9U8RGnp9T3Rn+ls2U3Vj1V7Y0
p5TLALQiQdNl4oMVX+GkuPQh6GTXzge2dOKEhaaqbIditpPddda6/J4NdCEO2JEMWtjYXnyrJPDK
DgMNRvUB5VCAwvZF5KHnnXIlrRRy2do7FI7W3SNb2u/f/vjXz+bm8IyYEKk6MeIlIy3BzRN7k0xF
xBvVwIfVMj1UfWn4Qdqh5vGYxkLkj3Sji+XdERxKaCZzJAQm57ok6BcxyKclLlTk+r28p7r4yc+r
/v3nlOiGQNvayipkRed7uzaNZJ5z5lcOC8L+qV7tO8HN+/YqXt+3qMjyOHMFbpnXFWBG0QVPmgWm
niQY3EG8cfPARfPf3rtYz79XKReBLnDPwIA2+PgG3j2flIWXtSqwoYj0eqpRbCvJk7PFsE4x5MBb
OmdX7zKDQfgkkWWLICBysYJFHWN7m5hulHde+09GPbk+jnLwxJ02cdnvoCQJ91k2evFiIppnhikq
+WVY4aTQ0oiyix8pnFSSnCVJqw88B277cZmK9qswrF6GXVWkz3g5+SpY6HR3UKjk1Mp7QxZFHWbU
cH5M65x5O2qt1R/6fGUVlX5ZfjNTm5bTjIOC2CGKBfLfNpe5iXqkVmy61lqRfaFAbuGIQZOnPvSO
8pPvK8Sfv9YqS+M3ToBVGY31kkyfjNrjve8geo84forMel5xzezuR7IMoCIG4et+XONBhpZOrTSY
lDvd8pO5OoostEU8vpl4b9XGi/iuGsc5zTPTjoTUvqLDaXGdTkdRtNC+Smxd3ba/cdFdbVtG5Cal
3Mjn3Vj05/vIzmxvnWTnRHQOF/0wuAVC4gmsmSw012R6d5gFypwQERFpkKkmx/J8uMya+3IBuBGV
toeAQ0ubXlbx77eP4lUwwCBEkRi9bPkur+b5IDwMMp3wzI4E/pLhWOtDRj/NkA9WkXYftapwbpz9
q3uaAa1tGcnVOIuX2lHoN/itl05kiD42ElZMQx1NbuPGp3p1FBjeUL23gpJ18anmtPAho/la5E3F
9FGB+fq6zMktVspro6A1gFw10CabsuP54tHBSxsT1miUmkZ3l2v1GtCgv1X8uN52UOJ5cPB73oLt
S/1Rw09m9ltqR3Btjb2gjRSWek3D0zJvPW/XE4L78m8BlUImMOWLLefScuXwG3bUq63xoaBC5Qj3
3njJridENZj2AIkgqedVdWUT+0wMuXqRFaus/KL5BbZrtp63xR+Edaznt3f49Zy4/G3OrM0DwGtz
sRUm8L2z6jsv2sTSvwFWzF7KYrklufLqKGTUpmm6/FwqT9ZjN7RtPHvRqHvjSzel470uMvXy9lz+
PfNnER1FAdCkXMko+mKteHHpYXGrWTCT/YhWB1QreMgyOywoEHQhVC3TPLnm4v2VSi/+F4tuyo9p
oslfdYa+wgE0w6oDuyxj/fD2r/XKB4UIsAlibhLD/Jyfg7kqE6+LKzwACz11PioAI8NdZVfF+nUB
GfL37dFeWWqQp2hLcS1SIrnixQzJ1HazYjQns0POi31w0LnZvT3Ka3OCBYOVHU0mxA62P/9Pojam
Y6MV8eBHM068QL5yLVIwvgHyjTJ4e6jrlwzDDWpS0A9w8iYNPR9qixdot/NRbSuvjh4BWLCil3LK
eq0ORGJrf83s5iF8ZRUtikzUl8BjbwSB80Gbtmw0uGZxNAKlC1utrEJtnG+Jl14/L1hgbaZvgBEQ
cLjECadgrKRuxnGUQu98arKs+I08OwLZE3qIHfWfG8/ZK0tJOLnpf+u00qC5nc+qnVVs2UgpRDIZ
/UBoUPO1xMm/aNQcd77eG/fNPPW3bA9fW0t0FzG/xsUCbuDFB9TsYUrjOY+juuSl9rxZO/rGeov0
8+oosIhRkHJBmV9qzi5oJljWMsSRuZa/0ZSZ92nnvTuFxpMZXxQeG3pZNCG3X+I/277SercgNhfR
pDxjt1qGOJSlU9yIkl85XERQ6MJTEoAC5l0sWNrBDuRRE5GyjCzsDbs6VM6KbMla/3r32Tob6eJF
02wEFJKYkfwWMTMXtv99otkc4bHxKsA0A36lZSyG/dvDvjpBdjw6o9QjKHieL6NR4zab6ixjOWXx
L4oF+hDOY9+toTN3/c93DwblDJeWre0Op+IiDCEKxtqOcnxkEYJ8NPFBC/R6qXbjoNk3akev7EF6
m0QW1Mq47S+Ze2tmriAj3DjKVB8jmdHBN1fOe3X8eUcpfFNl4TGFKXhZUch8bLAGZYkI8XowgVoO
wtYZ1d27l81nJii6E15t5czzbyRF0TjJkiWn2BzKzSnX31dNbz40NCw+vj3U9TVI5487lgQCJjP7
/nyoccwmQILrEo0q/Z+l4r9+bj6vWoO5SVkc3x7reusxFp4Omx6strGKzscyOty9kmleIhh8JgAM
NOPRhveQhPHn3dtDXe8GhtoUsEmrkQO6bGwumZN5hW1QSSydOezBOu2yVb5XHfPfrpVGdQmlKwq0
l7CSpG2IrJbZiiqhy13jpr/l6jvgu1Rz4yG+ng9VHUqiLv9QLbvSLZsbQPk6uQlSHetHjPeKU+EP
6kaN5foD8c7TgSM1oYKEiNf5ByrcOEvxQzOiWKbWoR3wj/VXrw5Kfb3lJPvKhPBdg87LB6Jx6m5/
/p/bHDBH7Va9MiPkxDZZDw+ApCrcd8fzcAA3Ji9LRzThXuSQpTNNeFo6ToTlKj3Z0fuZls7jmlvT
jVv1ejrEvqRBcKFhBYF/OJ8Ocjer2bi5Gw2p/o+0k+zOKpR1I5i9DiEYZJsGLENC+cs+VZzMKG20
gxuhPFJPgdkKCB6Fs34jTRaAWJGJQF4BDNt7ZQA36XWsV4GPQK0iK7qIXWYp9KLvgd+ofujuUnd8
1sY2vjG76yUEZ0SETpGPmgJ8wPMljL0S5a5WEqq05Ay9UnEgOm28cQe9MgoJ6ybSC3bXpbR2Pgo3
U1pRXooja7Hr3WQ3dZgMQMTfvn4oU/D3nKdDG6mbKxwQKZVE4+IoaRAeurTN4qiUyvV3Ip9c/W6Y
9PQX6gryJemU9ae2Gk0czFRu3G9U+ztvczLzF+BVNujb0C0mo3w0MgpHz33ZiunL1qwXhziPR/PR
oONb7wu3rONPJKues5+1WJeHBKEcAbNCM8dHsAKtffDogaUwxCqKarrRACBP6mKY7+HkzMsR+Y8R
bpVf+cV+bRPX2mmyt8HfZs04nNDqLPUHe7GlUwZ50w7FHnrUuBxHpDvWO2fSy3iPQ6VlfbWEmF+y
ua9s6EjIa31qEdOy7mpTpPPO7WOQr9piVqXajWpy1rty1Us7MhVFl9Aeqp7W1pJ2w/OCmbQJK6Ub
/ukrNfSPTZPTMzR6mXydBSrZu0mL1+SDnE0cDiqIdf1u5SZegWSDjty5XW9/4dy3yZ1jCoOyP1JO
YUFMae1rF6T0B+Ua9afBYMaPyWyYxcFBIrq7G11rnfd+VirkVozS8qPJQgQq36GbXy5BUwtEc/R8
QX/FreT4dcqm5X95K9HQEetY2uGU63b5rEyaPBiKmjO8IOU4yRCU4MxwtULaVWHqafIQ8XIBGnGz
FXNG6C5TB+EGHavqE0Ss1H9MofNVdCN0oZ4oXabun6UTWvlzaJVK73WJEujRwrlK+264K9wWiV2d
OC2G43aBhsQG5b85tvP0MM/ZrO7o+HanjvroN3tohvxUdzaCa5CpRAVmxVLebpWzPh7yGu+S3YzA
lzrq1ggWv+ponZxyG6fZk9sA09zZaMd0YTMqKe6sDNWGXQqCqD7mJcHeSRi64gW0+CwPpN7L33Gx
R+PJVTqkHwGq5Wev2b1HfcB2+ru17Wu5d+shQcLHyNsJ7RRz/ZTFseOFAH3T7MmaKDg82Ougjydi
8jE/OjkKQrsUJAxaQTNGqTb0K4WcwdJaNcJvi1At2mBdMdyrShVxuFSWRDeiMdYq7MdYJME4mLna
KSe3oXTYQk7B2g1I1rQOPrabdtBYnoZYTCrI2sLs78we9NSuQFZ52POmlAt7pdW6kKBdgo8XeMdO
z66v+LwJ+DsVLpnnqXu/dxbzMGprYqGaNs5yP6dTMh2bxIY/EdT+YEwffRpCmBPNsSb2CH+37vcY
s9PhwZ8K73sqc+0zMmy+H2Zxm9YPyYS+QqCV6JUG0oQFFRZrz37aNOWq0HMmEQdrAhEhnJpU70JB
1hZTBHZUHmZUQ5bQKaEBEKxYmQrgkPsYNVKU+VAvIv9s6K34bCD5kn9MMBPTv/bzWqmPOvsFcWlM
2JeT0xXKDeqiG6ofcG2HcTcBVRM7ay6B7XZO4o0j7Em7XPpQYffcBFll4G+dmrP33XbjuTlmyupM
SCd0vH/JFHtPcNNQsnrqhrP1XMq0/N9ot3p7nHpzKUFKa9MLsOO8eF5cMHAfXDgB891A0aP/ggAS
3z8b/OalE1Oi7+AF+cDG9Rk/4g6Xgw+5xDn34COp9nOwlzJ+1HGPTPc551j9WiZ9xpit5rjfT2jG
wluF+Dc8jHIZgXCDUW1CcP3ldNxcSp29HGx9DjglLCFcnNT/wTUcF0cYZ2MfyM0w8m5xY0vexanr
Dwe/xFs+7FyMyv+hs9F6oZzHxEC7cEUwUsy+jkQdhcD1wZUY+n7KOgeKV7PMvfHJEXOyHsdk0uaD
WRjDtzV25fwhgUzT7TOtLdvdxKfEcr1b9H5fTe2qnrIiiaEW9gJ3ahSc5KDhJzIKazfOoka1z+4b
64GnNoauUtGWPKT2XKgTVgpWe1+qQc5RhQCX+OCPbWEFfTq7xkMxztBYBtNXQ+StsbE8EHTb5u/Y
sNVLqczJfLa7zne/Fq0n6m8xNU3ts16mYxGVo5YNQboqez1WRj085StU7IOTQ4T9itHbYHeh7BZb
7Jx4WmbefBXDRWaboPmHeqQHyQilmXanQQqqYCR4vdgkrcbkULcoEx+qLi7mUA1CGk8Ym6zrwZvb
tgllmyxsrBWO4tFrRwe/y3IZnO/cWLL5taJOK9yw0coadlEb19OBrpj84orFWsKx9WL3NAjaBVwP
yZpGHHD9k7M6jbYfVS+NO7/HhPknXKGyP6Q5NcgDXYVSN4O5EEn6MVvQ2AXQ3toljSZLrAdlk2kj
N0fSjwhZsv5IbejQQ2AssSh2ds+9CVegbroPPv3b4QSc3fwAr6Stf2mqT+IdbCMS24w44i/tK9Im
WXhrcwcgrMNvTGagiaHW1fYfK0tovqG/0fS7kruZlinMdXtgnVez/Mvr002PvvCEHyx9haGEqHI9
CxHklOJ+yHNofP5Cf2VvN0jfBUiSyjig/2dTFMGUkhDTFqsb+s1ifGntqkf7bWggc62r5z4l2uDk
0eKueb5fS0sgzl5pQ7vXeDu1o+MvxDV5o2GqnfCV5giaommH/E9e+VEgc7scPEVJc+d0qY9x3Zq2
nCSlj0crn8VLn2GM8dFdCl0Llmw1v8skkdmnXHgdx3JFmIXbDGmx4Wcn0P1KA/ZIPX1eJ+H6n33E
HWAL0T00917Z06xARh69NSQvnea4wur8hhmUBX2KXzLmuU9dE8/GRGAkvixi8/iqS/UVHTwAONy/
6wPiX5YWLW2eiZ2EJTb8yeaswRy7n+qfcKBi1GeBYf1SEJx+zfBT1v2abyCh2R0N7uME9g90P6Mv
Dhly4X/wF83U3oBEkz/bqZ/VD1VSdQbB4dQaTVDOMDF2W/KHt0S9NNlLrvKif6mRz4QWa0zIMih0
aaA/z+b8kV4jfuD1olbxeXEMWBVByjv21QaE3j0rEv5uV9GjzaHG9ctT4aay3I/FMjSP8zQl46Mr
tEndQVvUHmA04N6WujIvWWbRPw/aaNEhzqH9HJthiN3QA1mghXBzIYMQXfIbQRKvPyWILTafNGyU
naNnKfs3EubstnFI6/RDnDYKxzaBDNkDpbBpvSc6Xvu7NjYy9VR6eV+H6GYv7jHWRn385aJe97Fa
N51K7JKc+disejZ9NCdZ/eMN3qBHvSX1FzH51vjbj+PO2NfYuyyfPf5TF8x9nizflkpA7ce/PDt2
BKeRjoqDHaJKYs/Ebjl3ZTu2ozrIakWkYjAaiiRBJ9se75/WQyXzZCLqCbiig9YSgpaOeWzNuMn2
gybML4lHffGgcGoHOrB2FiY3iDJ6blAJCwbnaHk5V7YvGhmaXiLTH2Y6e+ZnL7Vl+zJINkOEnBxu
Rjb/XeySYdN0CMC4TNWD05dVi7BgXlGbZLPanxJrdPWnhg3XffGS1hj3XVwL61hz2wPDcBb7QFZo
IilQQHu5rytIqXjYWNl0X1h94T1AFZqau41P1P4tnS4u94P0hMN+LmFKTm6FjnGJrKY8Qr4Deonz
gyqDYTSM+gB+2DU+GKIT8b7O0hi1QOQVtfGhReJNKwKlJRViFSrJxD+lFxfyUEm10hwSUCQPOQQI
C6ndbOX0JNqmbkiLCQWsjiutCVWu4qex7azPSTfAeLP7TA2P+N7WTpQIXH/DRBPVNxT32HBl7zfa
IY6hRAYTXI/mOLfxqD6UaeJWaGNS0UPHZbKG8pPtKnhxgXTUpvheQ1d48KuiXz8ttiPZbkIZ07dK
q1GVzOE1pmGc5KsfQLQrtKBpXIy5Up5CZ/MNTX628xzXIXEb8OF49dPdbHINBYsuCbt43Jxbljlb
ffY8sfQp6JO+kluSL1/23uO6yu0q9n0qkGZyzHxkVJV0zMfFRHoD7YNPTZciViGqZUBq1nqvzQ2t
ErD71FQopmwMp4tCRyLl1LRmH0dARqqg8UT2BLsEyzzc0p/eTqL/rT1eTBX9FhomdJhRjLoU6xNe
Prud8OOoR8k2D5Sn5K8EGsbnBkKuG0ijLX42RbrOQcUb8+wXieaHayGy32//Iq8sOTUxnRqSY28N
t4s5o2mpNQADRYTUbBMot+gOfHR5QNumP0CXHiM/rfB+yIZ0B+Pz+e3Rt7/9YhVAJ1OCQS0Oh7pL
MgOyxx0Pa5mcOGFrd5D96sK0JKT5tqIripBPBS3rVv3ickzSGTDRG4sHhMIVJl8Ts7K4d+MI7jgZ
nxt3h9WT1pO1IOYgNX25UZXZajtnc2Q8KuuAknAs1MBe8Of/rQaS/nPa2VV1RmdCt1vrtyy5UHOl
hh22dfEjAfr0I3fkLSGmq5LnNrKn09nfJAapgJ+PnGPBNVAwoU6TN0VYpGL5AHkdIWek3X68/SGv
ynfbUPQoaKPSCKQhdz7UQM94rmc6gCAyl+/w8KvD1DvdoUIo5ZhK0jcAYuh/vD3qa0vLF6SRStmd
ZsLF5u0JlaSnaDMlevGt9Okv5am618fxt9mQzEKODQoHCYy3R31lWaHdUBHHzwkxyssy2zBqpSCz
ElHnSn0v45Y4sHRVEOMC8P8zFD0k6qKbluJlu3jOYe229iwit429PSo0MlggVVNPSG6ph14V9VzQ
pJSTfQ3EBtfvRfHQEa5VCjGiz91NqFdPaL+bq1bfOAyvjUIxmco4tDbqQBf7RDRaVXNM+GKURHY1
JLAQLNKtjsIru3EzggSdhi/y5o9zvhtRNMqV4eHgm9Ui/yrRZnhWrKR56i28Y8U8e5RkUPA17t7e
Ga/sx42mQtPEA8fDpXY+rr62KyC+JD9pmL/BI+3KUz4qVFRsCwHMWub7ROnzc5HK7sb5u96T1JY3
XA9GNpSYLzuE4BacfqEOckLUWoV9kaqvI7l3SMHoFsjrGg3DGacjhFQf8M7tajufZSwWhOxUUZ/M
zscWFQvTQv1M1JBkT4XWS6quUur2KQXnbt/p1Iq/LCQ8w6HzYolKh2OiEsFG1OTL26v/yhoYLgeT
XcXJBBBz/ns55tapQlT61GuYfdDVmpJgoBVJnkvYeHh7sOstxkUH2oGO1YZ7uDouw2xq9NOL0zqb
CL8MU+8HI1om9wpCIqIrppZWT21excuNPXZ9ggwqnRBE6dCC2rvc2ynpct9jm3iq205smh3kBUQt
7754GMWnZGnQEIaDuk3/P4+WWeRIqHh5eUIaQXwt6izem8s64rgQ37p4rg/NhuPj0Fus5gbuPx9q
wDwYQjJFSbtptVNe59axRWmGG2Lt0PvJkOMrYWVTwnj3XcTAlAgxJKPrxE6+GLg0BpjlVXkycjHu
Uamag7Zc4vf2HV1GQdUNOClhB/7i56O4k41UBwJDJyQinD9mhailZ67d99gb5XtBnv8OBUF0I3wR
wRrnQ2nkLRxchor93iCoodPgecWftzf+tirn4QwXK0KgHnxhXGguIXceClJ97618rqL0PqIibKw7
gAuUhYsCSG7rNfYtyutrW55kAHAMuBUu1u3P/7MZh0F3hmUuy1Ol1urHPJbrvZsjifP+iYHj2HqQ
tPD9y2iJhpbeNXVWntpJcw9YkZD6LAv/Goi8ranQ3j8eewI0JlUswEWXB3npvdarsrQ6ZRkuhuta
vgz0OgNZTJGv5/+8PblXDhmAM429zqO4eU2fL6E9OqNENI+t4e0qVzXHxio/GylpTmsa8X7y2oWq
WnfjFnnlwwHaRhmA9hN0APPipVj8RNYFmkmnQlTe93biMmRXqlth4PXFv+VscINgw4D0uIywO33I
i03l7GQWcGAnavmHtDaL+8FdbxJ6t0fkYvsTIxNTeBuGxbskUawrZR1tidtTh0jOGlSI1spAs5GN
p8Lv4lIy02b4ovXl8BEMZv9z7tpJRVqc4NjAzZ0POyggy+e6QDQsyObEN++W0TfL+74YTOPOs1eB
twxRp9hhQFGNezeTxbwbV9oKJ97RdhMJ54gdChJo1ws0dJTXI6/RZuU9jVL+Sj1f5ojN8kHCAqzI
sqeugGhlYXZNcmpqmbgh7cEKi8JMT5c9UhTk2SgZIwFINT0u7gTIEz20YfZ6YDxXAgqkovrmHiJw
cyMPfmWH+NwOGgk3KryouZ7vy9gbLPZIXp9s+jTfUf5Tn7CrueVW+m82ffHV6O/Td98QR2hUbMfj
PzeIzs7zylHWJ1SozPYezQbP/4ZdCd3ZYqXUHmgGoqMnGoK06WTazfLByMyk2sF3X7Jd40zmXzQp
+/noxX3bUZ9dVLpfk7b6JWDS2lGXA+n/ISctleFIATaJ3j6/r2xx6P6wd7ZXBIDbxfmt0CCNqb3V
JyEK8b1kD05g2jR9vzjCfrfUBSQ+0irQKfzgjnjxZGFm5Sw62eoJA8bxTqo82Weu2R7oiIkb87r+
/lxHaAWTu5E2gqI7/zDugJaPSSGOG2J1zD0avqOJHFE1p4e3F/D62aKyRHWHwUhQr2Aebu7nupdx
Fa3ExTJsyxJbhMw0gyLGqonaJw2Mt0e8/mRc78TjBDb/PpUX4WiDRGBfLE55ajhnIQpNDceORhp2
4Xr49lDXt/sGzQZ+BvAD7N7lKiIOW/WxtVQnvav6nbE81m0dYrZDcXArJ2NFWm0yoPGN6/21NfU3
XpwGyImYdFuB/5yqEreWBCeQ6pRkRR6kk7fLnNIK9c76NnHP33gvX9kqBvB7pMhdEkjw5eej1Rui
uM686kSokO6qwUzvrbR8N+2D4qPjbEMQZUPQuThoK2JcOvpj7QnxHPynDKqtwFtQTuVz3vhqr0xo
k8neIOjw8si+zyc0TgkSyGJsT1Ol1MfM9ZO7uMBi5e298cpHAv/I3w4cDY/rS2CVh+w39LKqPQ3t
QeoTi1bnc2Ap2jqmuLEhXpkRr7zmbjinDWZ3kTWolFCtQWbvlFANOnTgLQ7pUi6f357Rdeq1UadI
uVg2AqhLNsZs8q7GucO6LWS4hPYFrSy9hPtmNzidKW1uwwK/ovXGSr5yoCH+8w4CH4TRcomDG9xu
rNGNbU992WsHBSw4sP+Ps/PYjRtp2/YREWAOW3YSKVmOsv3OhvCMZ5hDMZNH/1+lf+NmN0Togxcz
gAFXV7HCE+5QKt4RU4F3g855qqAdgWaR2SUI9+utYWRqPLhdVIdJNq3HxhL9MRPjXjBzZ0KcWwJe
kkmKsNvq65oAt1hbvQnXHgxSGQv3awmA/mIMmf3uLIiHVwPdR2IOH2jrtT4iwIv3SCNCRK27ExGN
dyhFZh4WDWvFt7fHnU2Iyj1FAERyUA7Z1swkhnrIxlqEBpKGJgh3T/FOiyGGvSrTvYF4HKW8Fq4c
aKBcf6R5TscMwXIR4gCZIXUxQRNTlL1M/N4oHihm3i0Y8EBxr0cpisUcvR7tOJRg1Y+Jsuouuo5A
2naW7faegB8IyRJ8oryTtvyeuisRbp31IfSiLHYejHlB6TlV+3g6LYqHsl66OGIvrLmdHEEfLwiu
D0gZkXZdTw77TrqrSz2EXecV4UisQKOnrtN8J8y43enSmRVDHzJwoO3bo9u6fduVszqECGKLM0X6
wYdT1h0gj+9Vh+9NifjYdjz+gIuQP+WPR7HT7YFKuD0Ackiy82joM1oryh735e6EbPneQxbhodos
HGw0B/hjPIaFNpUfFAekAYqzloETgQK3++0TdXvhksNZ0noJ9wiUeDa30WhYWdcCJgpHu6vy4xRP
nnM2OoXkwXKKIQ0pv+veZSnK+NP7RyYzgHlPN5BHUm7aPxZzNW1saMSqPOTCqOxDhf5sdTFrDxzL
soB1emp7fOCOuj2P1fntoW9jKllGYcPRXEDpZavioJl94rpp3gYIT7S+Uxnri5ZYCOmuavyw0qD/
1NpGewDvF+0s9+0O4uVElpCDYUKD27JYWkN0Yi7zLhgUYV6ypuNl09M93PPteWdNubnkkyZz9M29
Ms9a04Ps7IJcTb+OWYlvbdn8dJP6X9vqooe3F/N2u8IokSBU6VNP7WgzmJaawJlUG1WgNkV6e42X
c05egYqHtofzfyWbXed6ciyJi6eeCGNrs2fiVK8i00yQ6BFx5xxFAibkiCr0oB7nJjVzCfUEMyAh
PesRI0b1iQbEOHyV/n/YfwIh1HrfTGYjwjtz7nsEtIHWnVNlokE6xob0zpzECC4rc+Jfb6/T64W3
/fHgBygok6JQy96c6ynWs0kTTRN0RbYmYE3b0vhkGggonIqicpvUp9xeJIdprgsnjGB+ZoeiM8bu
mIo5B1adjQTea7N04xkf6jg+5T1Vk8Kf41JzHxu1Nczmc4nytP7DTEA6XJTWzf62+Dqrnyfcnjid
kIEfsyLRNB+kU2Y9A4TAxnGiml181jGaGI8x3F4kxcC7ZRh/xEXz8+11uLdfCPItPqRKj23rotSN
lQq4xMxhqgFzUZfiB9GC5TtN8/4YyJH1N+y7ifopUm0ecTRzU2MC4ByMsnjTT+Z4wWB4whIzXk9v
T+r2XDuoFyCXhhgnc9vW1EXnebxtURXUPMQfQAeVx0J3inffHoR0sqWPsB350pZ4TbLSNY6L7/Iw
q8URrdHoQW9Kbad2fucDQWGla0/5kvRlK8pWKoCrrGQQgbCS4mer6Wt2RMM9v1h6XRc7gfedhaMj
KbsssiGButj1KzCuWmUsWiKQMnV/SghlMPLK73yd2/sQxpN8Y0gp6O1u6/SgyGsL1EkbYKM0PSBs
u67IdHd9Gqhxbv6ObGUQO7S+20VEmJLHhaiYyPiGcAdDEiHohicmKbLk29yaEwKVijdg5E1kOe18
sjsTlK8Kmh1IBZIRbna6MQlB7CiV4ECVjH5u2aIFN4iC+jlezMQEe77Qyn57z9+bokuLHJAHQdEN
yVpXFk/0WNMETdU0nyBujF+K2hVPGf4dO7HC7S6BVMcbA++FCjfXxvUuKcyywdtj7QMTo2zNb8vc
hSLXtkt+fntOtwPhogixGmAFalQ3MCFFw+StxLsVzkOv+bORgz6NjXdzuOFvE9xRPCIKoe6xeQnc
MqbAbJl9gF3Mr9gSF62cn6emh28zqO8v1Mu4mCCcigeh6/bSENjlqlai9HDJ+uLnALb6BDZ42knc
bzcDo9CkpiGPjCM1xusvhL4TkFRVDMFUzdUjemiO78b2LCGJe7n6nW9EoZQ5EYdzmrddKkfF+Ic6
wRRMTa4cgGdg8i3B+O/eCXTBudABTlCP2IKnZqWi92FS30fvDNsUvEI/Ktq67gRPN3OR7Tx5OSF1
Ij/RZtkyqEzOmABer/EEeO5V6WXf1e7OZXRzPUBM5dAAE6JNIQmm1x/HLFIv1YdpCnLDoX4yaOoJ
jzEcTJQivUyY0ftvr93d8dBdIKWgA2Zs42tVRdTLQC0mwH7M+0KFfTrV09z8HvUkvyhaBGvm7QFv
AnomiHWaJKzJANHZ3H+tUuBQ4BlTYInFPKVx8jCv6c950i6koB+1SH9aS3MvvLg/KCdLZyvKwa9X
Fb15oTarzbdT1Z+esx5oMLZ+12AKkyRp5Tt993Eqp50wUpNzuQoj5VwpGpA9gB4iErgeFtO0rNPb
eg7aGPD+qKnHdQTb2ZV6/hj1ivIFU5Tx21xVKcjOsjW/2MI0f8+R9fL2mt9kjvwOssb/X+GXUs/X
v6PIFgE2256DuDJtBHYHUX5WaC/Hhz7SKklxqpTP0HLJPt4e+N7uQtzjlZhPkdDZnBltHigP6d4c
DMO44MRl/y0A37a4S/p9Hf/19mA39xqz9IgdqTlxf5K4Xc+Smrs9DSnSjgll+I8DzhLg+hX7ZxRZ
v989ErkoACoYq9w7W/3YKerxPFxR/pzxbQjx0oHKNmhFMI+6fXp7qNtbh5FQSOHtQSiZ+tP1pFbk
YosmhzzvAWz/4QxO/itvhbVzg95ZOrqolOS4oqWC8GbpEk3H2KPK1AC71OxT1RTOY1kq0Sd97Mqd
+OB2KJ3ME6wtFFn6aNtqJ4lnYVSdOgdu5kynLGqn46zDMErS+t2MaYq3rwI25BM84NssjvK05szw
h4J6FONXp4jGH4R66U5Ad3u4eEz5RtRm0CWk4H79hZpJTVORx0ugrWI56MLNXuJUyr6NhnLWhhQU
NxConcfo3iqC9eQiBctKIXcTlsDnc5fZLJcgjQE/ejCRvo+suq/U8fry3h1IRxDhRdnRB++0Lf7E
+dJ2Ghy4IKUF/lD0YGYRCJ+Pb49yd0IuwYLUUkcCY7OK2vAq1qMtAfLP3xbk/06g2iC94hSyM9Lt
iQLxiEoq8DTibG7m6++V6oXjJIuxBPncrjhveZFv9LDC3p7P7c3HpwGdhzsqMf4N6HfFQXa2vWoN
aHl/rfsm6Ol8+tUi/mvQMvy/DMbRlahfprXltbeFVrsRxLTAG9wFsQtndb6ZQIDhO8EVDT2CPX2n
k3B3fjylMlZ5dZ+/XkXJprSrcVqD2YXid2jsdj4IFaqL8PQOKFe17MzxdoOYGs0sION8NPbJ5rMh
gu8uC2iPwI2qNtDQCT8PnofpWOstOwCuu0OBEQNYhZolxf7ruU0d/qvuuliBpPFfyFz+w0hwPnFD
tTuTut2LTAq1F0dyHmQT43qkrl6iyBXIOOqOkp7TajDRbqLC+vZevDMfCR+QdQJadWgbXY+SLtWo
DWbtkuDiejSWrfLLLOEdYXRp/Xh7qNttwaKR/YE3cumabbWN8mLorLJC3a4xLbBoQwlxvDCM+KTh
GoUzpae8vD3gnRVENEL6GyOIRst5E2G0xuph02Dawapkzod4BcPQr+a0s9vvjeJyaXC7O6/f63oF
rRZqISZSTmD0bsUt61XVX2qeFzu3+p1hKJbKTSfXjr7q9TBp6+ZEo6YbLEUan5ShwPCYXvT7N528
aKXoGhUj0BHXo2SV1+NgmUeBlmJen5fCOw2EcDub7s5cuF+ltw4FdMbZfJi60hLpieeS+i3Jb6tc
3Y9qHuc7R/X+KGxunXuPZ2NzgESWtFpv5S4WyEv/wSlq7xijg73z+e8cIBlCgB8hcabMtnlt4znr
HTiZbqAioIYcntA+IEiKuemc7wm7vj501zkD5TWeQcoOKsHlVlbIrrJGiUuEITQyobh7QvzS74UD
hAS89uBq3wsHUnTpq3jjjll9ZF0O6D1g0ZEhwLl8TXC3U5bvi/tNXbpDmXzoFfgfdvktUX5EIntw
PIzrhDH/1Sq/3z6Kt2efwFFemlQQSF+3r9DgxNmAs0LEtwBJaRRNGk6NHh+MxkQLPBr3PBVuvz3j
sbdeq2kc/03IQJqqjEsGg6g23BnLo6o+0pnaA/XIfXr9PQDZUxikrkAFjZLx9WnB5qWHvrMiFdg1
Y0BERschhdfuw3T2PoE9y0Ojb8UThnjVD7KsaUct7s6qMjKHldKrZGdtdjiw19rGCiAO6S4kAfoa
GBVjvXgkXkt5krI9nd9bShxVa4v9B2NDNm62gtFql+oOmnBxmLvJMv+nudgRP8UVqNiDhdHicMkl
YuFh5aVRjgtMzd+WVUpgS2IW7undWwpYuKwDkz3y9m8mnw4ZHOu6SELcUNXjaE56qGUKrBGUZvFB
9I5vDyd3zOZbcyXSaaT/TuN5CyVoUcijc5O0AZz79NRrrRnM86Q/eiITDwBDswfXXqfvbw96+4HR
M4d6R7JCA4Sy8PUGw2TQyXrb6wMcSFuOfYoYMUREJ3UCbLVQssvrtdtrXHMT38yVHMyQHBmJWLsx
SooSqY1MFzWIu8FVDili2eOhbbupO72SEZ7GsV5fXM0QzqGcVJH9XL1+sE82PMGP/UjdGjUoFe/Q
KsFoIec+SqK85AYC5kLxqoF7nKeoVB+g2pXWS7o2Ue0PMQHPs6aPRuvbA7yhQHSDmX9ul6JWflYK
rQt62bM1SP/tGlc2jM3b42SlQ/1PMQ+xQzMg6WIyumYo62MSwar9uuj4fOOSqlCPdYpuLE/q5CYD
trIocZ8t2FMvytS77U8rTfL8hBOB451sMajuxZ6lkgdyAu3vFvpuehYxhMXHPBrHjJ/pwCRTR8+B
7hXNOm6MhvYDOgh2iSjeDF/SfBoGjArrDtfcMSu0/AC+Z60vetqr6v8UU5uUB61Z1w5JU6UZv+sm
mWLuR3Hhqaemi3LtRzZ57vycCPKI31g658gHlPEy5/9NRtQmT3qHUsxjvA7IohZa0U4HPbWR6UjH
Iv6e5VmiXfJyLZODWwjgSVRy7Fx9TNTapWM6Z0s2M3aOgpNzmt0iNc5O7jhNMIzOnHzN1TqOE4xS
3RzPAmxRW8jkBE8+2Dtt+uh5hc5R8OZcHOYxhUHYUs3VL17WOM4D086Hg9GrafMpWvtclzKjVfdj
EIXiIUWhr80DfkHRv0Lp1/IHlP34XxtNkuSUouAef2gazY2ag1FFcL2nroDYXww1WhYdhSqkoYa6
E/6YDpZ6imgGY0pd94aJIkqnqi8dQW7/DThJrH1dqC2nX0AL92NgWEuHsBJi1/iPDzUSMElWOsMp
BRsqPo1FPv61GmhIf+ANG71DgipQfMzUwltp6E5oXWGXG7XHoUCM49RZVZZeMNoc5scFbQIL3Ydq
ac58avaYoXP3PRhr3drHNp/tJMydLJ/OKmvv4PatlM5ftLK9+F8xa0N21CbLE9BbihYOaKWW9UfR
pUl9XN1JlA+icbr8SU1U/X/Y29v5c6vjzRzU/Sxgj3QJTtxDgjjys0gEvH3kYor+UEeK9mU0F7d9
SjOURw7FpI/Ws85npw3Yo8bw5OiZ/QF9KFynBSae3VNM71M7IyE4Ol8WaHjJS4r9e/Ex9QC5HMEG
if6niJfyGQV2xEpKFqq/1I4WK2EyZnC9UVWxte+V27p/5ciNoKlcInH2rKjAJM4JjZHlkrf2gqaK
7ka66leZUU4nw+T11IIBY1HjpR3aJP02WcqifbSiBhHSHBYgHqwNQn2p4uOJtOh4kWJFc549HNN9
ylIiCmcH0ajDmqKV/aFWJvEjpUYVGX5klNmHJte6p3mqRwTCSzx6L07bG5biu1D9ftLKj+YaDknh
jYWPZBlX3hF9pST+QgIWp3gAp3njHc1Ycbpzh7tqV0vHUoVZK3EenQ1QZurzUnA7+1FUDlGwUBv/
AVreTZGl8qzvBNqo/AN4nNAdSkbdPsAzVqhzJsL1jjP1SnGcFaS00EIp24XjmA8ztihejSKbs+AS
puF7iyG0a2G23YvJCVxser3HSU2af42Ebf6Yoz5W/xKU8NxAMXBj/WktefZbT8w0+wnvJ2ofO20e
/4ER5+KbjHCU509qo7oHxY1H87ha8eJeRh59JUxnbIyeVW+OjSARfNsv1ojfwUXJDKf0Ky0WyY94
tqjM4fnZzscWTQyBUI7Rm4Ga43YP1M6pyg8qD+aCF8hkrZBY+hRN1KTup8PUxM16dIbZNT8mazr9
A4Zy/DFOfac+j6Wbu0ixIdHoV2m1jP+9/aTeiWFQv5elZTYtoKEt+FBkbPOkXg1Y85l6go81H5XV
rD7gDZQEBuqqFzSkTPyFxvbDaAqkX1wk2t7+Ea9I6OtoAjqFBaaey4Va0DaSB0XXijoxjSDvY7wj
5zXOyxPxDNypacRfeOFz2o9i6KD/TCUZ1DdDE07zXSuV5ROXUSWOVboOSHwYa4slPI7iOW7cQneq
LDlhF10Yjs/BrIbQdbsBGQmQMN1vPeesTnPlDueo60blBJJmxogb8pZ5Zgd43xdhtDzqTgaYy5+H
rq8PzYB027mF1aBXKFvRR2t9fTZx+vbteHT+KSctWj+atOan94Z4Uo8RjiOA71cfwE2IpyCal65j
lYYVkuPGQeH5b33Ob+Jelr5B+Wyw50IN3v42N6kDg0qCHpBsEmHaM9cxVwy8bkWFKQ27WBtPq4KH
c11zc/0fRgE1B0cPOjdV4utRRLNU6+oYaegUyfTktpQyc6uzduZyE7SCxiBblL0BoFakCtejTCNm
g6ZTmwRyukUEAAcGq2i9eLIypQsJWr2Avb7ne3S7gnJUCQjEQoCm6yYlHj3qEmh1mYFACK5GPQiv
FR+ixbxTRrg3OxiOlLlpUdIBkX//B/QwNygZ4cliBQBBhvHEezqkX0acj42D3tQL+Bqj6MfHURhK
v5MN3ATmCCmgHskUybs4fpspWgKVMnYjUjBr+s9QTk9tO/7t5c5/SRLt+R7eH0uWZWB4IQEi//6P
aYpqsZqB5nPQwltDRCmKuku6qh4OFAYKAFSqf753bzI5BNQkt4LW7xZwhSjcYukKk5vKvjl40u8c
6UGxcwead7aJ5FRgG8VdKAlm1/Oa2tSJ6kr3gtqG2XuC8GXqfqUDLDtYFmJ1hwVdxvbRQm2zOLp1
t/KmFwuUPEy1lEeRpnry0KVWbB6TIrFS6HMejuQnaxXzeIyctloeTVukSFxlzugGlvRAsw96VCKo
phSdm37vOZr2WUeq8gXxtwnarxp364FoxeheNGS1+hcvnePo0tAiHjCVH+MusOo87ZE3tJ38WIIt
JWIm8UOHBgccpBHb2FUPQK7Knt9TKEvYaCuk22IWSvNgRWm2ntDOi340tlKMvjd4c/reGh54LwkU
ASwAAAbk0vW6ZkliYg2vIh+K6FF6sNGHg82P5OYOHOH2+zEOtQdZLgScukXzxLOmD0JHXV2zuyzw
eqt4RHGt3tsm/Nqrl1LOBjAAZU/iIFTjr2djkAJAQEBwCInW+aFI3PRgGsPeeZYvyc0oSAzLOi4F
tq01sGjbhJyfvQgiqfohEOk9mWnUf64NL9m5k2+XTcYdkptKNVcCSa8nNLNmPeptSdgYVfGi66OY
z06KCu/O4yk/8/WUoKDqqBehg6KC7pK/449rYzGnQa8nJQtXujT4JWqQLY6EjdCIu9ZcF7+F64ZL
lqMMtl/kZb/DG5Uf5nr8V8q+BCCyOWgTXo9vWLh9Vy0lP1wB5wPKuegdO+mDawwvbjHuvae3HxD3
YyokKlEVlZJteRxSaFcNFRI+kRC/NLWYzhUsIX+1QKO/93aULpGEJLTdpRjV5uW2YyyC6eQS5Rcp
pbay/NeqpnfDlviXYdxS7Kc/AZBt8744dp3qbaooFPVS0ppxJoAW47vpbYzyWk3GZcWmkLa5KYbM
cYVTLHEYV3PxN3CCOpytYk/j6HbDU+ynGOR46FBTAtmMkoGzIGF34lDNC+rUVR15QdLZe06ad3aA
1CfnOqK9REi9GSZe2qHLlzIJlSoxP1urYQSYbc2hO6b68e0tcG8olLiovFINlMCI662d9cWwVp2b
hMiLTgeVFvsZIdvsGcmZZme3vW7c62PkSua8KQ8yxKhXHNEfx7g1OnQcNVixU1ab43HwzGb026rh
yi2sgeI2cOW2+NVWWqbZvqahyOjPRQ9x0EoW1HxXy02Kpx7UQfEo1jjVzvZawTWv8IDRA2PKx2Sn
Kn3ne/NzOY2oj3PNbXMbgMZ13zdaFg4mNcQHjbq08TCsLWnn25/hdiAZpQBw0IHZ8BJtvrhtlmvb
5nERtm5XkyOU+SfLS/cMrG7vMbn8dNxIQ2i8bPOBPDdx3UCLIRwKNX5GMFL6JXcjwrYazFo0TCOx
c3PfmxdoQqQ0wMnSLNkcfhMT1QwLVUi7w4osFxK86SmNMvP9l4wH9lLijNnEoN0369dmeM8aqQOz
n/p8SPUvgFYgdp6B27NCXwT6igwpdYSrNu936wlHq82hDvWZ5PrQunOG5NegD59V8LN7Pm3y5F2f
Fqmqwh1D6OrQ3tKvT2burMuQ9nCD3XoxnxvYCCuV8kEpUQtpEVzUQFMXfydTWc2g+2ZKUdznaBu8
e2PKhIscATtpCWm6/hWOEnXkDBTsnc6OfWstlCc0NpVv7x6Flwh0AHgpGUXLlf/jZpjrVJSRbUWB
iHPtA6ST3sdZoNz5fjIK/3NFZa8RSRqI6zxIwBE2Kxq5jVpGEwxyhC0GcfHgVS0PcamOuY/i7Do9
JC6yqH5tRXj1vj1BuUyboeXOoVBDdgCVYbN1VDt2sE1zoNg6mYtM7KxRc9f0qUeN30laP+Gx0vwp
HVSCbPqtO8NvjyEztyBjQxGkFACBb5OfzO40LmVZ1mFf1sqh16f5oKtLvNOlvrO+3GCqvFhecXzy
V/zxFUmOY6xU1josFq35HwrJVXWo+m48zRZpDPrO2mHJUvt/711aUM8SO0hsxlWzFauYF4SmNa1q
Q6jm/2bt0nzRynI+qbILHK1OdgEcNB36zna/vj3w7aKiIQmKkC2Fxge9revpTiqGDqhntGFqeLj+
QBx8Fn2t72za7Z0tp0WTDnNDWYYgZ74epVHm1anMpgtxcuuDxKUxN/TadM70YjosppFd3jsrg3aZ
RzwPAgQBn82shgL5MpDhVdiplNetfgQxTzl2Z1a35wECLlwoGX4ysy04A41q101UV4Rx10e9r1sU
cQ/Ctuf66BTaYVQf0nVp26Ad1D0nrddX7vosSv45zUBSSqBTW1GdprGyAQGQNoyGVY+f+L+/nbiI
z6YUlD9q4LIRAeuELO62ld75du4tzUPWx7MdZmvT5wcSY033gWLgS8EMSYAyD4LfSVncNTt79jIU
H1ZZhY59+Jtjci4HVG6etbRZ/lv7xfyH6H+sKeC7GTq/cTRnQWsUlnNQLYVCLgKwbXdqsR0toJJr
aXSJZjFg3RD36ktPjZzielOirQRWs599RKvr6aCobhT7M9bEzmGKSsN+XKLCiz6sU29XZ27UxTp0
1rQUPpdU1j0MWW9pqMBXOsrO8L7bbzNq3N6zF2G+46eDTmevb9P/DGN2kn9rY+3X74ZiJtkDuLFG
0KzDixLFtGT82pRGW4Wzgij8sYwbz3yc6lmNjoaI5yhQzREDARev6fGJVoTxMkce61aXVCiOSC8Y
dDKUAiVYpbGtnyBdqy6cu2r8aXZG81sXamodW+Sry0PeLcvymBQuWO7MIs0NK6B075VV5AXCr4nw
FIceIF7bt8iuOy/WIkG1ufCWMM+x5LW7XnsRa68GeA3Un0QLhMKn5L1n3LMNMKjRSMtLxpQHA0zv
9VnPnZrre1jakLA2c1mzdvmlN3YjeBq8ZVz3iDi3dwuREiJxVG5pzBMXXo/Xu3R27Uh0oUCLzL40
k2K1T8Za2vkhFcL+mlT50O9UOu/MEWEBxAR5BKW952aOMVgpnOxWyPEaTxGyja2vGGRrubG+V2ON
5WR2IA41rjSIQJtHV4/qhQcdcnxh8T7Ifph4EEgp/agbr8GFwcuH89uX550FRWXZAq6DMKREzl8v
aAm9dV2ptYeJChARpCiUu4OVtJVximKz83h6a2tPA+DOir4q1bCeiONASLsedKGRqiedM4aZi427
n2pqdFL7HgmlHJLdTkZ0O0P79TFiu0in4q3Ai1UlLmncPIXEvcVn0mAMyWE+XODCTZ+GPNuLXO6M
J7WaIH4i4srabuLPKJ8RQdP1NRxNXcR+WmLk4w8qnHV/TcqRplFXRnt41dsVxRcTXh9/iElhdV2v
KF1EBeefUQ0ny66fi7kqLpUdJ79abumdxO/eUCRlaDcBxoF1tXne9U7vTcwZ9BA9+fSvWulmBNVp
4IetVQ07AcvtWI5kz0qVErqFYN2vp5UIbRyo0RjhakxDQFijPSYjVk6Tg9TYew8C4QrBDwUfoiMU
X66HMsWCwkia2MiiFBFpw7A8Va2ef1n1PjkhY9e/ezyQpNxkUsBAajZu8sx6SdAxNxU7xNYk85UE
oY0y18+Nrn8Bx9Lt3GGv2pbXIYSMHciJKNJJEtsmkxisKdEUICphNqK9d0BXYCwORdQUypdoLKIZ
TFDUqdSrcwrjsxajEz2bZh1fFBUXve/JrNbzmdqv8/fbyy6XdfO7dJR1oC9QrKZdtdm4lOBybahQ
HZh7bAlKHGrOuuLEO9Vy2jW341CWpylGfRIm0lbgEYWFjreqT9i1CeimWooRPtjYIBhfB5F1tDbb
3sa5o8IBvL8sEaCrYwfVbqHLYYvm1+QYxXrKm2ZwjognGOrnvncxSkwqd/pWr4Wrv+RuXhhH9pbA
/UXVZus82YVLm5cOhXKgf2Q3j81QRVAa5rQSf/VTpzYfCiOJ4jN3VF4fY713P+EJnHmnSBolvdh0
op/oCnN36KiVq/g2IE7+RH+lxqoNgb7pMfdMUTwSoNRhDZSLfjKBv3LAj8p9KZ1p/pvkDCzN0tDO
P+a6O5k+TdHUPoDNiA0fMxJcPNrZsH53RSTcB5CzJdipap1whohb6KetWyjrMcGus/hdmBhM/M7j
cR2CMTHy6Ehj3DDDMgIMeF6HhDtcHbJy/bdu8DP6CIMRaHGCXGN5NsBSiL+7IinTy6CWJe9MxOWM
tn2EOVdPQT7lyYOcMwYFXO8Yl3e9yabYR5Cs6B9I6s3mmGml+dGps6H/OKWe/cNwqnY54zVOIz9H
lEA5W7OH8EoClsNFqqCJ6EHaThQdW6NMPmODV3mPoHdw5REtGtg4G8Uz+dfqfKcCVTSHglCnO5F8
OmXgRHln4kQ41eIUDZOmPvWFGlkn+M1AzxIUKGB2OKLEJtPpDAetSJH00bny1O4ZGz/kB4GuKdp5
hK31DxqnynQQRLTqEx13K4Y66uHeVXULTjmqq6zrSUnokx2lM8jf1iQ0cVH1QnxfsNvxwpI65E8v
yU1B7p/pycUovUI72VhQtS/rDO1o59C8pjSbswl8X1ZZbXASHJvrKzHW5lrXVlKeLDVQlCn1tP6V
atJ93EL++PfsorB8inH++EdPsvHRSPm8ApcW+7jEdHsOhpXX7nkcVO+LmRtxRmOYsPhgFqb23RkU
ytFNhB5K4FYThwWpmj66eJ22vFfygRoQWAJCRlTRKLhti4jO0q+xZdV1aKRlCVipaj/amFDtJIh3
bhiaqZakCVCzACt+vVpaF4253cZN2JuggO21TU5RI9qLUe3Siu4NxYRkEi9rI9sMuyidBKru0oTW
MlVYUznzpzXXtN+eYrs7FZI797PzqndFgChLe5v7WWQt8YbtibD1JvMDmiTauZtq5+G9rwDtCUT4
0MWDjMtDe7123GMjZoCFCE0nqp5mty4vKbHquyMXOQqfh3hX1tTksv5Z7VFMq1uMTITNnC4f47hV
gFUWYAjRij2+f0IGlSVZw+JeMjbLVsa9YulJ0obNoJUnt7S7IyHhXih2+3HoYJLyGRDMqHVuPXs9
BaWgXJtFuM61w6tNr2WMzGQndrgNaBnFdYnEDETPgc1cL5tCAdJsu5SqEY3LJxSLl8uiQZxcWn18
TKjpXt6/dpxTav50FfjvZrzIAlUBhK4NMxvfraKOjVOjju3OrO6tnYlQsWGpkoS63dj9UlQDqAH5
hdLsJIYSlGfj7GGAbk+qNBxAI55tp5IMyF/xx5bjKQG6XmYtb/NgH1Vn8B4qTxsPw1pHOxO6LVAx
FBVTrgWKp9xB10MZvUH0k058JvBah3JMfrhjdlknzfDVVZ0JSSoD+zXty9tf694MkWCkPiUp/GjI
XQ/bF3ZeRbbeUhfLsgMipyoOlXizEtbubcR7Q9HYIl1lOEnsvR5KGdYRHwHcTC3FwhENEWfaQ0en
nKfj23O6t+PlvSozKljw1uaisL1EMeepbEO8rz84aFkBxksHRDTLkhsj2kuHb9qMJIs8HWj8wluX
qsKb66/sMyXtVMab4jx70tK++Bi7zvCgeHgEm0vlHYuBMFMha/4xAct/npIav00can9GcV+eB3AN
h9iAAOeJfPCtKFZ2LuhXz+LrWIB2FeKUMk4HMbQFs83drBdKhjdhVPb1evasnJjUy1UvPZAmVoDV
1TaLzpYAze67ok2UY9ta3kvSTcsvd83tyU8Up7X8bDLr6UT52559J/a4GFPdQiyrYiK232nrNPsz
lPjet/GN/Jz2ZLBHZ8qsDNWfvk52PrXcM9t5ebL8DwyQ4vHWq5nwMOpVwLShQM/p4CbTcOpLTBnf
vaEk2AoVI+Q92VObmkCauIpTW3UXLpHeH40qSb8IpHgwbWjr/yFzSgr9/gG5cFzGxDGCws71UQHM
u1rd7HZhjIMD8GKMJ7NmNj/ruHn/q2VRtBMr3hxN7dVgCNoxdym39ubOFmSVQJKWMbRciO++oTdc
3WuLHeXBHh3j69uzexX1vPpqjCLrf2jzvTKwNge0rrvIFjjlosCtteqzoP08wSUQpQe+y6wazU+m
RXcPKXxy59Tbwir/xvqxRqM9Wmwt4FGdnceldzPtJJIst3+ONSJu/lKLEi3jzm5xRRKaE63Huo9G
L1yTCGM6UgE71UFRgOQXj2NXzHB1e3SzP2itMpHPxJOGaeKQDN6lKUttCIiL++TYLbFHZX0BJqx+
mucm6v5JFFLG3xWmkt5LZdQkQ6aKDvGTntj58Hlqe+e3pcXVX5TkZf8LmDxqc2mRD//LeDfxsxdG
7vkFVrvRKbML53kGoVJ8NVIz+xsKgPvNlKSgT96yWtbTsPbF/NTMlB3fe/vDtQG7QsMVODXnSB6v
P963Gf4KuJ9RCwVYgZPn9aNfpGD50OPf44DdbjGGQvMXwZRXnc3NloY09f84O7MduW2uXV+RAM3D
qWpstbvb7dk+ERIn1ixRouar/x/1BjZSqkIJ/SFBnCOzKJKLi2u9g4vBsK0FRZqnX+pSkXtKeLAM
OiPNN7LeqwtgKaWTIaL2BH+R18/ltKJxwpy6bLVAGU3rjze0MRTP1jU/o3EYn0pNmFs7eh2GiD8L
IB3pu0Wbdy2+oZitArpuNoKE8FEfxmmWyWGeZfpRxoX2XgF7oh2pCDRCHnV06te1pzJha9SVtIIs
idQ9aqGu36h97Bvq+Pf9kwq27npmfEj8a1xuOFSAV6HPjUfPQxB6DsgglfgvvR29/tVWp2E+UBSD
kxFOvRHvpNbW8nMD3eb7jMBnHxQJ/KDdwAaH/0BVC6PSLvE+yNLsqRaUrhTNsw5Sy3N9qZT9/FGD
zzL7EZIg5Svmlkm1K8fa/lBTv89A46M9uJ+1IbV9xdEmCJtzBlUiG1oMgqIE2QRfmJEYoaXkUXoE
+DJle8lHKY+EmEn/NE9V7OxdbXLd186sBeoNWWsZ8BUKF5h+n2MM23LC5Af+r8yPo2KP4ysxP5x3
fWfBDVLrRoY/Y8ONf6FMSPsqimcrPYZeP6gnHQF1+1ehJp4BGMSrlE/4HrrWQcHsNTpa1gx0FSvK
zNvVdOzxDp7xk/9Q5a79V9F3RbgbhtHL/HQeoSVYPLT/qC1tPeJE2donXILKYe8lVqI9aEbUt0AJ
ppQcooACoO1Tp8hTnNPaBayaCF0J/4XkoJl+UlmjvZclGlfHwkiTBPvrKf6CMTpmyvDbvD/1MCvz
U16J/FmgKvqJLAY/4GKe8viQd4rzq6f6B/0vRK7EH6ye10nXLh2qJE7c39msTtROunRO/HlShX6U
bH2se0Ml/o0uVlj4Ndgj3KyrJNF+RsrQVwc9zjv7lDbd7O68NlHjXeXmOWRsbEdgW4+2+p30o/Ve
ch3Rz6dh6rLq6OZplz646APlRzVG5x3LeB6Kg6/3mrRfrFiP24OplB6ezQlPKpieUwot5P5xWCNk
loNHg49/AJTRL1vXCCCYCyiINo8O4c1cJG6LwbARuyoYgLy0afTw9plwrWj15DQauDDs+npqtrCH
b+/PywuUZjmFQJTTKI5wa18GOJhvdJWgVAaa1RnuK6bqsXfOZnKJndkZqjgp4D+0R1f0SUXy2WDB
SQXF6hHYjqL00Kbl2L/gvO4Wp9wqw+JUKyqmyoskTbOnCWfFfq8LgaSWVyo/i1BMBkXPPvOOAtPX
fpe7bfE96fr+O5czrmdOJwtz35deNu7UXlH117oStf7aFpnxlx2hbnxUpri0dlUuhvbMqTWSJ1Nw
/WBkP8lJ9duy7EBdV1qdbuQ214tGU1XVaUBASOHP1cXjFj0qRU2OV3GVOZk/WWXmfPZoOoYPI+SK
GVsdOt77pFCVDNP0BkEZv+sKq/1xf/Ncpapcr7C+ATqAt4PYscqxBDy9KDFbLxhxLNi11Lno6Jpb
ci7L33K5M8ju37jW6OlBxVldfaOHK10lFS/os16fjsBHcYqcVSxuXWllHwyzNIpD1IfS2UhZrz8z
T0gSVtK6hee9poaVNP/HplSzx6bue7ryybHVHAm5tn1g0BlzdVnuKzU5WaL9fv/LvrVwLye9jE3N
jAzdXcBjl8fBi0e3A1yYPapd2FPx1fv6t+Kq2Sc7jZB4iBJVfk0rJfkOnkD059GNY7FTFLQmsC6q
rA8TXdOf0Au8ErhwOeh7FzivPCC0OQ5Pcae2yfH+L77eCzQxFg2cBRoF6Ha1JwE/5xgUx/kjKrkd
Buv1eMqoz2+Eq+u9wHvFo9WOvCwgtzX8lZqFOUdKXTzOUgnHwIPH+FWj5pQc7UTFbLo6eOM4fbw/
tevci5ozT3wAL1DvaTNeroUtWlUMepk94hXgHKrR1n84RqkQB+v0m2mL6r1amFj50Hc3IAQutETj
CumWWUYyQE9+1JCqEb5JhMahVdni091Ysjf9kEU0faGFrVJlHsJxOblD9igsRNamDjxfFY1bYIXr
JaPKTQWBOgLqDCSvl1/Pyyc3msEoLNX46ayJaHrppSM+TrKTr1me9H9bajt+fe+S8QFpBlN3AiyI
KPvloDQCzE4Po+LRzbPmlIhI++6ie/XbU2ptX/VC20jPrz8lInUIUmsLJhi+wfJU+M+royV7kh3N
9EcQX8JPZoqfpJnF7v6slr/lMihcjrJs1P+MkmkmvSFAiI9qYsYvNhh3pNHxRZdgvl7uD3VFSQV+
iOkr/0E4jhrrugIUD2mbzfaUPw6FbP7YaedxpcatsOivzV12brCLD4+2oEN1mFMzrg+2LRPlM4Wl
zN2Fpc5GKhNvxK8pL4CiF5HTf7VsIX4lrZf/S0g3kI+YaAca0pTNoVS7egLEhmTAM/WzAShNrynN
bsrrLvJbaRb5rijDyAHcRm9pX2mKNA54bFd/KaKb5WvXD2n0O8JBPfRDJe++YoQ2ps8U7Tdd8q7W
gcKitUj4UUdHd/pKa0QbTCBkcRw0pCR7K0b3QnaNfhDCTt+75G9DvTkcwmah53W55PR+C/zWojiQ
duKgsmqSf4bxXwX58+n+il89i5aRuMxBTdEKozp8OVKWWKnpVRAmJA5HPlje+LvtRNbZTHVtP9ZT
BxlkGB7dyWs24uvV4XkbmTI+IiNkEfZqjgWa9e4g+Jyj1bpnTph6asH5btzmt0ahYYCIFc4US/vw
cn5Y5kE5nQvlwY3q9lm4Y/8UVqnz3muQuVBcRwB4uQ3593KUGfyjAvpYeUBvOnmuq1E85q21hcq6
MReLDgFxZrkFAbxdjgKFivQ461D6wTbAOSVVLT7q4Hns8/09cRW7AebCiadFpdFSg+N0OQ7aGQOK
HGkUKLba/0J63/2Js0GLp0E3Ts7noSpkf5qtLNy652+cMFA2jAnjkj/W+FJepAupJ1Qg4DULzCyJ
BTbzRUNJoPG8ZCPY3fqcOkVJcksOM4/V1TQz3rEjKNNAto7XH2mV6dXeqmxCzv3veWsgihvItaFQ
pBJBLgcSYRYXeRgykIeZNsIn8kyrOf36/lEoHr9xVJZyymo60D1RDC6GKOgc5V+v1tNDpodbTKQb
4YKe5f8fxF0dJ+I7DDzQuYQLe/pZeJJCmxV2/Rnac/xXnbTGrtbsjBBp8pJ//wQXkBUJBeTJq26z
Smei79wKyLCQ3tHhRvRr3ME3Xlm3Nj8BAzoFKkawYlYBMULao6/jJg40Z5LHqq+6fS0+WfUzuvXm
MScR3pjWjU1vo0C4UE4xeoGxcrk7aC9heGmpSaCHpvmXZzT4ro6jPesHGhzTliHEjQUkn6VsveDU
qccve/U/yUQzRhCzPDcJpoTK1zAj/YEPptj3uUf/Rk21c0jZ9luaxmm0MdEbx4CghU4sXi+g/6+4
eaVSSy1DqwuSw3BGxYGni1VFG6f6xufEzomEk5437IV1C79GhrFNE4hnECu1k2qNvw2AYwfRJO77
5wNUD4lYCDGUUtZAizrWuqGbnDQYva5+zkSp/gKPlG4E47cffJH+4eO80P6W5jegrfU9ObbEyqlK
U9hMjoIfBHyzIT5Ia+lsjK6DUhIxnMbXHBmKFe36VplGMidg7/Q+R2XE47we5L7TbUpvczwgu2mk
LoUlHV0xdd+YwtMeKxG37T7sWjpAKrifb5XrlX+6ou6h3HiJ+XUGHGU+pY2SmP6MDfHc7KI+tezP
cNnJAoust/Sj7VlNe7YLI68/ltlsfI8jFVj//TBw9S7jgoWDAASaBgOWAat0GFg/N3E0YLGKHyla
OXLaS3wG/UlRn5Ou2OIXXu8nUg/Ml0geqEfADb88MCKmY5IiqxLIEq6AmqJLg6lh7sPZ38KFXB8Q
hkJtja4iDky8OS+HgsgY1o2AZdWj1XpsrDw6iar85/7nu45vNC88FB3AObJ31wKsjVnZYa6ggjoV
bnIwvUH+HHQ3/1AVlbZHB3Z4zuJ+S/nxzczpchOzfynvLcgALsI1ybg1s6mmrgHXQWa5bfvZoETy
WV/gKQ9KUso09jNz8LxnbdTj4iMKWcIEamhJFBRKVQ3jLziV9uo3JdWz+WdZ9cpTk82l7o/s3mRH
ubv5Ypr99KEa4RZClnJR7IpkWUp/EKGOspFZwvZTK5n9yCpkbn2JInF/iiOl2Hr6XodYaP2LjADV
MZBE68KBaAaSRLtpAqt3hOXHbtU+TnqsvnZRO31Te9Gd2jadh8cinqSxES6uAbZkohwNDOeoWWjE
jstNpOnZlBtpT4vXRIxtPzimpF1kzIr9SaRel33tklzID3VWu9UnPv0UPWhdVv4LoDs2vtu1nPSd
mlCC/XR/311v7sXpC4o5+Q/Vy3V64pGxeq0ri6AzqNfok5xfNHQd/twf5fq0wirzQE7TcKZztrYu
SZw+Ab8Fl9OZgPD7AshoshsjHrVn6KfzllfFdSxasBloTcPRXZh7q4+N3otuzCGHCetgUR5MV6Hd
YwGfFbs5tsfvVmZYv+/P8OaQLKvN5iIqrTF3rsib0UMDOmhw9dq1g2ofaun2x6oU7qFOsy3zo5vj
LRJFYIe4VNckQRurhAI5MILSOITimA5x+E3PyuKVxi9XTNLQRtm4WG8MSe0G73aY9RygdZJZNarG
OycRAQhpeVbiptnpRhOfsVNv9hmiOxv5+Y1NA0MdTR3yBtCva60UhMyErN1YBOaUNUdNy6enIWuc
R4mQ3dbxXF6Cl4FwIbMS3DkKJJdr32I6c+ao2h0IQz0CYZJ21uTAKnDtrxPiqV2QSuF+bM2h+ggs
n55HVrBtd1bbmsUxMQw0Fi1HthPGd3IoD/e31vXVwDegMwTiiHIANL/L0FFImWWUWsvArYsOWV7j
IIu0/pcCV7EbG4ox+26QYiPfvvXx/zvoEjf+k5CiDCvnNoQFp+JtdZR54e21MkJ5U9Wq/2GdST7d
NyVVSoTLT/nPUBPC+gZcGajuZqkdS+6LQFeLbo99+pbuyVtJer3O5PQUc6mrQHdYT4tmF+gWrQxC
1NUT31EVZCMjIxyeOb983AbLncrXOy/8M/WVO37Q5yn6Sf3SbPwwz9P3aiF7iyIGnT4SmKVls05W
lXjwai2E5i/QivSVlira3Cbv9UNmFFBCi6AdTHGwmqsMplWMIUYuvAxmmWE0apkSsKZTn+7v0xtb
hhRCXT4vCQxR8HId7cGclUGpwVFHUjmjcz0T+Mo56ELi7v2hbtxaS0WClJKcRSXtvByKrvDcx6YN
/Zu2PjAFgSW3yK13SgUsnw02L3UddO4WBOPlKJCjpETFAsGCoUaEXxHGczdncn9/LrDo+HtWm5Li
OC0tkCu0u9f18cLrnRBI8BBgTpXPPxMg7vMvA7qD/GAUUZlXu1nh+v6Ry0wp6PgmopYHt5/1fldO
WIJ+VmcNAzVMbcb+YCdxo9BpxWjyoRmUSf9TZML4BgigSk9U23CY19NM1XZGZ9XRbk5j44tq5rxa
JEgS94nHfIqaqz3WmntorBowUYungn2Oy1FrHhuLt71PwaSUKHKRrrzYSjNXiW+lWuJEvqyBe6a+
LFMlPk2OHmn7fEJbdV+5vVlBZCnz2Xd6q8nBAcq27X+pVT85585qizJIlFxNdjqK2eJkWkNPiA37
toOMF9fFbuojMBBhDmRV9LoWf+rLwqkOLYmk5xuatKJnjbup25VpOuWfogiIVun3Y6InfqrqY39E
W9bu8Q4JzfJc1rlj/y6FPnWwxtxJPKCgWZqfCsTGQEvT6HV+p5Ya2YGTVmpxgIeRhP8w28baGdIN
bfAioaFSgS97hLaTzkMybEYq9yhYrSdzimT0w61t8TMcZklROqsRIW0om9cnbFOHXxOlXbG3vM42
/XFo8Cd3ElOpz7GpdMmrM6HkiqQjfpCNb2DJl5+Qg9S/R/0Iy9q3E5FO3R7h3Fb/BxoxUQtdNiRZ
ZZ87X7pu9iw0dxswLGWDPkqWlPjRuUXn4IUR2xIHduzf8uJpbnmzn0I1LHRfq+axPhqhWiv7rAsT
59s4cLf7g23I+RXsZ+3wpRBw2oHmnLSftUEV1+9NK/k1G0mpQw7qTXFAgsd1vk962X3K1Rx9mTZr
5PzkqbHMTy3aH+MB91VuSt/pGrjT/li3afuQRpXSnkdN9Eg7Ox6RCronm84XwAkK3yCXG45Y3en/
DIY9R9/un8IbEWURI6CsurSorrr4Jtu2KDNFcDGkKPTLuUfpOapqbyOJuhEkGQcs6YL2pq6/iike
Srol9pR1kI8ZjGjku5FInjrIQj41ErGFLL0xLbqWvJBh9QEqWT96IJwMOj6IdQBVrd6rcR1+1WHk
bHBor3x3iZRU5SjrkCDisLdGy5sitMfYRrYSuIYXvoKPaX8CL9c+5QDb2r8iOnLzC5lsMZ8nUeL4
WKVezZbty861HoSRWtnTNLlpvfMEDeWg4TZsd0rr6N+R8dPlczsNU7qLGrxy93ZiFjWPoTD8N4n6
HHXyWjHSL1Y7q/ELO95on9J5truHJgGw6Y9WDxFVVVo0UREKcJN9BUeheLi/f5Yy7iqGL1bQyw5C
/uFKdFJrNa+xzQnwuSn0RSkcCag0cmkJWgDRlUxFDLawwR+psQGNzVLsf+7/gLelXP8C6gewInj1
gH1d7SwLYsS0uA4EyDrY1n6cPfESSiUt/LwJcV3u4sxTd5MurA+uraTzY1fOotkb/aRrfpUVNAcd
V2kMHt9Rme5spQ27Q2Gm0t6hUlfHpy5skl9dPc4vBXDzLXWgG5egbaC7y62OMCKAmsvLNldxxhp6
sv0RzJFfV/2+QlJsF8nmA9mutZGr3MipadawbSGsaIy7ylUy1Hk1xJZRpnLmxrfY1XuBhv1M68ac
50cO0kZbbXlyrleHDA/sMxAvilbL9P+T5PI6iKuky4gv2aQ+6UZXwlWULTL3eX3GbUwNpmx2Qca1
9sbOvBECsPVBcgWDBNrH67aR0tsRYnW5YKrUG3PUFPd12G7xZW7GNcgytNpoxV4jxkpjREk8FIFR
lf1OkXhEzmWj7F01HTdC6K0J4XVBYR6zIgrzq08pOzOi/s9QkRsOtW+koXYqM7PfWLEbG5K3IMIl
KA0ZFORWjZsRKi6KbZYIujh8gqBR/uhM918DTbMHc8yi/f3jez0pyDEUD3TWiCf2umThpiJFgc+R
vOeb/CEHq/o06nLayJuv57R0GSiPg2KiwbZmrtSRCTAP1ZWgHLPw70WmHAiNnYtnLTRDdWeEXvfr
/ryu4+JyujhmcB8pfa3rmr2GSviQjV2g9kU9Hjqz7oZz2fSFeeizPIp88AJOfa4chxBpSdfodpnS
heGX+z/j+rxTpmfOPEuARVlrh95G1Sc1Ups26MsUN9FcNZ9BF+s7anFv6nTJzzi0p42Td+trLwJr
XPMUjtF7uDzzkaf3YdRpLeSRIZ2COlU7cGpeqkQ+fq1DdAZBKraMj98yiMtIs7DlF8o8nlcgxlfl
ghoYU5dBogm4SWPlk5d0jfIVQYqu+wiRqI++VN4cT0DQSmpUMJJxt5+1TlFb6C1gMne5ZnYzVYZC
/AL47KU/Er0BsNzg7hp9HLrWdk88J81fathGCawdisJfE7NXvL01iHx8VsIpaTbqMzdOB+g75LA5
Z6QzaxmSsFa8uce3InAtrC3sIZ8/llQvNs7gdYxeSk2g6wFHsVPequX/idEtFG0cg7ouqHl67Usy
hnoXkvj0viqN5LtVjPkxQujpsYud7P1tVAbnEYjbG9U1pBguN0tvD203KrILZoDwp5Kij287aEjd
Pwc3PiTdUyARwFd4c66voTlRaBXFjGLnihkYo1Z8V0VnbuSD15fBUkpflG1R+VrY1ZdzcUcvqsrY
4kOW6fTNsPvxidehfjYq/CH+hwnZHK83uAwP9suhYmLFoEuzC3r4psgaQDirjVw//g+jUIJcSp/w
aNelSImiXVwYcR+Qhvb7SBgD6rXVViXg5uKApQTHC/abes3lXHQ2n57Gog+Q3/aOqTbJE14D88/7
c7m1OEuTzuVmA2B0BXtotCaNW7cP5qKRr22vJ9zZTgV6zFI2CijXQ1FugtFGPxD8H6zMywmFXeXI
OR0I/p1WPhSmm/0OpQ5lgvbdxm19cyjQwXhNLZ3GtfIv7NKo9yS4KJ4F/zi0gP3YqqkN9MqWQ+j1
KsH5pJT2tuOA2K5WCeDU1FZmsggGocwxKVXue2iUHO6v0vXd8f+QXwDKSYivRAkifQxTPFSGoOv0
bt4XNFZO8Cwq9TWJWFreSbWZ7u+PeX1JklHDqF46uAvUeXVfgbeHdJAzpiul/XGy+8nvynoxTtGz
wDbs5Ki41dbRujFRUFMoBqEiTka37qPj4oGaBwz/QDVa4Iwxor05rh6vsWvXH8JK3/I3vLFReA6j
S7uIZiJFvJqk7UwQOnp3CJQOBktn463khVV0TJvee/etxcublzEPfsr3RMTL7Z+hOgLRqhgD6erV
GQ7D+ACDdAv7c+sDQtWw6bqjFaSuq5SW2cN/yOIxqKvWrvALyXDPqTo9mYJEd7qvxZzr78dYLNw3
KpnQ7Ugm1933sqfda6c1As4ZCNsQNiWiNVluZhvX1a3FAnzDsUbnicmtFms0qxT9+nYMQqNqgiyy
9VNpoGWPYlC9sflvfEayJsok5iJaRcPpcrHsiYZHKDw1kEKzzvHUZ/tYumKXEByPvVF2G+PdmBp1
IEIj+HIQ3+sGXmdVqt0g9Bmo+Cz8mXDBQkIwtMpHHgDWxn18a25IZFnmwiuiNL/8lv8kNrKSUc2u
0IKxrpSDW+LdXZh58VLNKOjX4aZI8nUgoQFAhQtEGKw+fQ32yeO8rZWCtpmeudazSs1zr5Fv/Ciz
onoIAZ1+yif0g+5Hr+u4vDRDcVfgrWsu8uyXk6xGsG/YQQ0BSbd60FJV8SM8LI7vHoUH/AJ7JY8m
V1yBMKG/pHNWYFRr1nMznekOIT2BYEjdv/uVCxoEBTDGABBCMfZyOq2Ns0bRcKwbo4MDptnhx1lR
mveq0oCS4qvR+KexqNJsvRwFXy4zLTBKC4RLTsML3tyHCDX7VWW+V5idOwUIO2VCcMUQGNc5FDUp
LYZnPAYt8HUfVmSJ74yW7xw7Fv/DtwPj4RJ+F6XudTc3r6hAj606BjPscr8LlQwtCGfrurw+wUsN
l0FI3Emo1wjBUqraLCdU7NnuCv6Wg+YrST+ebBwkDvd33a2hYOtDZyf3oEC92nWDa+WmI+o5EI5L
15fMI+58yBtDdurBP/7z7tFMoBpoAS9yllBFLjeFp2MfxudSqVV5SI1NdrGXw+AesWt8r5w6mwJY
FQrxhAvwIWuCuBRZLYdsUIOmiby9jm3kDnWr6v2fD+AyZ4h7kpfVGnzTIhY9Cmx5gDiWYkefHW3c
IpxPRqZsyTteRSF6ubwPlkoOrwV9zdTWDUgheJc5gUuZ+u9xTNq9GJLs0/0Vuh4FFgihFVQxFz7X
/uUKRYOZxaJBIbMZZXOi7j8/ua2AfXh/mKttZ+BIRyiFzryAv9dJ9dDlbj4oGaWEBc9SJB7eoEaN
SY41bW2EqyuKo+Tw8qYRzv+BkrqcUWcUY9NbXh90qQy/2H3W7dt81k6TmrdHKastMP311Di6yIvS
fAf3hGbM5Xhw+5GfyLUhoMGsnI1JT/2hE/Fx1OTGabo1M94jPEsWXW3O1eVIUw0NMLPUIUgxoz7Q
0qJNmIzVUWiV+G7G1daL+K1ScFEAWqISydIiPU87fj01p1PnyKHYG4RtHO1i2OCPToFQXVeF1QcX
rNfPrJusRzTtPFjVuneiEzqcZiBzQarjITgZpfnBUKetU3iVFfCVccpA0VJjrS1nVZiKE6erOkMZ
g9ypJn82jXk/Vm31HIti2DUorn12snaLnXtNnaISxg1qgB/CFYTezOXnH4VV15DB9KCjNu99CtNu
Kr7kBtTcz1UFBepn5M5mfgRZbepP1C0mFF7a2pWPQ4z+80GGrRViwdOQVHuNqb14iNGZO/BW5kw3
u8BTdtBFFP5uKbe6PlXOXPnXViIrz7AUHVWo9EVaNLt4kIl3bpPMrQ8dHsHlhw5jFu/7FFYi3ZMD
V9LnuZcrfwukq2M/qTltexR+4sjHcWIy+n1NdSrcVRRJm/eWBPg64DXA5y0n4YpCRY296ElnjMBF
AlQFPKDzHkqwDh6NMpUbQeV6GzAYSHAIW7zWebZcLkiYO9LIZmfRuvbsv4zWraNPdTOY5V6PLKM8
NaYV5gFdy2mLqHNV32OavJNAcpCBUP5apfi1VXpROmGnkTau6RteJs845QJl67rmSXZoYO6sWshD
ldnhp/uR9DpgM1Fwtjyt4XQx9ctJIwRcjK4pjKBCMmQHa7Z/KOxq2iA+XocaRkEtCjcUcPaMdjmK
LuYx18PEDOJIn1Lfq+ys+ULFU3iMBk8d6ZpiGDdSyBvriQcSoF/MPShWrEuKloIe6TQwKE/BqdvN
NppfNBuV0twJfVTaXY6YTQRqj/jzcP+rXs+X6I3ZOaWlNy+P1YIKwCyzNZhmAF7LNvZNlVYTHU58
BQ5xGRehbzZR3ezvD3p9cwAJWhiHFIkX95/VUnpuBzADGji4Js99kJHJMHD6H9LC3VKmvN6wS1ed
9wwvbROU/uqSMqwxaWq6GShs4nps6OFLnYuvw4yGv9nHX6WCk3PVmxu76HqvUmZf1B9IAHnGrd3U
FwmPITXAvUw2UI8Uj6N93yXyvQBDCiLgBRZNzEUkaM3nx9NMhbWGxMTguHI3CiM6tWZk+QKp0o0V
u+bv84oijcEW6i2pXcPcpamDfhONGxRqVNR/2on3wS4DcgVkhV63cwL8HIbHIioSZx82kaGhcU47
Ak0Wq7BOYxp14sk2Qh0v8o4qy7k0QjJVoriscqRVBBZgrdWU2Rb1YNlLl1f5UtkhXlJBAsa87p6N
qRfnRV16ATgvOQaZOlhwK2CHZvt8sLXksXSF1uxwzMXLxlUwnjrIroy+3t/x1xuCiIkwKgpEC19z
vVQDAkcOlK4wSNWq+xZlAg0/GClf7o9yDZFfkImAIOkhs+W5rC+jl+YO4QLRDgNkZTlUQMew3Las
HGeioqccesY/AkHczFrgH0OJb+VHtzNQ75lAePUPStf0D3qTKVuVoRvTdyn3YsdkAc6DK3H5u6oC
348ZeYegmCIQCbyZPeEPdTG8G6yzcDAWaQOQyEu5fHXc26lKIoGt7iOSsNlOG2V3UmqEXu5/56ug
yRmAt7QgLSjNUGG4nE405BVWJYLCAq3gF6+O5VlAYH7WnKJ9xO2+3TJluIpiDIg2CcgqOkG8J1bT
Is9V5lKhHGkOnfcUt3j6nFCtEpU/JS1q15VTZn/MZp7QAWJzbcSZq9WjpQ5knRuf9VsYfZfTRVE4
C5UKfAVm76TfJV1ZNFq8rNxIa258Vm4i8tpFCgah2tXdW5VFRnc1p57XxrNyzHUzlL6e9tUTenOx
cbSMeNy6H67hzEiUItRFi/2tm7euw6IXimX3hK7/OKRjv2vKtM4OZR97r642Oprvul30J8dzD5ge
mLs9sEjh+lhQp99j+vHh/v7WuvGtF+YXjr8u/Sts5i6/dSZF7BRkmoFhSzgIVh8/hLElzvdHWfbL
RVBk0miyLkhjYjD2cpejjEoPD1OWWiBDmZ1bgfhHk4ReoLH9NjbPja1LUX1hrYDK5Q5ZHf2wnGVB
p14LhlHt94mdOoipWEhSK2OxM0vH2IeaOr00drRFkL81SVCCsEFhdzD0KstI7cGIvKZBYg5ZpSdg
v9PLwkL7XdpD/977HkIUj0XSGcAui2LM5fcs2kmC8NW0oAHDegY/4Jz1vMw3CKA39gaddbpElJ8X
IvuqqKQgmVLzjOF8pEKckkb/25KhsbEBb6wXu444s9RfaNCt1iuRkVMlCo+9yO71QyR18QiyFeyb
0drSnzLd+ZzjGHQoIzluhNWbQ5MCLxoAi1HBau9jO1MooRHpC8Ar/ygKJN3trNC+zp3df1dxR8Lc
yAtBDttbyoc3Ig/+T4tmDMgrKuCr8xA2VpsM4awFZWj2T1Ei42PftslPBKjxdp3r97oGcjvzjAdp
QRUcquLaTwgQmKYtuvUo8zvaa6HU3V6d6xTnxR6s4P2zfmvXLFVwdgwdSeQiLvdm3UYqpVfcRCJM
S/ZpkcXHKib7uT/KmyLMKqRQrzOor8IP5JZfXVFyCm2gzKYe2GH1OCKikgvlwYiVD6oafS0U66D2
zr+1YX7sYu8vrXF9DDIOnWVAby11ZxfbW/jEW/MGB0YdkU4lr6r1D9JG3NHKVKdj05Y7uw2zxwIq
7/n+vG8EGa7FpTDCS5wy3yoVUEQad7OokZVMi+Jzl0VZEKWJdZibeQvecmuTLlQ8UPN86CsXNlWt
uzp1GEqFxf83Fao+MOLZ/hrGYfqQhV773qchnTxgPCSTxE9Czuo45qGimrObmYEsuuKFAn2291Ag
3FWKGh5Vu3beH0SX4hZlLXRGoZ+v4rWWNlqEtZ0e4Nw84/5q6PtENd8tQMOsAIiAUqJhyNt3tWCN
3c0JnAcKNY4iUTbV0v2so4uMptOWyPWNHYg4PTh1lX+X83558oRuhNDM8NaJZVl/GpwoOgt3qDai
prZcLquTR1MDRBcxk/fZVWejrwczj1QjiObWO9GPCCFPluHLVEx96QMXbBvkb4zYVyr4G1nfhYdB
x4fj/kG4sTs5AOQT3LhEr7Wq3dxQM60qtDXzkacQlVIZBgosDmA+g4czqZluybHf+rwo4prEHDTL
r7ph42Q0WoXEKKjAcNpbqavvStHOx/vzWpLb9dcFq7IUuXm7Xamv904jUkOPzMCyhn9soXypJ+uJ
nsQr1/1nN5le7w/39h5djfeG4uAhA9iZx9zlpnGKQjemSFhgEZCrPCE41ScPvJ/mYd9SzIj3+Zyi
Ne+MmXjg5RappyHCt2+XzY0of1txWtgPits1ryLqLfMzgLvE3Ydjnyg7TSiGe3KUwXlp4TwtWWwy
4jZR2rketIqa67/6PEWoiGS5S57klGQenouG98Wy50nsRJyTOUmcX9uHcNbV7DTF0oIeoPRucYb3
37c+1PWk/2HUk4n/jewVhTgfztU+HqX5Qwx57h5GXW3dvdEoJrBJGE2wYREfd/d6w9PATxVUYn3T
iXU0tkYn/MbKt7+1Ih+jfVYXaXwwwhR1RhJb1LQGQd3qmIO4yf0pzIrPrhPq/0zUoIddr5tTsR8x
qOHpoIbKD1tAT32xVBHpT1VcyECPHFHuutpsvsVTGIqdEaud66PZa+TnmnfKT6GoVCTstjBjfyJO
wn/SlOyfXO377DQko/67D+GM7WAMNR6Ba0B9tSi87FeUe7A8a70o1D0WbN3/cXZmPXLbTLj+RQK0
L7fqZWZaHtvjJbZzI8RJPu27RC2//jz0Ac5xq4UWOgmQXCQwmxRZLFa9i7Nz3DY2vw3Gn2RF6hrf
1LXo2WJtUyBn3AuQpWXtAPwZ7eV4fzdujSI5KawxNdGbZLAqqe57I5s/UnTLV2do0Yo57+nEbI3C
TU3mxZudh8kqJAvgE84ClOjSdkN8NMTknKZQ7HkbbI0C7pBHFdmlFFG5PlgjN4vnKiFzsVTxZVGz
8Xshsuh0f8V+aZWuz69kj2AzyGe5iRcT5cUWjyFqm6WJvPIsm2OvFa8UCtcImehHPM8AxnR2TCq7
DKhYHlO8Dv/BQLMzjlrq5N1Xp9aHf1RqNOner9u4K+BHEjVlH1cFpHO9CPFcAakKwa3aaNN+K61W
+zSniuOgNmIZ+JmmnepLoaKfcztmZ3py84VWw95Df+tTIAEHjl7qit1QiHu7IJdB7Pait4X2HvJ9
/CdaA9ZOOWEjNaM3iaIdWhEULtYo7sU1FUomJICEnb/nNIyeBGf/kA9i2FnWjfkgoELFCW6IRMWt
MhdIBwBMmlC/xNMIIc0q3UOhON3OTbQ1istJ5JxA7uGwXH87YVlZScDVL8mggSMs4L6NFeHq/gbe
uO+Atf6/UW7BfSPKv+2oX4pqFK91VtifYZjpfjEmS6A1Xf0lF9Xeo3NzaibUK/Iljwxi9UYZomwp
4q5gapU7+ErnTc9N6Vg7C7ixIQCCAhWTGQNFj1WciZS4N/VqMi5paOnHMfK+q+psHJMqi3cWUR6j
VRBAbZKCgGPzUmf3XX8qXNpSuwW4BlscMKbS5PZ86mc3686iK7MPdqN8LuOlDdI2NL/d/34bS8nQ
zI4dzx5Z7xLD5TGb0wW8tDygTzkh/IRdwl5B8pYqJ4sDTA6hDjIwapLXM2yUOZ0qLzcvedR+DC3t
f6JwFWhyw9lVrJ9ekhxT5ZvTKO8Jhp8X2qEo2ehvLmgRnyTrSAO28qNh/JR081vf2stBW/bO/9ZK
cEGChkCpQLL6rn+iQSvE0WdWgnYW3sTz4p6jFD+1++u9VUCkns8fZUnBLGZxPQw5I+0nbzAvIXR6
wAJm1aBfLBbzQzJiDH1G1jMa3hX2WOav+pJRO9V0hGzOJr1GjWQoc/YeblsT5/kEEYJID0Rdpuq/
YRXB1iOTDIvzUgwYP+PiUZzU1N0TA9ocRcpPUkXEH3ANN5moRPXMz7w01tSfK12Y50Q07X/YzhTy
AUMicsm7V4ar3+aSLOMcoxphUp7NxalR7fLJxtx957zeRgbIHBJhD1SH+ayfuqNo6CFVtXkxBzU6
CxderZdo/bmu+seXTQ4FtIRSKK2KNaNpRiY/N7qKG1iNLEj1bTJ+d+JdLszWjEDngNWiui1Jmtfr
JkQ+JIpBrDMsM0WlI6UiE2WWR/4aVjtvlq2xIBLSIgAzo1H7uR4Lkin4c5v9hpJ39G5qjO5gjq5y
mdvK2zltt7cTeSL5m0sn0qRMvjpsw4Bq/6RY1qUa8V+3IrP6UJp9+QRAyf2ZgKL2G9GrO3vwV+Xh
OpwzKjQM1JCoGdBJvp5gUvSl5nSqRerIy+zDQon+3zTxyto+VnGNC3nDwyHmfabXbzoiDcspzNvu
+whMWBzmThetr+Kc8xaiDpGC8h5HFAEwd4ClKCSjmUfUUJ+tuho+hl5c/ZW2SEccBtPMl0MGS2jx
jcKL3tqqSt6s2NK+UkRtW1/v0vBLPeDt6euKSJWnncgmF3M9bXwU+K7wQWQrezVtpCkSq/PsC7zv
0KePazy3xP1DFhJRzF7jQZbanzqRGs95iJ0PnhVYY0xJUrzDOK863v85t/GGX0GGIC83YMPrdE7B
+9IeysnGnaaNjviTOjDLZnfnXbW1wcgZoRzQONe8dRlTH3AMyVrdvpiJMv2YRr074IxRPIddklwW
qMW+ELW3w/DcmBrdNRrDUAKAf6w7FULTB8MaEuSSuuiHhg3IWytK+/v99du4sgnWEIvBO8okdQ1F
tDphuksnwksZRVb7Q3UUHZq9h/x86ucOtgDLJBCwi6LE1Z+4ss3o0uYY3vqI4uZdd2gKPUt8L6LH
/AUb9eqjWzV69uKkYT5Cyret9JIkSxld0qHMHR/5xcLY2ZIbkYYrgKoIPFSunDUKYZrGkr8iB8nC
sToiPYcnSQ9HqUJH4/ErgeWSVluyHXfTEliWcsk4hQ7Zdm6fm9DrjkpRKU9ZPfQ7Q218fnDqTArg
PXFqbX/RiFxghTAzK1BfqM+0NHcrZy9l2xqFipKszzEf0oLr09yrwtOjqXQvymKBhDHwfBH6Eu4E
6I1RqFxxW/Igolf1q1j5232tF11e97HET9GoOvd2Mj2B29pjxW2NQtdEh8BOp4hG5vVc5tozkzQB
tVS6A762yJQ+19W0ZwFxm8VLuCU3NZ+Fa3Tt9zibGcVdDi5l9oJCqpp9NeP52TEWyGRxckxC+0Sf
+n/3j6kMqqugCzKKPg04QoQO1pD42rGRk/cy6+IQ2TmeSvyWcZa/u22poSsR89nuD7ixluQHYHvg
7UCTWFMmhSjAJ6VCuaCWnhxq00iPSWcXOyf3dhQkayV6AOo8mIm1shWEEhDdw+JcDCRKzl40FFBn
KZw9OhfoERbVDbIQmhfrL9ZandOTXHuXiOLpW1hN+jmBNPH4KNAxSZwk4w562upeFK2Y9Dmk3ufI
+uQA/vEvO6M5+vBc4MnyZQBcAPZdgwKTFE2zDgTKBThA9DYNznTOlyz7+h9GwRZegirljFZRYWyt
Gb2nNLz03VA/Ly62QjEP1YdbO3RdiGwUjnmQkcpfn1cygqhGRju8LFCr/WkBtzxG5Z7NyO3RAWMA
bRoQCSw0eCvXo9hz33vN4HgQLRMzuahja3yso8h4nUHXaGdz9rzPD68eqAb5wKfKxDt49QpGMgMr
NSqxF3Br7kuoZuJoN8berr699QCo0BqDSQBKVF2jp7CIGkSSF+ElXiqFlHFOz2Kus8uop3sukxvH
lCyLJxAMaskaXHcfPKOpXDMLLyH2bv/Qbkze11Xj7uBdN0ehSQxNjZ3N4+76Q3mhVy2j04SIFDY9
zhdx86wiV/Tl/sfZXDZqZbJuTYt73elL3RhX0JpRcLILT6oexWcrWfLXUdZfHx8KAAHoO3mUCAvX
E4p1r6iMvg/5JE130HThHsrQwVq5z/egCltrR1jg4firCLguLVl9N/a1SnOtxLP+vbuMyXnRkz0t
la21o+dFqZyTxD9X+yBrtD4eFXLFOHTq56jyuHtiG6OysRxe7q/d1oSIDQAUSLXQtV1tBmHpCiTZ
ObxkiPMBYE+ss5OL4fGYjVkP17Wkm+PAsIpAaoQlo5sY9CTjJfsjK6evoJv1nRR7KwAhXyVvH5aN
18r1NhCKWSR5k4SXpjaUJ/p02XutihM/EWrx2VGX8vnxpaPwwg3G/qZfKJf2t2QrRnSw7gDnXXo7
rT4LJzZeCRN7Lj1bHwh+D8hSOOYSWHo9ig2WV6S4oF4oZ0ynBceei2ku3qf7c9nacQ69GZrlqEUC
2LoeBQ9v+pLdGF4MoSXHCIfr18hEBLPBePZ8f6jNCSGDIpvGvxrW10OZbYUSrsdQAMP1v6qqnYME
XNPeum3O6LdhVkGhxaYqLfqFoFD1+quaWB+UyoufagUr6fsT2tp3HCDZCCQvYY9fTyjSQmSPOj28
DF3/VRhO+hQp0+i3lehPiLHm/v3htiaGZCiHiKYgKhirDTHPeKhYhcltnpnOl27Imm8VHJ/8GOKI
tTM1uUjX6bC0UUXhldcEqoJrJlaP4Bo0MxEFi2O1p5mK5t+dNYQ/i3QqTTlDHqaTcJDhvD/HjT2C
MBaESkI6cJQ1ok+MC/QjIVCuRG3wVBK8PvaTY/z98ChU0bkzQNZCuV4jXi2lL3INRPQljhd80ShI
nJK+0h+fiyyWQbWV+sDUHq+3x9i0IZUZ5qKhUyWD0fgaNWqyA/TcWDHAJw6oQax8KG0a16M4U1S7
HZY9l3BJBbank3qyW6d//OxinwNCkRiBfsJa/NGa6yarqA1cUEKcAjfGDiNE2XRHdWVrLnSJgFlC
reDv1YolSxolvdY4l2IxhV+NbnjqrV1U9+05QuyNdwQHlgVT128iD7lHW8MaG7T+gh9jWXmv9Gfd
Ux736sOXLH8+HGvQQWSqfKfrj4PDS54rao0tqjMZR7VDsoPbv9pZtq0JwZQlsqJowS24Soe7Wrdy
z2AUXHZdP0YN5eAJnEMrzKp39vRtXGAqMqnj4PwSPLyekDIpo67H7Ol5cL8NmXIRcfNP5AyvxcxJ
KuZup0S3OTUpfkaHkjrNencrPUYky8TU4lLVD5M7is9uo1vvcqN3jveDwt5QcnP+dqvXGrpiWSYP
kqLOXyZ9xHi9cMunLo+TnVndXhxsbuxXoEwAuLtB9mtNsxRF5tio/FtvltP+g+7096hzOx8w0T/3
p3V7puRYIDwkC5pLfhUfCjt3vFbW7hLFa3wQRe1p6Ja9uL2xePSJZBYBGofkdbUFh2HyFM+cnEsF
CX45oBdsHcQ4VfqRKqa7c6q2BiMmkyWQUeK3tcpZEBR20y6ynUsUTbmvAG7y83z5G6dq4+GwRx+Z
Dc93Yr9T27jeE+gpe+0Y6+5lpiR9UHNHnFt61zuHauMTgRKWK0cBilf6Kkq0DdZFTby4F1D73mFG
y+2otNW/D+8DGlJcRlLwgUftah9w2Y9JrlML0Npe8fuqL57zSt9zPvjFCb9OHHj1SUVwujZUcdcJ
/4hzuTJiTnbBJXppL+Uo0k8tEPYvIyZ5tt/oM0o4njOk75WMk3XMlnyKDzUC+tCEjcbWOXQF/4uW
Y+z93RyXWj+0Trh0vj32unNhB9Zvmjcsy18RcTf8O0fsTul9NTGUKvTxboyT73HVat0BZDlyU/dX
UW6te9Nb5WBIIkkhL5cnNLl4cZlEV50SYxIv42wvb1kRfoVgN1GWT7IPXZfkP+8Pv7HzoSRRSJaV
UTDJqxhllm44mFaHY7MHfa9t6vQcI8gdRLn99+MjycYbODfIe7x5r3e+cENjjuXDTTVxyXSFqpyo
WjtURqF13x9qY/uTiNFYRGoAGMo6TwrdtDfVpFQuSlREpxDzsCfW4GGZV8oRIOTRMZDrB7buekJh
qy9KXSbKxajb+ewONTy1Jvph9uqeGOPWfLirqLbadLbJZK9HEkZR5MVsKxeqre5RoKFhgRiCfL+z
blubgQ8j1VAhHlLgvR6Hjkxc91UcBY5TVcel6Mo/HDeqnpfFGZ/uf6INtAVbjp4kj10SZkr/12MZ
jbJQk20Ri0ERkdj7qTWqr3OtY6aaw9e2nVj17bL8pJT9E4qaX+Np3quNbP8G5kkjigPAM/L6N5Bx
NK0GtuVi5Hb3Pyvsmx/DrC5HF2XYcx7anq+FXfiUFa1zHF29fXOHXjukRPCd9/+vnucqCtCslJwV
ig3yWr3+JU5vpSpS9k2wIPyRH0w0Abyv0DfT+DxPamr+peZT+LM2Z2V56bsIbZCaDAfrSS0tlfBI
UohwFZbCOiqds8iVL10yK8jKxjBwjgvUEe0COFP5Ci3G6z/gXNskn0d7UIaj3ZtQxLNGrZpD3hdO
Z/nO7DQDAOBWvdTADfT3UOyJpWqYtCfLS7z8+2jW09e0Ndr00LsYKfhaP4XN0QgTvKFtnrHGWZnU
X40p21le1KGdlC+wXakD+I3StMs7DFXj4ktS1KX4WI9L9FaKPrIuWhHa8WEuSu9LnOaTdgj1KPMC
A9+t+o98ntXyAJRJGf3ciL268DsendlXCzZT+STIGaojD5cYv5Qwq/tDWMUeOFRtGodz5fal8mqM
Tp4/uXVnZ5fZsfrJn6xC03xL0XkVmO6AYy5iC8bsj/ROnGfIFH3k+tQA239SVSu8M63D3iOt0qaQ
XzdpU1oeKregW5qrZTd/dOY8a970tirLP5SpnQwEHXpn/jsz0yg/5Zreah8miE+On4Kkr7XjnDph
eQLiEVe+GyXO9NRZBd6UR7uOLDNAf6vIX93ES+pjpC8WD9nFzrU9Lf6NEINNOoV9EhOK++sMKCoL
TCdCLbxIW+MA45kIqEI07GQ/v/bxap+DNYWeRQUPwc21YADEViWPu1oBH6hrgZ6b/dc01sZDEkqI
N2gJ8YJMpfaWzIv3YanV4QtmkNnH+7Fna644fgMhlJce2qzXh62ejAbTQC+8OEiyHTTK4qdUb8ad
YLo1Cq91sMiI4UuV6etRTK2xtcXjZrXT2P0cFWFMm7apdhoyGyFbQpCoBwDvoESuX49i6CUiynoW
BUUYQizwKv2z7G6/xlqk7vGWNmYEaoMeCT1nB7jYKlyWfVssS6gol1AlRB/0UHzBp6HdszP8lQOv
NgmAa2Q7eE8DEVlLVKVOn82uwTiJWF7RpTkodpT6aRm/Izq+dJP3nKrukRfPu2lM3s9G9NK5GEp2
Q/Qht/NjC4yl1+YnBH3PZVH82efNGdOxU1ZAgoiU6jCr09Hq5spPDHPnWtt4zQLXlKwnQA2s0Oqm
RqY2mxDUjgLgmt8HQr5PFVk5Gl37Whj8u7IfZwVyYGWjnioeteM1frOA2YWfeBsFhhX3vllo8wuZ
ltgpCGxdlQwgL2pLPpzXjT+vSewpnMooUF3casIifYrzHPIYWEHLfm+HYsRWxv3ZdiXOhvbHcXB2
rsitzceackFSlgCdvVrZvI6MIonnKIBjov2TaNmg+U0LlOvh2AAGVjYxKIeCuVudWurjWK0tfMAY
jZpjmrUafhDRnpbn5mQ4Rjxs0KW6aZXMQhm1pQqjIB/NiLpUBe3E1/G7Pd6fze12pILDX4jKSurf
GmpVIShvC9VMArURdn6i/lJihLpkKAFG+uCkH/PRiz8ZJeImO+t4G5dQM4H8j8Y+lTHqO9dxCUBp
DjG+ygLdMl5IEbInJD4dctc9+bfbyodkUUsIEfDc23oOTgG96gLsChJuf3GoVa0tfLNxko+ONs1Y
cwpoRjunfGtMdgkHHUwu6fJqkyyh2llLE5VBzWd8m3OtTQ6D2SNb1eSD9UG+NN/uf8jbDcMX/CXe
hRAhxb9V6HVS1wBeXCKHYWrDj9Bu1JdMK/M9Pefbr0a5gPc8rXBOGfpQ11+N3E7rRWKXCKKNHtbL
wubZ7E1PlVo/XgiB6QjHWFrkcNTWuXeZZoY21wyFSU5YvcxaEk5PY58VO0dgY0pALlDmpZCpys7X
9ZTSss0ALehcWtGs+IZVJ6dKywcwZ/oebOH2I9GGAsMEZp/SIjq210PBrlC0BUnxQMCR+0nVxXty
QWTsySHcVAwoG4HqInIAYaVJvTpaNfq4YFXnMdCUBWtAB9kw47WJ9THzSyuqfkDci9PXpSkK8TSM
bYgRUF22e94KN5OV+E1yJ0o/0jdmbTuXWti/LTATghwraw2uXK8h+QYz/2H8ngRXMwQn3Jbt8lXD
18FNoY64WAM1q8fjMKXz525YmiBedOXb/VN2c65BJEsrPdpEiBOC0rj+gKa3NPqQGyIwCzv61uae
iHxwSFhQD9ZA7QhF/IcNXCQIGlQDPC7Ubm5yKiwVqr5sdBG0elq/x9S29DO1nh4VnMDoxCYYo45J
35yPcD2x0MXMzG5NEQi6iPWzmi/FpwS1sD3d4Y0FdMD0Ep/om0u64fU4DYYwmroYY2AaHT0QRfTm
U9zmQ+SnvdvPyJ/tUQ7lJ7nKFZkZH4saD2YECD6sQvFYF7XSDnLExhv+zbWufBZCm55yK0Kqy9Di
HyXvuEOizyI53d8tN5FFDs3T16GDyh2+xts1ToU7MHd2YOHJ8WzqbfJHi3HSk9U2e2TE7aGI/MRk
4tj62aQuTm/PsRiDIbTxpK/VyihOS56r77Rk2SvUbZxs9O6BXpGaAI9bY2CiJOJoN90YZJVt/KWX
vRkMJPzHx1cPMgi+oxLlBejheqtQYrEpYyhYTBd6ig9frJe8p83Rqd9VCuJB3x8fDtVBij0wxjwU
A66Hy/WpjiczpLAZSS6x0zfnOhy/j0u/p6y4dQaQ+6ZkLUmq1lqnDMYx0mlpNgXqMi0/QYPVf4lo
1sZntHzz5KzXaant7MTNIQExSplxsDFrvXZa62IsrXwKIsr0z7mhtrZfeqn1Z1/PRY6BWER6/h/W
85dTulQ5ctYtz1xL1NR20imwS1H8tLV5PlOLQQtsjLq9G+D2wqMUCeCUxzS1Vloa19+OUZyGlGoK
en1ID6lCjPaVtoyfB967b1PpiPd5X7YHNzWqp6qu91rVWzGGdhfps8QD3dQLNGspRE+5NYjGRmDl
FRZPfVFlL+380xxoXvqdS7MXcKG+7Kzybb1EMmv5pAgjyCrpeur1WKAINrNtp6aZ+gvG8XFzqAwU
KA6liML/RWokEt+M2vJj1HXiTVNMv6bgUB4e/ty8LfkNZDZALL3VzTg30rcTXx4u4bQ+N2LBblNJ
/hZWODzfH2ljsWX6iROdTmoNFPP6YyexDg3GSaYAl5n5RUlM40fcdNW5aCftfRmKAe6Oop/I9fZQ
4htxD0F2afxOFsArfrXNKi9VDaqwEy+JWpwmo0/PQxa2O/4DG6GcLBR1FKKQ7IOs5ocfe1Fz6U9B
U/f1qdSq8kPvDOOJnC7ZufU3do/UWXVBccgCkbnu1CopJmdKGQGvaO1p+qTnXeX44N3S16nIlPHQ
hXFb+kY8w180JnzQDooBReqcR3R2d3bQ7Xcl+koyPUUdgPjr31JjFaC5ccROVtufpTf8Mbj2SzdO
31oYAD7FZT80h6/399LtF70eU/733xrw+PIWHhU4ESiCA1qDS0QMokl2duztF+VtTaWDvi747ht2
ldtFCY7C8nJ2CuePuumMP80sbRI/dMPp3/sz2hwLxKi0gdfZP6s9qkUteQ06MQG2ZuNBNcfpROVa
OYyx93iEl6wZOlsGLSFu6VXOaCROXkY608rDXnmekzR/ttWiPE+uu7c3Nr4TnVVZoECYlMLL6kyQ
189TEY+8aJI4O3fUGS95XkU7uCa5NtepIhNCi4X+CoHlhpvuznNn5Oo0Br0DcyEvoYbGH2pVzfyp
iisk7Ha1tLbnxd3FIcTPbO39YStNr6s9S9iP3EwJAhLvKtGkOyDszT0BDIOaI7U5Dtn1Lmcj4BWA
rEzQDuhVCSWa4PjXAJeN8mGKCQp8UoKX3irFZuoR10NFoerGJrWBoB/aAelIoGENneLT/U1+m85Q
fUC2HQ4dy8ZL4nqUgudZXVbaGDSmADtj9T6m49mhw/PaLwZeSP9hOOrNLrAWCZeQP+e3KKGVozHY
0LqDZEzdVzp848du0p3/CVVTnikvzTvjbe0K9NW440hD+ad+PZ5T2UiMZWIKwob2vl8j/pL5iTt0
jy8jfz4UGtrGBP917mDMLRCuWpkDAyFV553bQVg85m4zdow2LglqVlpWvdxfzI3JyWcRUEg0/qGu
y83622LSoKa4kgk1oBAOxjhsvieIOJzvD7Kx48mLXPTMKIRwo6xKAk3YzVQvWzUwaw1vYTu233Se
Xy9m49Z7vg+3ySd0KslSltU+nnur2LQkCx3IqBUgi+38PNkpI2RuspxwhbGlhWwyonc8Doc0UZIf
c2vtmd9sTfb3H7A6DXk5aGEZDyLoGpj5TqqkviGU6aOiVdN/+Hi/D7X6eJUowEBlvQjIOul4e7Hh
GxlepPe/3kYmIGHAZNPopNMFXK/o7Dqj1s4iyFx3OtTsGH+McD8tujk/lLH2Vzqknt/19s6u2dqa
v4+7Wkja+0vYjqMINCulzWg02SvWz3tQ/o1bRgJCADewP9EMX62hoXDrmzEFHRMj7iNJbnwMbS2E
v1RF/yqqCP2hbdzj40vK/flrh1IsWxdTY6S9ZuFSuPKKPv8+50MZmKnoP6Z0089c8t0hsbvoI827
h5GiEv8CCRnrYSQ6yEmuz7vq4j7c5kxXoVr8EkXiuyvq9jmhH7qTQP5Su1jd36jbS+ghgll8yNW+
Ge0iLc2EektqFtOTnvQT8Ic2R2G38NxjES3aQZQGZhW52T0lVemdTTf2ntKI8oIxdf1Jizz3BLhL
Je3unXO4tHvU3F9Z7M1vhJoN5pYcg17V9XLUcwq5xoxHxKP72ne1onitTUoNbtYcvd6IsJpNrCP6
UfU5r3iwYxanXzDd0NFe65XTYmf1l/tbYyt8QD2kKkBNDhj0KjvQusLS2kEVQVpb0ZPipvFXfUEN
amm9PZ7E5taX3TNCP1XwtUT/XKhugb7zGDgLJcxzMhVFBcohylvftXrjVbWVcDykU7ynwrp1srni
eLvR05cMpOtVhzOems6c8Tod7a45WS22Q741WYu509XaHIhCiywQA1laF61spVMX3S3GwHURhEhx
6vNbKmU7YXgj/+G9L5XHeGuTJKw2UQ/HNpk9cwyqxEayazIXMrqurxKfuIntlN2q3R6tamubSD8Q
PhureKOxZbVAbFxZ9JtHzfsqVDFzzJL5nUZitBOHN6fnshMlTwLM0ypCpmWhlUMeiqD0SvW9kY6I
tBS6XfiqiLGDn+K9FtDmVwPYK1mx0qJRXvG/5SS1sBUtr1JZvFiS8EnMS575YsiqPQ3ZrZmBU6VJ
DZkUv6jVh4MzhgT22PPGBbmi+1amkYsPxjx9R3rSrM+V0tU75YTNIclLSPx5q91wuvIFNy8l4enk
xVr81I5D+SVpVDdA99z41NEP2jkBm+NJIgVYUQrEv9SDf1vLVrRZFU+8AIrWPKpNOp9rjCReFLu0
D6Y7fr4fvLZHg8AK4ECik1a3i15bXmTHwFGNAh13vIyXr02ndNB4bPwGu0XdGW9rp9AokY8ogFCU
u653SrSUmp24Hh8Q6X/Nr8eSGsWcmv9pGK5NKnvw9NdWnuVQpouX0MFruz77lGnd9AGFzem/fCpw
OoQQIEhA6K8nM8e2WOqR1oim9NGfSmynJ9t1kh/5OFbfxyzbax5vLp6Ep/LSBYu9BvhqYWuOgjgS
dOOcpWcl7HGr6Ea1++P+ptgKVTJ4yHc8GsPrvkumV94Y5/EUcHe6J7vM6jPCtP0FYyvrcH+ozf33
/4dav3fjXLcWq6T8ii5gcqDbU/uRNrxTQ/Ol6XcVjbfuT9aPVxMPeTbHKnwsHqYqdcPuQ1rOfh7L
ejh5Ha6kApWM0wzLKfI7SuSnx+fIG4p+NWNypo3rbaKXA8yRlDPmYtR1Grs+OnZjq79bYnAVPkKS
e7ahWy8qTpgUtKLxj4jJ9YC1VYWKWPh+QHh0LFxKDr9fCS3/1odN/nmE93PKs1l5k9zE1q+V0v33
P0xZKkDR3+IKWpOoYtdSpjqneeGqMaYbovBU5eCMlABGcKmOX7XSNvX+mFu7FnQA0UUajCJ/dD1r
pbSUAZLJFAxjpM+HMMvsNxKk9H2Vc03u7NutowjNFzSYh1MO99H1YFlYeFOo0rFQceH40nJGlIOq
OONexrc5jjRbJnCQXa5vA9qSFOTtlmJ2rgFoLXGrHGLR7gSyrQcj5E36u6TUYB9Wt0DaxkZTC0Zx
oll8dJe5Og8NRjcYz6TLUeuN6mVcSvLLwg53SugbXw16IhoueHPSDl3r+9eZ6iwk8XQjAEJwODzr
gOVO5C9KVzy+QSBMs4iAY7lc10AVpY1yw6HLE7AM0TfHKObCz5XCOaWl3j89vBnpp0lFBeA+wP1X
kcaae3x3tIQcL1wiROWiMavOSq4u8UXXRLtXFNoIbKAhYYPjMyftg1YJWDS6M8Ao2Nmh2WruISSD
+kmyoOn+oJrDP9Jfanmy3dwxd0qjG/uT4w1ilesII8h100FVRe1qEQcdzeDsuUFn7zUqq3wnX98c
heIQVy2Oc6h7XJ82mkqtsvRsErAVxUvW69FhLpM9/fKNrSg5uUB+4M/oGGhej1I6xVKW7TAFVWvZ
32a97F47MAjflK5kwPv7Y+Pe48lILZSmI6F6TUfIzC5qFdtj2w8OiuRJb1oHL7TQ+R6TtNWPbmNp
jx9yxpOSYFR+6Xeu9ojrTQk2mDw76NN3IZ6Pub280428KQ4DsJEfgrdP4pdFHRcH6mH9nnbX1vJK
BjeqNlKA/5eT6G+JrQa9plHaGQWBvC4+jRX6oMe4wQb1YHf91OzElY0TQQ39F0yYkjqCFtcfk/JD
6s5g/oOs9QSCjnGnDAesQJfqpGX63LzUVVp/cJJai873P+3GZpUvISI2dXwkm1dHv5DehbY7q3B8
jOLYq076wels61FYOjqtnHWuoF+FgPUNm+IJSnPeUsErtnVQqGZ/tmKpOKgKd2eoW2gyY+GuTijj
y1EeWq2lMLsWE81eCxKLAp+/xFRIwZFE+KiCRXqHSsM8nYoxLcwDBSCk4MuwVCRNsI/9VGjdnqrC
1goTWGVejy0M9Mvrb5vOsx1TkVKDFilAf0hVcdKVfs/v6nYUtLckgxk0F7aVa6R521pTkaeDGoxo
6b0flN591hxU+u/vlttAAHaXFE0W93hDrL+jFzfgzqnQBrMHsmDytOLvppqnP2tb6TGzN5N/7o+3
MSs4q7L+gKQ5ps7yv/92CqsGt0560GYwz9X8P7R35/k4e0a8l9jfphRce1RXKD/Dor+BdCSdjqmG
XpZBUiXGq7CH6J1dKvFLnkbNW5qH1imNLf3JaK364fMHcFKX0ll8NQnuuJ6hGBytKc2yDYo0TE+O
tdCBR4TF+/LoQkp8JjrmJJs4zazxOZlhzTBgcaoc7CY9AxkdXxfD2XuKya18Xe6E0IknkSS4ADta
s080u209dRyawFLs/ljkTu63s/UZIJZJ9aM8OSis+V1TvvEZ/r4/wQ1wA2NLgX5SChri6uqtbrWp
OdSz2gSuMoLzjiVRpHCd9gjLdPDLqh/ORl45R+rw3tHKteqLgfbW418TXCr5If0MLuU1YtQYKQQt
tdJxKS/J5LeJOmQHe+nSPaO324MosyeZsvG2pvq9OhiJA3qsK5SevprufINi1s9HO5pdD7tQcx6O
aaQ3y8f7S3x7JfLCJn+i5k4N4cbNts7MSTGbGjoYzZKPYK0q5692TrP6OBW0fnfi+O1opL9wkHki
kazBzro+GHSFyoKo8KtzUT0Z/aJ/HAjVqKmUu3X6jbFkXQTxWWzWpej19VhWE3lmlGRV4I5p/Gzb
KazTssiflUXXdm7624hGpg09B300XpxID18PlRDORla4Ciq16Y5WPfVfliHvPt3/VLfbg1GQ9oUb
IKl13mp7qHpThhEcziBztPZYVrbyLrJcEbhLonwq2k7bwVJsjMezmcDCzYPF4dpcLouXcB70pA6M
tjcR+k+MfPYVEeHuDUggSw+RBbPz/PAkGYz3A/AhmSiuTjzk8aYwMrvmcnAQvO2X4dIDrziF9dC9
y2o73Nn/t5/ul3QMc5RuuZAVrj9dnsUDpWK6ahivfU+NXjlHczOd7k/q9iaiFSZFxkBN2wjOrfaH
XaIL0hugUtS00w4xCgOfarRWnspo/uFocR75tVO6JzrOf9wf+PYMkDnwouWlRx0XLvv17MrI1EPE
V4AhFKVY3ns8jL6mjTaLD2BljYdPAQGaWw9OkMRwrg/c5IxJBeWcml0TZYExJ/GhoVS+86y9/WD/
VzxLvm3Baa6FkfMmA6XlxktQjlM0HaHkuOkBQfPJe3gnQpYF4QCiHuAND8vrtUvCMcMLadCDdJqK
d4Ubi0PnxM3HDAvSo+Cu3HmP3X4r0A7g6WkqI09CdfB6PMWKUhsLIiMobEX3sFI1yvowhW3jPZuV
ab89ujPwWuCYAYmhGIEkyvVoVgsIO+VcB/+HtDNbdttWwvUTsYrzcEtKWoPkZcdxbCc3LGfiTHAE
h6c/H3wuTkSpxFr7pHyRKu9sCCDQaHT/g9f1ZrQiCXBKnDl9G0pd21nIO7c4qRCpMlhPDvWNYnY3
DWYZLOlwrmVcPvu5CYmqSIe/BhO+OiqFmTyIwdMOCoz2sRibrIZqYi3W8fGU7+wcEMaoECsiJVWY
zWHQgjzV+JsR5EMhDsNQFtoHFx2sbiek3H5IpK5Al5KQKamZ7SszM+O8bp1CnlEbsmlCmbQRQcFr
L+kwGTt3wu2cwE9RLKCWBH2G99j1ZwRSYVQjStFna02Cg6k307EgPQkfr9ztSxblOMUJpZehiGmb
zYLxUm5KbGjP7Sy0P6bUn5ePA+XAp6Kfkt+AvOUaIsvOsmfXoX79deoJR416CNRCXgpw465nZ7mt
4XWimc/r1BpPfTNOT7CDi2MviuKjhpbiu48gwm4ELtjr4Dy5+67HG7yi60nxiGDpUiHHkA+nuu/t
QwaPZie1vflwCPeAqodAwKngYbu552Q9OxMsHoslRUZcGpN36mVWvHfLq1F4f8AjI+3iEr+eUOpU
bgdmyTrzTvrX8Fs/NGXz7tuNQRRmUKFICV3b0i31lBa1zsyF6CrS9rem8roqiXIvrbInYxHuP9Uo
gvktKYaifi4aq/R3EpU7a4mkHzBgSgPqCbuJnK3Iu0KWhX4O6BmeBl3zI8tMjZ06481mVBLpyuWP
iofFm2vzxRKOBjTDQD9L2kMfMnuGC2doff/B7trsuLhTMr13OzIV0KxkrxTe6Y9uDncWywYHDds4
496Q/o6Hj/9LpRf+WyXM4o/HJ/zOEvJGVp+QDePeSM4NDg+BJvaN89hhzxgvA8hPiDo7d/edJcTb
iyYWXDiMxLYaN5ldxeQInnMuenf+kma6Ec1CaAccAaujN1nl6fGsbiIxjRje/aQJLkk5j/Hr7R8P
6RJMS++cEeV2g2NhNQZVN78B9W+snsxfHg93u4hc3wA6KArxVKS4cT1coLfWMOSGcw7IGHBR7EzM
x2Ertb//D+MQD+n5gsJE4eJ6HD2bUdWEcXUejVx+rLKOLLIR/c41dvuxKLQBOaBRyVuD8HE9StzC
dG2a0j1z8F46vRoOmtOcW8PXDnnefn88pTtfihvGJTnmXlY0mOvB9NhvM19IR9lXZwcr0Ep8Lc0a
2f52j2l0ZyhcWCjLEn+5WrZotiQe/EC6i3cuNQBFf1WWV+N/0egoTmcjZamdROvOMtIIBOpD5YS2
4Ba2N8rUKxzk4c8u9exXml9eFxrBUD65iQ48fei0vVbFnQmyiGR1RAz+bJ80TUAG5bqNf3bFOJ0G
LR9PcYmb2SS7dyOKVDdLURSQ4YIitoV5Dm7pNPoyMVQ24PGBQpslj2jaYMMpRKnvxPl7EwN2p2Ap
lK8Z93qTIA1Ry2V0g7MZo6Azau2vmZeVz71p7hzkOwMxMSVJx5UJ93+TB2RGl7i5lPG5gqJwnjNf
Oseh67uv9pBoe3Z6dwcD6cg/ACxBPV7PCm5ZWaX4FaJG4TZ2mMX++IfWl6A5wG//+e5jBoZOVSm4
xHgUbiY2pYmeko7H59x05sMsGvHceUBktc49PB7pJmXkCUPJzFJUOuW2tokegPnbxmuN+Ox2Iv9O
Wd+5oLtuHOt2Xg59PqxPTRKkz48HVUt1lS+qQZVWIcL7lEm2Tbq1Ll3sdhm00izzVHj0b7Pc39OP
vz3RxA/lJaIrbBS42M0Hy4hOUjrcYmv1h5jWb8CpEVAVnRcuWfvX4ynd7g4G81V9nko2RILNns8T
v9XGjCicGG18NFqnfqEg3Dxba57uwMxuV08NpdAhIB+pK6t5/6cu78hgGJdJc6BZZ6t+jPkf51DG
VML9eE73BgJtj84ji6daDtcDNYmddvFYejDI7eW5TB3nmQCzZ2JyuwPpo1IoU5U5Xi3bON/RnJpn
v/JUJaIMscFEhL/5czb1F2cIPkEa+/Z4Vj+9A693HzwPyMDAAoGpwqa6nlaltW6WtZN3zgz5Nubd
IW8WFOwhvslLoI+nzO7RJ6I8LdbgzaunJGo9a4/oovbDzY8gT/1pqELw35xwKGKELGiqZxfNO9w7
yraMTKqTz1WXIocpEGI+FGmzhLEnx8+PV+DOXgUjrvIFZfrFC+p6AfJCs50hFp7aq10IBkZ7hlaP
mltX7Nmd3RuKj6pUIxS25+YMii7FCXf1zjlo+FffLFxKaLQA6yk2diLZnd3KifrJagTxdhMz86b2
MI1hRUVXdH9X8H3+7bz23fKPpHNEE24c4FIs3mbteBwNrsDM61zMafFJeFP61uWjtpOM3M6FMbA0
JDHg5KGbef2FyrhZS6dY8gvSvhZsK2akR3Yqpj3ZxTsDkXCrOMlGBHK8OeKgf1s5dXZ+AVKjIwmh
lQcEAM3wvRuOyjSEUwYBT4cNyvV0Mm0hC0+c/DLM/XxEU2GNRmkbT3Q0uv9hKPWMAGQPcPSGA2Gl
YkHJThSXtPSM4nV2vVhGNBVW67lu42qPFH57xxBCMKMlI1B8ta1K51ghXsutXFxQthBuuPZWE2md
Y70lfQliryINendQViMqkSVyDYKYfr2WOBWkRdFOxYVl7rCZD5ZjzgNq54a+PbfXo2yKqnFhQo8x
huICAiJA19fNDrAlh7Bps3JnQntDbcKx0FrRZfiHXHSnGS7+2pkfrXbsPy3eMr638k3DAoNs/GQd
Be3a+nfWXsMjzGKoOUGxLMknL+zB4+4Eort7gmtFJdts+C2IU6PImotBLy4y17UQS8unefAQB3E/
jN3QvLv2wJR4ttC3UK3lbaTA4s7J+8YqLhM5dhRUcjnG8Zi9+vm096HuzstVQAoSj1tQnJjFXBGy
iktmrW9lmR+gqb+OqeFEnYz3aMi39yNFb1V8MGGdKgjC9TYf5VJ5NeXDi1id9JvX96sVmjiZGGFu
9JMVylqpaQSzHOfDWnq7wof3diVCNmquRHugzdfjNzqEAasqi0vXahb73h26qAAnN0SSKs/OEbgT
hVUbjawEdzoI0erv/5PRDThulF3OmR5QUH0j4RZPFNfjp8dR+O4oQJnpWuPeDO71ehQ39d15xO3s
kk1zgEG3nT3Pg9yrMt5ZONSRyewhXXhUhDdXl7XoJrUVgwAsUPbKYm9FZDr2Ubrzdllo98ZSiBGF
YaCyqW82SSrsqkzKpbzIdgnMo1E1yZ9eHPdruMhAzNHYCO7N2nPhn7XI7/5bw0YyIqPydLr0SIJ+
EJqz/jt2dfAmcj/QQu523X53vg6UG7EzQgFRhz7V9bqvo26MWhkXl4IS1w9Aze1xmrTxz8df987p
BOdE/ZHKJ9jJbXE1n7U2Q/WxuCya+1thZc8+eM7DiudhUph7H/neVqIGRPMXbAB4pM3Ct2laraKr
y0tq+uLUjkLJRiyAPXZu87vjqM1KrqqYnJvXqctGNQq/LS+tFpeHFDnlMPUy+/B46e5tI/Sc1LKB
eQDwe/2B2nRqsmFsykvWWG+zrWk4/XRrKJfk/S8qHvVgHFTrHNTZlk0mnKDTJmmXF20tpkMVeMtp
qdL59Hg+91ZN+ZQr3RaVJWzmU9ZNOlD/LC910FeHaikl4qyW/eN/GIXrheCouiPbg84NaqXohpQX
gJLiNPlFd7RHcD//X6Ns1dIo/uqNmWjlBYZ3Fk2yJ0sdlj19jXsrppq6yjOGO3Rb2/ESppg2jDIg
ERsJWZhEAnS3H8/lzj7jeQu4gD+0rrZNwMmpNXsUxfK6VEmH7RvOB/KDXljVl2VOrD1957ujqaCj
2lM6iJTrXe2lWWa7qLS+9hN859CvbTeKjcI69Jmt//7+mbkKCEJBk6feVp8kdco4pwuyvJqtPzyB
Gi7K0GQ9fzfKVO5cY+p3X7+cVR+V9wjoa1UA2cSeRp+WWjbO+prmQL2BFAzFcJH+pDfHwo0z+1ho
ZatHPn6ve0nJ7TZRPituoBAodEa2YW8tV2GDYjdfbZzSvzkTGoi5A+Ph8WLejgLLCRlV9koAKHhb
rC26uWM9MdkwE3c9mfEiXnRDNu+FeAE6VrkAHitK2mObC2tG3a2JPWLkiObFJ4Hl+suoNcYJlfS9
e/r2i6m3shKw+/kM3DK3EvwUl9lTDn5l5UVW41Z/mlprfxztxD8Yi2b85Urr3SA95oeNH51GGjzU
lzbZjgnZepkL5kcfM1tDdwzGg7nw+SKZgaD3pJTpzvm+O0/Yn5RSmSj1zesT5zcxhF3lBW5lkx4m
s5dCyMS8ocMw80RNdwlz1/3y7s1CboH+LWo6ln3T1K3G2DG7CTuKbHanizYN40cu4nfbkFHGhwoH
2FGV2UHaXM8soC/nVZXOKKkGftvNzGcr1tunx3P5GSaujzbqangGcEEqesUWvxD4Wa0nGgLqZW/3
069FapU1ot2i679UQOiyF9XOm8IqE4MMY+iN4xStuY3qm9PqyJKTmVdx1BuL+s96Os1vQQb29qyn
rTeFVlB35dG2yqELwfUHDqqDWTVGAPuLvWvrNvgyEzaCanXDqt5ewStCVML2mEnfWhi3YVxg/4uP
Mj6mfbGKXZX2OyFDvZQAoStFJfRLN98nHusgder0vDqzqx9HRM3a50BPWv/JjXvDuMgJ5eyzNOwx
+IpyXp288AsrKjBrRnUfZdy6BpPsaG1kLRjwVqETL2uCQKI2fTFHb9Qif7Hi+kM2dubwNhTxlEdd
r8/6H5lbVfGLa7diQloAkf+v0yAC+e6WkhL8431E4dKgxb4J+s7Sra3e68W5aCre0cOSneogKd96
ymjHx7vwNpHm0oSoRMEbJDWJzfVa4nOCpEvelechsGdYX2t57DpfB0PA7onF+m7rGlD7EDNA/1HP
gbi3OVt+ExR6bK7lWcZdVx1WJy79w4B1xWfTzB19J5/6aahwfcZgeyIaD0AaT2Jk5K+nF9NwpEPB
cBUmGEMdrmNrjd99QHreYSwodNch2taBB+HGRgIs7PPeSaLJ0f3mE5btoBxyY8x+WJ2LeC2d+t49
FXliWJd0blGPwS4jqL8GWW7OhybxzH/woY0rKNVODec+sbT06A7Uan8rTR5jJ81a4WXMKU/7N6eW
wT/Um9o8NPk9wXkdF71/KlFwljvf+Oa8oKtAz0tBE7lo4b1eLwIk0zpfRJ2f5TzY4eJp+aEIyj2k
4C2gDqQX+5WyjGLz0n+9HqZvhrWwbChvHf4ox6UzEE52aueUd3EVyiQ1Q8xu8EOqHQR46C4+9cua
7cBhbqcKtRc/6J9QGEoMm9+Q9qImvQWajxiD+WJMcf+rkab9r48PzU28o6yGxJRCKPK+gU58PdMx
QNYBsYoOWdC4OSz+0kR5FZtPjp7udU7uTAhmJjc7SEXlzLp53Qhh9VhfuN25Kc0fg1PYSLjgEfN4
Pur/5OqUMB9enZSiYWKrAtv1fIoqbfxkXbszR6Gwj83KET3EduZYB63tJ+dFp3LgHidKHX/T4iuW
sO8tbe8WUd9m+yvQNmF4+GnMdBP1ENTqW89FbrtqhXhzMpk/zXk1PWHL6ADaHb3kqZ798p9icvUd
oNFNFOSVqnT5oBoAaqIRcb0ACzVUu8OY7Ryn4zdZ2OPHeOy/Oq1vvep5Wu5EJXXeNhNVHt/cmLzC
lN389Wjomca2lmXDWROd+xzrFrTzJhdo6meiivtomWrJe7nz1714eDtPaJyqz46WHhjirUQU2nkO
FkYIoFQdCp0vk1cw3dY00pNsZVO+drFo253oc/tZGVO1Q8iIFQ5ue1gqnN2GPJ7P/SrJWsp60vQP
dYfHVXbo9dbvP8h4WMTHpkmLr0L063J6vLtvTyt5Ai928jZEsSieXS+3UuwwptlVOkSG860oA/3F
1ldoV7jb7Vzct6cVKXVCLdrLZKm0ea+HIjKaTRIjB1Sa2fTFHvPl4wJ0aOcxc2dFVbEDUCiUXyhr
mwnRw9I6vSSKukvhaBEiX/oQah4slmMt5NKdsY7y4l86Hoky1Km0VjtR9nYbkXiBJGYHQwRE2OZ6
muNo2H0pYKzCJdVUIaRw+0gkbpV9gECESGcHaWiPg3H7GdUjg6cNorJoVWyTzADlQPC2/XpOCikO
yTgFYaADC4Tv8fW9G4boQxEc1hNWQDfO9ck6j6iwGFBIM8d9RhSiP1qtkTwZzWzvvH5vQwFembTu
2KCcSF7b1ysJzs2ui6U1zl7pxOh0jWYPmWUxP5MaZp8tQ9Zvk2akO0fyzlJyDpFWhYIPpmKL/nLQ
QFrWAdBoMPX+M+If8RLOWdv9kgr0Ex8v5u1mBa3Eciq7VkLdNuR4SgStbB3zvFYU0vGJMFKe+Ska
xKdWuYtHSVqM40fXqKbfk0kYex3EO3PlZaI48v8Xmrg5kl5sFpB39eRsK4sve6ETj4fQ/FJjCLlz
LgH38rmuI/vPOoMym+RlTI5x/TkNOSz1mszVGQqSrD8KTeZjmPROuhqhO6DA9pp0cs0PiWH0/Qvh
Uvcis09t7beyzvLkSztCQT3boAe+yB5Bwiaa3FVHy2yy67w/DH68ZkcvUFq1WZDL8qsbu/RdZRn2
NQ/UlF30lWdlF6lkN1rnxPbC0daKE/oY1WvB5e6firntfwUFoUWFi1RwJZM/fDuVYZEh/IC1t1ca
SLijCBHash0jUTrlEPZFV4momlzv0LvL323hiA+0Mr3ik2FnhoXplMzf6sGbnwOntF/6wYnzQ9zo
J08L1v6ITV4Oy3wd+gAIHnK4odvFVGv1xjLylh/f+Z+6spFdVAVtMqWhBQLXj3ot8F4dzDuh7AzL
pbLMaYnGcdH+7QZJnp5ATv6hvMnjaM6M4K32h1M2gUpCCr4N/dEof+0Gi/edv8rVijwu1DBZ2/TJ
QmZyjHjP+m6IvNmPOjascDAR5I3dyTn6pIxzuDa1vgBHw3ljia0VhJPTHDIv4Zj4KBmFcezO0YQr
yBgNwj1ZS4l2pF3rB59rVIsgwQE1r3N8av8a+Q9+2EuLUWffLYUdjoFZ1JGVp2l+LLqxH199dKym
CAHFpgllsQbec2kOkMrdKnaGpyxZq+5gFciRHHHtSIxnqkzxd1uf0+7Axxk5wfU4zvzUdF2rMO1R
hIh6W9eGl9FI6uWkL9Xa70Svm7MFxBJOECVQVAchwm4uonV05gazR5gJvZ/SegJ38KuZ97kdTp7e
f3kcSG7uVu5TSFZgZG3UbIgl12crSBvDnOzRPmtULY9OPn4r62pPif0mE4YaA8GPGjJtGLSJNjlo
4i65zjfxiccZuo0WpZkkWu21Z0pr6f+iL76II9+WHd+60Yr6k1Y3erqTIN7cr+pXYLbKDwAidsPj
F76wNJqX/nm2fTrciU7PL+j6D06T41Ye4DL5eGlvvyMJLqqRBm5IVNZurEymcUBCdkS7zehRCPWS
OfsrreOgOVBob395PNjtdwTkrKoA9JuV4MwmIOvt0OopFZyzNOsi8qCXHeZa7OGpb0YB7q4UXpVD
C/jmLbmRWrKTJASMcy9yHC/tNulTwPxxHex8q5u1QwSBlyBcXo8ReSdcb0tLlDKOK+GcNcy43Ki0
i+SrlFb3z+DM2Q74/c5Y4Jm5yBQUC+UJ9ff/6ZwvjpCpzHwLy56+XSME0Xr3ZclL0zjg5LmrxfLz
U1xdZ0CkKHWg7Uc2S7qwOQ3apOpG1UhJMWnkSElRBnGoF9U4fQziFMvTJa+Cz0BMsuzZbE1q3s7q
V/LVqRw5HDo8K9wPIiFne12xhsx2Vv4md+LX0e/DaEC9WlmY69Xwu6TouPjhUVAMPuLUlH7oOn0G
2acJCj6z13yoOthaO4/lm8Op3v1sYIVHAmGz1Uqb6Z0lOHi552VOvaeqC8rpezK3pfc0NrEUR97y
63t76lAqeLdREAR2dbuZ2yKL+3xMBHFWFvGpsD1MxfrVn3biwE2uBq6GTio7C20KiEubFR3tOvVl
nC/nqjbiYwb3Pswn+XfQFMEXz1oQMxCx/UtST3u9wtvTqnRbKR2zt/kFP0tL/9nYVl4U8HQb7SwH
2z33w5S/Alx9d+2RSg20WdDECAuB0NtkZ6OT+Z0R5yD18XthHzvDV29s47c12LXiud2bGDhimQ0p
QLFvtkjQoBr7ofbagIdgUX4eR89/SuvBP7X+1B+8QY//cYs9XYrbjfnT3YIPRy9NaYZdn4dxGLJm
oUMEgDm13ngtlZijTYZXHvx+0ZanVOuq4L07huoqTXGwHupxz865HrOmWVHbzhScHcNovg3r7D1b
WVdFwG/wZnaTsnxui7L4s6kHYyf5uLNnGJo2kNKZR0Rws1mrdqIQK+3gHBexecQb2joGxWz9L6PQ
UaPax4pCvL6eIISsrNd7JzhXFK7DSYvtsEeXZmcZbwM7dnrcVvSaVFXc3/TSZl0OBSrMwXk2YxEh
OOUfumbqLq6gRv7O65cvxgA8T6iO8q+bXeI1cyBXF0hvX+XGn9QWmw91XaX/Ph7lJpIwCkqthGZQ
qaCTVZ71nwPtpUIMa6D2PzXw9YeHk8dHa+3r6Ue5pH4faR7578lGVwTNQ82ofjwe/t7eIM5yDFQm
RWi5Hn5pxKiLMQm4KOMs6ivMSvR1nHcuoJtkkUkSUuB2MAY0ZPUr/jPJcmnWCZ0S/1yij2Ef3NTr
wc4VazqGY6kHeZjhivWn1QztSq8SpiMogWLaQ9nc+RWgUmxSN6ruKHFsjiA5OGRFnlnnfpS+czTH
uf446uuih6k9BRerH9MgLHNzXQ8ohKfmN7tKsSJ+94IraV6apZSE8Nbc9FkMTRAdxj44B0tWH+04
RlksqIedUe5EOEIbWRZFLyhp2zq1FntTY3Y+h9GXdYiH+e8iNrLQsMTvxuK9/6KnBwf8nZCp2ozb
RHXJYjNfUBOFIyf1N+gcyTMg3eHN6jBT8+x4j6h5JwioUj+5qmo+Q2683k5NkaSU3fL4LDG+Q4oA
clI+ZUHode66U8D7uVLXmR2gYBJjmCF4TgJvvR4rmXVURXDrvPSzv/aHgjtTyd3ghxomRW39MntF
XJ5chG3/lQI5go9ukPpZqPVopZapKWWUWuj6H6QxNfKbqIu+/aqvBZl2ikJuFdaNv3gHPQkS52PD
8s4fDYFT/dNqe/MP0jqneqpkPeYHifiHfhmrwReHYolp0c14io+H0cV04rmSLTrW1tRjCmFKznIo
2254mwYtsSPDW3MjLIIxyT/ZY+2Bi3E6N3tqaGfMkQETYzhIMJP+oaxiyz5O/Vz/VXpo+D+tSWdJ
DqktRRRohvNd4jJdh1Mw2O1Bh4kC8k4Tefu8WO4qwjZwkxEleRWcjWKdl9ep9pDl9Roys509fhs5
eX0CYFLvI0VR2NRWZaePQNGhVvmJfpk8aUZuX1oUeQyU13P0Zj4pYM4Hmth7hu53cpafxEniJq8L
oA/Xe4JkF5Bow+mCcr0c0d6YalqTevFhHLPxWPjW+smICz/ZyafvxGpwDDRdoM2omtlm2xcT4phT
OmhnvQuy7quOowmbcDK1aieLvl1ZIFsEDt71jmoIb1YW6t+UGp1MLqkft5+rVsbZwZmGpXweutgv
0tCkZzmETu233i/Shyy4Uwq9M1OevdCQkBWnvbWlYuE66UmvTWAfjmP+VSy6fbSEdHeqkPdGgbGp
pMtVMNnynebCxW+Vo3yeFjs5ZumcRbbdv7upgvYGb3fqMeRedCE2GUsQtDxYekiNvezqKTS9cn1G
Z2dOIq2t9+zkbncmVzjzQeQUChmYu+udiQOjPbWiSi59Mo8XiU3TQc7sybKy0hcKUOI77lp7jrK3
6whXDE1K2ubkSTeyAN06B6WQfnIxeE9GwdAlJGbtu9G4in+NjCKVLaXps8X8FnQYOpm6ySXrEuPF
rvz+t4DeRpiaE2XXx5f0nWUkI6OZDMGcYsVWuJHCcwLSyEoudrFGwh3+QhsFfxYxvLhUsQ6+tnPg
bi805kbTBvCnki7ZavRlfmmkcVykl2Dy9SRMyqyM6BLaX4OWNPrx3G5TA64yusbKmomKxXbXJ4XQ
1hb724szeLRQ1vk7ilJ/x64uQ1hYe85IP+Gk1/cnlS+s1YBR8y6ntXG9I2cPWaSmi7Xz5LdGHo3q
2Xx2HZnoXBaZpv8eF5LIicZ3WkQJcCUkowGViSeJJJQe9mlp2E9G4TjDcaDn8jvyxDQmhskUqDiJ
wdci115E8/fjRbrzQZSIE7+XrhPv302odVFb96y+dRGVR1meDvvfOeCp18wsd/Lv21BLxQiuAtEc
jSqKM9fLswRcjzIo3PMAZAESJH2lzyQJ8xSlmm99xMphPM9V635q7bT/6/Ek75xb5HzBSiD5/LNw
dT22b1eFO08IDfD2zU754OohVb9gZ7/dWUoEQ9hwtHpA1WyBRSv9TdnCkD5nmed+qBadpgUM7Ok7
dJP42/tnxCpCXOQxo/CW1zNq59IkKXA9Kk5LfUzqun9tLH8vot9bN4QuEEJmCKowmy3d5nPd1nPq
n5uRXk0DCIF0w95Lb+6cU0qyNOLxhVMKfpu59BbYrx6lexxmpj+0dv1lbpTQIm+H0GoR03z/yrEP
CQyEWd5pmys/zZvcWRPpnzHu9Z9HkVvHRnP2EA739gIiIbCn6Pujs7IZpZFmhTZmS9PA8ebfFrpE
Pg/ecEIW4t/H87nFWIGwQgkKFPNPTsXWhTOopsQVmumfbTwumhDxn7o8BP44vNSONyYHqyum70Ly
zgxJ/HMBCG3os0h3kcc6Pv4t9/YLPwN3P/X+BZN7vSsn4ddDOa7+OdU0g9deskS2K/znx6PcW1vu
fboxVD8D5BOuR+m71INv4zJhmctQc6fhqYzrMfTWae/9dW9rAg3nDavUBuj8Xw+Vx9bcNBaNCTCR
3W+Vrw9nU9rjN4QtzdAXZvDL46nduY6VmyrPBpvshjN3Pd5oLpNTlk2Am8iwToqC0T6L1QBJkYrh
V5qzVZSOzbsF+JVcA29npUJAh2SLkMt6QxjzrMRR/Bx5o3jUPkyiEkffbZP/IW6pJjitCh40aA9f
T3CCmRmnMadvlbRLE2Pwon5t9hzo7u1DejAAZvERUaXP61HaLEknp2MfGnM/vWp1kR6h4e9lg/c2
hxK1U+cO3tS2FZKge5s01Ux0lOz2qc7kpywV9YfZ0+vnJKmbfx5vjnv7nnexEr0IqNNtRd8asw14
+3LQc5Kr5yUxnC+LjjCim9rW6fFQP7/DJpmhegSi8WcPkCler2DqI6EUr3pwtpwZozh+TvlpDAbL
CNd1soeo8ryxeus6YaShr1noJJptu2phIrT8E+p+1tdBurXxuhRF+SVw8vJrYjvL9wYJlu91LJZP
sFaS33N7yPVI9No3SqHmqYpzQAd9MDVPU9w687M9NGV1bPCCRne/KFfvyFkwvtulP+iH3s8HHHey
itqaUVT2Dv7vJ+ltuwQK60PPAylG4uv1EngJzM0x5jljlqkftGFZzvoY5p0F4BexDIcqEy3LOfnh
m6Vr/ZFig+4fLOHYkCgzwA5nHU3YmjsMoMbnqZzcNsLILHmGl9FgftTVa3OK+z6PX2p96NNPdqmV
/z7+jLc7RrFooCkCzSK932rbdHCV254m0aWx3OzLlNlx6BfresFvadgJynfSO5QnYHap+rsSH7he
LTP1alDQBOXZrFbADGZiICg5zc+dWEQRNtnkv4zzIo+GKeL31wssCssEaDDNlBy37Csdfay1oYp9
9gVMlyBHeIAE+/15CvkJ7RvAUaSxIO2up1gUDsSkGab5XMwrNThqzWAxzHGoDnmdNSSuY/n+VjI5
BAJZSDyBR71pGnle1a31nMBk7CkuuX2dPeWi1cK5weLs8Wa5DWcgtAljAB1Abetb8o6ON3ul4958
yWkWAfZf+iMYzfHFF7N1EEU57xyw2yAN4BVgts6omBdugVFJEttBv6jlLGd5TCmrHrBz20tJ7syK
XgMCdHSFqfNsP5owFr1YRFpenCJbcOi0n5aSAt1cxSfNn72d5PLeaMDolAApYQNpoustMpEni8AU
YDOMYjy0epefzNpAAN5o/3Arpzs9/mQ/6bLXMQo1aCglUHZVtWCraFnMPLbabKouljWY+ROlCZBV
GgS+/jm2/Sq/lL0Qzetsw1sI5xX6wWFanMCOUj23f+DB7PvHSRd9eXTXDmSR1y3d2wQPA/RxkU9/
Ct0SHXXTKvOohFZz9edCotAd/Gnsf9gN1WLUCEbvi2NwMx2qWQTZbymgmPUTSczSHeDEFPrRLJDz
OgotGT+PnWu0YTstZhdWM9Epstp5/Ttho8twlYP/yQW1isOk2covo23Dd3Z4uuVProAnfNhZPr7G
ZvV4pfHqIFNXRq6bS27WUnO1cdu+0MFII8Na5aES1Xp8PMq9IKyAuaq7TF1gK2VmAG1pRqetL4nm
OF9Mbfa/xlMsvg929m5WOh0Cmq78oc5HTqKO3H+6T2YwE5Tasb7oiemE6BvkR2fQ9yRf7k6IlID+
Kj2JG9m+zBuDEphmfVmQyT8h1ZkdaxCFp2rcfVDcGwqCqyIhIJ3Dq+J6QprmZqg/dfUlzeL1ScNT
BIHYtnhqIGHsfKY74YhHqOpXKWw6cJrrodI6qLRUs+oLIq3jqXP9+GRTBN7Zcncn9J9RNk1Q6s0i
F9VcXzT0zv8cJyA0vfSMp9lc8p34em8o6noKYEt158Ytpc/qXkf9m83QD5/xjcS/b0jSaJ7lnkHT
vaX7b5qxSeqLuZiAGJJmJIlZnMEhZFEZaMHr43N0dxT2NfxLnn43RIXESvVWwyP+YmGUHfLW1CNX
y/yn94/CAIDfaIMhbLTJY1opc1ealriUpRsfNfyJjt1Q77lT3vk2MFqYBrkKxf9t15KSQZq1tVFf
KlpNIQ3x6bnyu89trJXvbjAgIQNoFdwiHX6eRJttbVAfGkafw1rPMqNBaiQvSTH6Ox/n/oT+3zCb
LRCn/uA7vV5fpFv+beSe+cwjYArR7tpziLw3EngIql6wPC3EZa8nhNah6JZRqy/5mPknKErNEOVW
4nwCYpj7O/f5ncEgQPLII9Kxw7c2Z8C+srzs3OZi+qV8yjJkVETTlr83rbcnEaZSg81lRMceUSt1
GbH71Pb/T+z2+iTIgzZtL0qKA7Xh2fg4DIt7bpfCiMwqcy6l39l7CcSdQZW2t9JGNSmzb/IVIVov
8eXQXrAF1uRpcJN4PKR9IH99fKpuAQn4qFGpUfDpnyWx68mVvIrMbnFrXh7zp7lvEdvUfxSNgEqZ
v+bCysJkWX7Fsvvr43HvxAxVHVNoJLQSIPtcj+v32jLncS8uVK2qb+0yZp/w3amPO6OooHD97cgj
wM8gI6cwcluoQ+auU5lyoi/Zkg3mZ7Ne3SRqbAI9tcW66Z58Pc7HX6bGSu0PowM8MBxsmQxRwF0z
X/Awzv8PZ+fVGzeStu1fRIA5nLKTpGbLluV8QtgTmEORLKZf/13Ue/BNsxsivAvszmBn4OpipSfc
IX7WZ5oYT12hj96l7KO+eYl0mVSXOUSKzJ/HOW5R55f9V+CA4i/PS9PoqTLnqDjbFGmdkyHxkMc+
1KoJYyKW/OAJAJjA9aBAnVWQ2NpOHVrSokGq4c94MAvbV90p+sfpR7yStLqvxOvg1POLbhV5f5xz
U/mUU6rCbLZNk389Ucf93g5T/btWd0O8b5zBlht55O2J41OCQcLAaMFSrrsoCvK8dIbzKphyaOOO
tLudtOA2ZJlZbRzu281xPdTqxMX53HSJmVRBbDjZAaPz7iCg9/7xEWMUitoLmotXeF1JEeOIYKIn
yMHDSDlpqWHsatxh/odRqGrzcsFpxtPSvt7o0pRxgtGb4JKYZuehN+KxRllistONj7b8QeutzrW3
PCokpGTD1wONbLXQatjqYSa0XeOO7V6MA27wptLIR9yJZ23jdN3bEdzAC3OX0jJNgusRWzdP+o6k
NzDjzv3bclLx1ai6SvUtWhEbn/Gt33kzPdCmuOwQCt6wPh0vzgylawR6AcLCvs/K2vpldOt4OpI+
Nd+lFsr6szuhNEVFytbKfduZ03iyQjf5JpKiVn14yGq5d0uRehAE7Bn54rmJf+TQL7ydK3h7d5Az
dIPmqmf1u6yb8+Gzbfa543d9Z7nHeIZX4MuunLxPXNzZdDKRa9V3kYw6CMXUxCbfdBPLPHWR3Ui/
4hKVexyaZ2UX1Zoz+Vj96dW+xIAscn2XCoV8VJ1xzvZ6GafZHz/9EChhHSK0BOaNNsT1+vARFsei
mfVJkvpAkVI5ZF6a+Tx0WyIIdzYfXf8FCEOySyN+FaNXcHDsrjZF0Ex4fORtjyp0a/R0pmb1NOfR
n4PrUVxAWh7lrcXydy0p5kR6TO9wFIGVltnvGWEx6ddR3dC4VhJlC4t85z5iaosyNEJMSwfx+kMm
KAfZdcJoqjq3O4hj6c6JQ22jzHMbZzAnB3As2NIFO7GqYnkUWpqMUDoYadZ8YpNWXzMphj23VOYP
RjRfmtjL/3n/hbxzhpc82wGo8VYcWb3DxjBnWpIwqJWPut+rueQMuH+bxTDv/4eR2IbEM2wS5Fqu
P2LpiTGspCuCqJuA46FjIawPSYFB0sFMeFo2Nv+9NSPAYL3QQ6dYvgqgqFelqYqWTzCrQ3gwMEH6
oHnzlkHkvTWjAbU4dS/8s3WnwUvNNLSKugk8oc7WXxbUtMHP2wS30LR2Ky/A6tt0DwoR2BaI4jZy
A2BI/MTuhwxEFn79PTNtxnF2cJqg1/vyZ8b7PEa+As9Q8ZWo0jI/LtsOYaM0zWbfiByl8ZPMiO2N
Z+feBoLoQERAe2oRJbj+GY2uVXHf5k1gaZV5rBuzegkHU3yw5qR5fH8H3VtSGiykftQ3Fjeh66G6
BLF5bGCaQGReH54iK9bt4xiiQHB4f6B7txlGjQsyYaEVr/uYjdQQF7csVhXy5lOUKx24ENGLJ0+f
5q82cMsN8M2dAdFBoz27nP6loX89M1uZZ8gxrQhSpwfkYyS/vbjMfDfKEjDKW6CzO0vGJU0lmSY7
81vXk60wGoBc8C5UiiFe4kzIQ9K27os0x62g8c6SLe8Bzb5FdBOE5PXE6hQTLn3gegE5CLA5U3N/
LHvzz9cLcUSeH1AXBFnr/luRJ9pAX5HXh1f8lVrHTAcoqfRnaxjtL8iybdHbb3sq1L7+/4Dr7vMM
JgLFJlsEXaXlxCLxS5XnrzNgbhDVF7Bb/wrP2uhA3/uUpDJkMnQdCMJXr7lMSj6h4zDJWdGa3TTN
XrFDWkn78xIIl8kCdAMRRCVkfXNqRpiUHflP0HjQUsO6U/xQaOVumMRWnffO9clQYAThZ8GnWJtL
KcmkNOFYNIGsDXrprjpMgRdmyWNRT9nTlOrdoVDDLQjIvVHJPKlVAJ+BGrbalE5oOWE6xm1QTk70
ILNWO0bm0B2lbsrA7FvxYA/FVsRyf1A6OPT9UPRcl3uGIos8Mw+boKTD8diIufd1GZqLsl2zT0re
3bza7Bzdml7zXdE1B1DDrUmVZPVIaJORAjGr2qCfhWiOoZLVjy6f+gW9cZC7dtWWCFDk5b5RjQxM
tWtnAYQkvNgSC775+9fqnXsH8IQGywN+4gLTvL4M0gjuCE82P6a0AWqIcd8BMt5FWMZuwGrvfGw0
/RC7gKUG13n9Nob9nDcDgnfB0A75r8RQo59YMdZPsPTTj56hNAQhVXR6f3p3Dih9MzqsiDNzdtaS
OKboiTTMqgsUc86e57J0nuCTlxujvOXZ14kQZQQkZ5eKDaq967np3oARp8lXtEXdHIpRyxHHb2zE
GnAexYs1hbWez/s8S7onGpTTvujyaa/npTx2hUQtDBHW4s9WFmI5/glLg3lpZVPOXIX/7WwPdto5
8qy6VFaMsC4f09mLz9Yw/yH7cBkK4DnZ+uI0zF9WQyV1AkC1ScYzspCKr3ta5PNv28c/Wsu3URa2
PCEA3xlZt+utmmNjbTijGM+qkau72FKbI6HPtBHxr5EMDLMI48Fa4SKiObkuLUJRyLomSeaz0VIF
DnKvjpvT0EwOdyFtAlDuWttWD7VZGsXBxq70V6K0do8ZTi/RqqCF97edp3P5UhrxHBd+l3T2jww+
r3EwzNIJcGzVqkMGSaM5tJHq/KG1zPL7mQHsMfrgWJasSyj0U12tnqzpXI42lX+4GBG/QYLKKox8
Y+O/We/8Z+Mvg3Gmge7xLLHz10q4HpVQU+1S41zbGnwxKmQN8sETOiTsA/r8NrpxbZ4+pBTNdD/X
qA8fsQRTxU7T00rucRGy/m55jLovQ1HbyYdIzfpsb4oyRjZVieaTN02942eaIr92+iAy0q7cbnS/
6GrXOLRJ12Rfe21WxN60ZKcdjRi5Esae0mpjsqurkjaXin4OFkSL1heo/VVzoA5tSszYUwV97yIl
IWXnd874o511uRE73Rlp6aogt0cFh5bH8s//U90uOqj3bqG3AaUjwQus/jRFQ6soUvbvHymHP2i1
fHDhl4oDNTe4hqunyIbRm9Z5Zp4ND3EX+Dxpt58VNdrlemi99EZS/FVZzR+6vCybBknrBUZtMD0y
wevpDRKNFKXWjTMZmGb7JujI0wzrr/DNdpOUs3oB3gajQwDRHiYHRdLlE/znW1pG23pZOptnJMMM
buV43kOkbjYaR6tkgVEWjw1eAM4dmdB6SvD1deEkjnmekMZ8NPs4ejVy071YiTY/YP87bPDP7o0H
oHMh83HE2YzXs0pyb0TlA9GEJAltH9hS9aTZSfpoyAi8QdlsCfatguu3+bk0XHAQoWYFoe96vLDz
2gqdKOvML4p/oPQ2HGvaVY8VREW/Qp3nmf78fGxRrt94xtbh0v8NjT3LG+0I6OVqAdtKdyG54iEo
lKTxOZbxqQvHf1qUuh6HJC6CRrOSfU1KdspCr8Tl0sPvYeK7v39Wbg7lIhW29Ls9kk/c51e7tiuh
YTfUEKFL5/aRwsO4C+Gd7JW62moRr8oIb1NelN4QfVrEutZJdd96ajWLyDo3RGx+kVfqPimqcl8M
lfqgN/IsJQNPXYH7X1xFG1WaO2tN+xPODlgZGABre80C3ktudTo+lNVs70Si9yeOEB/WSjuEgOr4
AI8d2aVMThv33hqdvUz8aujVNpN109qKiO1zI8Rw6LQJyZFMtT6Yeu0cZxD2u5Blf+qHUu5aIaOT
Gf0h0OrtJ3DHL5pb8J5viLgmbN+sdlP7nKSFfRSaJndxKza1PpfH4vrmpfkFWZ3XBLEEun2rA0VA
X6Fxqp6FZo/OsW9CigydwAbx0CexWvkOAp+1r7eJ9sFsRT/u+47O2a7xnKLbzTZGZxu57O2yQ6Ci
J4KCONmsvma05jrSn11uqOc2rs8zT+v4ZLTOhfgZ327Hek7Ry9iItW7vZgoR7PPlOwO8WD8/YKwn
xDlNPkJh5QdFjTUfI8Nx4wa5PU1ckQSoC9ySHsW6Lj1nuaC1FxrnSVrDTtayf2zB8u7LPIyOFYBo
dO7n+hc6VRTk435Loe7OJJf3dcEzGYSV63xaTDOlq6Qwz5VWWWgeeUngAGjYODp3R6ERzr1DCu2u
8YGlZhVNrgzmmbhbfeKrZ5/TKHM2HJHecD2rbUuDjgiId44S9bqyWOMmjKRe7ZzVysv7s0gyLUIC
TQBrw5OxbstnXalb64JwYxddptT2Rt+My+gfd3bS8GNb11Ll5krNDHKe06JxEO/Q4Kr+KSccxR4U
aISq5RdN6HyOwQBPO4SAk++J6qJ5JyxLgCFVskJ1Pgotbwc/mSg87VDKSP9SjbjXH01HdggWKJU9
/qGQLBcD9z4XFN/vLT1Y3U1WDLxujFLzPAq3fBbom8OldrIf778ytxEZLxgdGxopKH5wEK/vBUqp
Zo3sgHkuo3B8LbK5e43cDrp8L4wDjef+2ChFv39/0DtHH8+HBV9KZsX1vhrU1COn1We8c2utqx90
u1AwMzSMB+IKEx85Lzk0npvu4k5kWxIQd/YtnVEeVDpi1CTXr7ueVwmmPDj+YU3W71EOs/aZLLYE
Y++PwnuGgDPF/fVFo3bsU7Doznnsp/xAZ8p8wn9tq0T9xllbnQ6KScS2lN0XptkqQ0i0BkuEGAZY
isQgrjAKeMxBw51pbNqjsNPsx5ypxsdxUJNXj6X9xVsX7/um7X8hoT19fH9V72ylJVWmNk9xnrry
Ol8WOdZvrYJxJZDVJ7oilzbDS8iFRBrLcHz2FCM9vj/kbYxEPWthdcK6gNK0DlyiKKotKNrooJVK
eOmkZx6SwWwfSnNUN2712yVlNUmPWE0qoiguXR+URFqRIBZUzjmIB9ufpFPr+8KxU30jtL+dE8tp
g4eB2sQDeVOuc8OR5lirnJVmHH8U5PqZ74hG/xIO3pau6O1BXLYOD8XSuaKQtDqI9OjU0ptdxgrT
0tmpeW+WfpG5ldgDhIpbXzWbpN0h2jMZCOqn+h+aT3HJWWDfSAT5K+j9dRDgVfPcRloZBdhNu35N
RX0/juL7n+4SBkGrlSSabhmF0Ouli5Oi60wkJgOnrW2/MJ3uM3TQeVfK2N5o4txbPMAXb+BELu81
LUXTWLMK74Kgqgr9ocHq4Si6wnqq4kjbOG53h8LNl+gJIwfSwOtZGRAYSYk66O6yfGkSs36glPxl
dnKxUUi93fnI1YCMXlxDACatn4ja69I4ar0o6FpVuXRqX/zSYrPcv79It7cHbx3wM7SO3kR6Vosk
w2TM0BMtAqdwF5tZWX5vulb8rj2rfR7bqPsoUAjcWK7bqS2vLNfVIkmFwtiq3V5MuIRldgJc0QXL
BGOIv4Vl5/x+f253hoFyyfEiwmeS6w7YCM+Bl7urMZ1r6WvkZvIseZJPfz4KaEHeA84Rcf7yhf9T
eYgJcdJQgI4Jc9ntaqCYu7zQtkgUN9uO4JmgCBz7ooYObPN6FDRkF0KP0gZ61oe73ObtjLQ8Q5jj
T5HLbyYQoKOX4tfC3V9fDuDgmjoDkHfu+q57NWar/tnXxh8CO95GIVw3idXZATc0anLffiLjR4Ut
SobXckYZdk7sbiOSvdkCgEdAZuGjgcIVYcHyWf+zOC0BDfcQWi3dqFX7vo6jvTdvKiDdLg6JNHUn
/kNvC7zq9SglgijeJKBaIRtlaIdktrOTV3jGsNdr3ELe32/3BqNzRi8HIcAFwnw9mG3iqdAaoXdO
hjm2H0tXH6mklsUU+jrM3I1L/KYCtThtLq8ERSHei/X7WytzXU2AGc6WKWzfztvMr6z4oIzF93gq
t4QV742G4R4ZFGeWbuvqLI29guR2NIdnkCz6z7EeMfPMauWxI7OLfCuy/rB9zS5cuPXUtql/0NJY
JzqqlKqnAOEMDBBNe5E33UFa5dSix9zV5Yl48g/l+JYRF/8ugFqwEKimryoCSR5Z3YDPNn6bvfUP
qh/Kx4Y68Ov7m+R23y9nCt4y9yxkqLdq23/2fQ7bVqMVJQIUnfTPXh2Kb9CLxMP/MgqhGTfFQqdY
zaWEhITmFRADD7b9AVdqCnRi2NJMu3miqA+zOEv9ZBHcXFfksAfDC8HuZOCVs/MhUxNx6PExeDJS
jJ4ye5gOea39IcCSZSILpDlO9IKiBMyH61OWm42loBMtA8TqiqNWZelebSSC0TAH9u9/xSXau0on
VkOtrnZp0fJq6AkHeuHOr4admvspXtDfmpHsk3zMPnpTnD9mSjYc3h/5NpPhkC09HVJCcjNqkNez
ROrPQrtbl8HYt/FjFoOuM+282ks3w90nRPu7b2e/akPnJFqlR/AcPlAL3xfMpJ+7bbHxg27vNgJG
ull0mzToDGuZTD5CPTejHALNxU0F7KbywUnc8jAiYb0R79/ZVeD8gCAv/dylM349dURUhdGZ8Rj0
bZqf4Eraft71g6+NTY7PVTUdehEbGwfm7qC4ty9MdQzc19QCegtDriC6E2COWT5FwMSOWW32AYV+
8dFBuvx36qZbfZibwpgO7AE5ZN4M6n43QCASmahoqqwP7Fgt0g+pKC0f0bJ/wsXka0bzfJej5+1L
AEPaqbecTZHXO6tKcLk4NyCztdTVrz+1VSV9W3fRgO5cKI+jMyV70UdkOTIaHzd29HIuV4eJouai
RuUslOQ1iaj3qC2MkzFgPBW1pV9GjWP5kUzyFy1b1G2MdAx/lcxy9qWmx8o+70zk/OdeUGEKmzSy
Nk73vckvHQXWAK4R7b7rydeSJjeSI7jwFdj/OVbv7bpBOXlq0Zw25r6Ezeu5s5UR9CSq5q+r02wv
Ria2TMYgFPVo0SGpX9L8h567FmTbOh2/O3xw+BIJZsN+j3GJb2HntdGy0u5N2EAHkfAE+xFEsa8n
rMKxrYqeg6X3LRi6zPPkobZj72LphRUkkfazNnSUppJqTL6nmXiMVfezHZlx5mdue/T0wtzVESoH
p0Sga7gRPd05DDBeWAbEvTgL66RUTvDxrUwdeRilbj1ZlImtnaAe7vi5Nc26n1jNZ12Eerw3kSlK
fOrz0bTRern3I3gzCXAWAQLqNtefKMGIz+uVbgx4hZpxb7vIORa2CB+1lFaM62VyJyL138Zp8p+D
26GZ+v5OuQ2ziIZNGpnc+NxE65QFgeVGqDnXUCJrupj5+KxjxLkriFYfRC02ZnvnfWMfsBdI9mis
rc3oixqzBydNp6Ap4vZRFWFN7iKgZvjmFD27alH7CMO3QU3st5U2rQXIlncclQc4i5ggUvRcwwXD
JI3DJi6ngLpocWzRK6Cr4mLjkir1RyVEANPoLCw0hDCFi0BCU716aosTSOrJVt9XOBgGxjy0pyiX
w0Fv7F9lNVc7o6y3Io7lXKxO7/9heYh03pjy15vCVYZWx/EDFB5rc5RIavhdapobl8SdrbdIDrP6
nE8a86u4xqh7ra7iZAowuoufFV0HqFFGGtYCs3mQQzahs2aJT73Mmt+5k8hv7++8N1vzm1kirWfh
qAOlaR3+Fg7y6DVvDuAROZ7mwY0OuhorCEegydtUoXw1Ii/7HHGl7lwLaJ4bKbUf54l5TEbF2TuT
Y/hTZGm7NGvHg0tRdeNw3HmjIYsDJNBRa0RNcXVhtwly+dj+TAH+n/O5HKb5dfTQ6PFjo2loReph
+z3PtY1EdY0te9uo3EmLrhIQG8qQ18vfiK7s+n6agkHx6p0lm8zv42H8wO/8xN7F/LGuyoNThd7e
dBa/61rtP4vaGp966owgzp0t7Ys75xaeIHbu4OlUEH2ruLQdMmUKk3gOaFbQElaHngzQUyTSDV06
ZifROO3RyGmQDK6SfXl/o9xbBQoq9HVsNskN5Y0SqWx0dFmCVtX6fyYDUWrHIN5vAeL6de7FlzzP
vP9lEaiFoYqBYDWUgtXpQGctN/ABmwLXkWowuRpHXbZCVU9ZqasoKFu8Hr4eJypOcPkYf1HgcJaP
GQp6FqL/WdP6JF3u1wrz+O/vf5A7dzaREyIa/DhQcfpqNdDMCx0EKqYALCuiHWkKZd3XYoc+x9xE
l9EYu3bjrbx3I9FZIGQDE2HQxL7ekji7qqViYSg0t3hpKGNuf5rlXGzUOW+RH1zRwP2Xy3lpT62D
/i5hbmUopqDSqcDvQ9f1DtoUEYsrQ9Wmj54j9JdS1Oa/NpiBfxWEzqJjA9UI/IfUtS1HlLsnEbCs
zUsFMRdVm+tpj5aJPrLSzEFjpPZ4SGrVNv16QFN116K6dFQzVtjFAfIvzyzSDokHXf05OGNxsWUT
IQmItcnvIXGaaetL3QmtiOMhQpEf8b/rOlPnDYYSxt0chINhfq3Ql1CBVVnzoS9N4ghLm4rAkx46
Jeg//c7M+jSjwvWYeBElLwl38duMlICPCpjjtwgKbKRUb32L68sdAhWaMpi8oNJOfHP95Rp1zD2t
LNRAp84qn6QXKq899b/owRQmtRx69NlzyT2q+YniJa/WWJZ/V7liXYSNkWzTTcNnfJi98bBQlPn3
2w7ifKOZZ0dBYRSIjAzlRnRyu8mvf/Pyz/9TKUHl37abKuY3Tyi+tLln7BBB9B7fP723K8coDuEW
fdc7/c+pjRYcaagGBjiLNMh4HoeDW9ZG/kGdayPdvT/cbWLP444QwILUBc6IBtT1rGDoeWnksIeV
2QFLaXSNUfNsJnjOzG527Lrm0nft8FFxpopgiIrigkNXhtccXZkKB7ERDfH3f9My5NXmIIYmJ6HG
Bo2PW2W1OUYzn9NQN+YAMMhQ+X1Z5ocBJAy2ZhQVzopT9c6uMcpM3QMTSeRnzYzrX+//htvkZPkR
tJ95UBao2bp42ow2NzaaDEFVo0fqDymeXX5kFMcstkZKm6bSB4ql5+Ro7rjLELN6RNjKPTgxJdC0
U6iPKFP+ZZySeh+PKKS///tuNiM/D88ciLboHLp06VbLlqLvGfadGuSc28I34jS3fMRejHH//kA3
b/sy0JsoGfRDKtar/eGqSjYnCOoG1ZDnBBrFX9E4flMa5R9hVXuAzUdbLY/vj3kL+6KJxbDU1YAP
Eo+vnjA7zLGThgsdTBow9V0nFfnFqpoQpEgfCgw6R9l8IOZVCkBvqZH6c2HYhT/BvVQ35n/76PBb
TL4zVykdX7Ae1196MuKSJs2kBo3ZeeKDEhNAPWm8os8iLSPvWJD3pXtpm2N4AENWW6j+g+8hFJTg
DtEFNr+9/3XuLD0RMbkKDb+lz7OK/6JK6jVMES1ojU6cQ0+VL6k1eVvZ+XLKVqeQwhPxN7uLrbZW
gdRkK8eKODSYhsH+2+5K4PVxqfT1vswiq9gp8SSSJxVvA20vyMrD3Ywzxs+48ybPH+VEg8NPS73G
tKOFqrTFZnjj4lz9Psqu1G8gV5IFsUlW60INTCEK6LNLWmi5dagHbVI+6mhthSa2jgM+5Jrej9PH
kv8PUUEvxZDtGDqEoucKbHF2UB1lEoccaD8k/CxTmwcR4/n4TYpoGvdFXeTD18RIzeGoW4OivOah
24t/3Kma24sXJo7V+ameiOovYaS0inxkaSyr3Ud4ERUzNLrBKPdR2eJ0b09zNv62wVdEzwKvCxmU
XVYoG9fm7VXOi0/piFCYZxUZlNXGSGp71MUYJRc3m3QghEj+/G1mtvFjnNMBfGavCw1EteWBeDaV
1Pg+pRMM98aI0mKvd1pcvEKNEcbGVbUsxPVCLSU20JNL04vttLqqYFSGaZPkeIk58fChtbruJ10G
zrJmK4P3IXZG1cC+BjvCh/cPys3VRX0LcRYSJqCVIDVWO0SdqC1FpR5fZAyP+UEMdeSecmTYsBQz
RQ6S0esuUKgigYM8Wqob63FzTimkAsbmv/QkIHGunrF8qAicbDu+iNwbhI/RaP9Zd6otbsDt52X3
Ew7ziC/66WukuVPxzIyWWl5KRMrdnSG9oXlRM6Rb/5rcuPw3JFP5hdsUdgzvf96bSIUnmlYA7B5u
B1CEy/z/Ew8twj56lSCxUo+J+9gonnKqsBs+mValbARFt59yiQao9EMcBRe2Vi3y+qFwabJUl0nY
04OOA+opRh98//6EbkexFq37ZRgKXnSCryekxLleCdlWF7XJLfhEo7OvjKbeiH1v0jNYjcsckMng
WNzUmbp+Dr1M76qLNL3qhIqiPA1uaX52+t476JpC2P3+tG7CqYVGSSFHA70NoneNIdI9t5K5IcWF
WF/HU5QsFQMzA0zlcbISO/xAIJpUnyJoh+MBDSNn+Nl6TdxsEalu9wswFSix5ElQ0cHeXn/efvYM
gcRefaGyWz2oQp/CI4zqWvOlo23SBO585qVzsshqQC/ECOx6NEsvB8q0sbgobKlD2RTNQ+lO3kMf
GXrqayBNtY3tc2d+C7eZihnFS2A4q+2TZpU5AXUVl2hMbTxzUoDxXuq03y1HGf99f03vbFXikQX+
BSoGoORqLOmOajKpqrhoiSG6nWlEmH6quqRS//5A9z4jnWFg6UuX/aa6kmoYJII9EjilJurOwIYs
oDQlnnXZ0RnIhnHaGPDuV0RK9f/0IChAXq+b2vaum0yDuFQDCTvYYvUJ7cr5yXYJNd+f292hQJ6Z
y8VIEL16Hxx86+VsCXEZQs8udvOkGvW+sbzIe4w7Z/j+/mgUzfnpVw8h+ETCSHeB9C1M6tUBgEiY
DyW2SBcEkXE99nbC0KoP6OAWAcb21d5A6PmbayuBog6/Ukj0h2L2yuMkKOtPRJk7d87651ECdPBx
J+1/m7Ow/xmmcjeNmbOLo1x7jKFs+aUhhnaHIQaJgZ5kmKRVmm/IPD6JIkcTtCu95FusTYHoDOfZ
k7ZGkq8oflUuPr2Zl18oaY/nsTXdD00SNwei3R6XpD7o646urhLm02XKpDiose2ib+Wg+DdP8bdk
0kRF56yVhyiKscmRcs8f1R91qfwo2vTZDsvxoVaRaBuSUOZ+Ipwi9p2obS4AybVonxpu8ak0rOaM
6El2zsZQPZVWM3FTqKGPZOaHMnTzA79qvLiYUh9rmU21jB9pXo7Rt5Qq/isygONvTRRhtq8nLwva
RclnV8dDaz870PKTT04I8uaptmc+lodqtvfFwjMm3YMHZHmW7tznoey13s+rXK8fvMmpfjfjEMd+
o9b4Z1WYXGbHqbApUftxoeesyFwS2fG9zVJcoHlrs/eURIpTYksknL9cc0iTB3fsF3WFruiHJr50
PM3TZ1uF6v6A2YoZfoPkl7T2TqYoS1g7VWrd8GA5Wf1vP1pAdd14jM0jKmZjdeq0RdFMTbI4Oc6g
+4nd4CKREXO0mkOo4BywN6Z2SI5ojYn5AFN2PCtQhH7psqkx66wI9/q5saNjrA36uOucDo3koZtG
fa+mqlvtrAaYru+h2Yynijq0KrrJfS4euryNy/Po4e30YHWJPu7JEIry8wBbsDvRP+7RLgxzKuGo
VdgECLheqAEILks75WVa4AVWp7UOzcJVovZbl6eN8tkIs+HfzmwM60vJddQWO5OOW7bTKrX1jrGX
Of0JyD2Rda/nEEsnw20FxTbe2CPOBX150IasQohskO4P3SzQYACpJDO/qe0atyEqYNmht4T3qS6F
mu2SZgoL7NfCpPJNLxryUz1ktfxiQsSefyRxOyWfRC6rnz1mQtODEMmU7su6bW3fqay6eAlbp4CW
k6QOBBU7biimmVNKAmCh5RI1fprJVN9hFa7HZIRtnv806rgUPr2B3pB+P9BRQNI8la8IKLnmk8yi
/Osw5hFwXghe7cca1J6RA6TQ9I5hFuUsoy0mKLGozoVPUYup2MVqa8deTlDodk+dhUvqZTYrKqJt
5+BJlCT2MBzRHJ7y5zANY/lFcSv1X8L0Jt7HFlkbBwh/uoOriSnD7ELtm5fRmJrutfW6ulvUNXN1
uGDBIwwf7yGz9wuymfnJqVK13s2VReHbFu6ipIVduteGPoo+ffboziMbyUXpxq6pKM4G5eeusJVz
hvqX+1INoxFPEBii3NkTkPXV3yawFe9LnHZ1vBezXds7pVMnlVK6lGjyjc4AgxkL6tOUWe7wd6gV
Vf6spAyKQ4geieMwYE+vm6HLAw9PNqVFnMZp+jUCGF0czdTsex/be9yFQiQVvsVTJBrfcpJYfsB+
eCp9dcoGeUYgrsxOCrG2sidDsCY409J0XuwJ4bQd6o6m46tOZ4rDxLp1vjc3TfpkZk4h97le1NXy
amUE3lZeRYfcNvv5NIkuL4IQBTLPD1NDF4+ysfThMiU6Cg7SKnBz0lCvgupSpk0Ig3KpZCRzreof
LZtNsUvCIsL12cRx7aSqU108UnHHiUzOlB58Gx71VzQBqTjYSgytW8lVU37E/MhQ4acPurfzWq8t
AgQPDOVTpepJ88IPaZXvQw97/eJo4RgfSja4/eDUuTHvqaV0+p6ldg1/brL5mxUhvFexvLEZc1tQ
+t45rTlZOwfZ84EzEIa6tcPKuLX2RaGhX82mH+TBGdLJPdXT2OV7RRV18jG0NaXkEk3l5Lug2YeT
MKGb+Q1JaOeXXTuLj5Nmwo7SRmT//FK03HUtf1j1MC2ig4+lllrFmbUb84e5KagAD15dfI1GQlkO
lWCzZnXTfJVp6hX7Si2F5YOkb38KxIK+R64TqgenQw0JZUSI9+eahgwOhZHOnZ+MAP2Ql6vj4hRP
0DB8cqAWynlVwlFS8t6eHpGPi3sOd1Vh0lBViep3oDB/qKIx252woEs+qO04mvuBa1L9VIU1/Yps
rKbYT/LFK9ktkcP0xyLJ58M42Y31krndlD62mexgKsleMUZ6q5OCcp0ZpzLe2V3vZb9TU5rtpVY8
PLm4tELho67ndkfLqIygaqBGzH46lVPtu2MpEV0dw1k5tnVhzr+11M3qoz2Gzo++sqp2j4cYxV5d
FXL0RWeGJdJU+Mie0ImIdV8TaglVZcLb1m/10fw0l3NZHP8fe2eyHDeSpetXKcs91JiHa121ABDB
iJBIkSI1bmAURWFwuGMen/5+UGZWiiG12HnvtmpRZkqKQiDgcD/nP//g8AlvV9T93cd6NTAzQFyF
iCVi6yirvY5+532ur7JiB1pXdZ32pHyA0iHiiZlSdukF7DABcWPKl3pX8C1sb5BIl1Cb6zaICE1i
zL+M/fyxhSkz7ysPk5NorIyViEw1BeYtQoVB3oy4etUtHFOZi0hV+aDFKepo/xUCdevDOjk2rvWN
t1xJrD4haJaWNb4j22TuTv06iuFD7y6ZHa7poHVHKFGeCnNjht3R+k7W7WDxivICW6Qij9e6QePB
+HFYj0nZrfmHReleu+8YreYRLlTDejnZ4zDtdb9r/Xiy02C5cqw6eOvZhWoPSW2Y3e0MgulGZu0k
7aH1tlDnukqwcYHK6o83hK4U5V5o/qq95DBpPuAGTQx9UImc3FBAkgdgpCKLO75sxtkOXooHka5N
dWUWnvI+0v5RIli9Z007d6y14ZLAO1NdpD55dNHakXuwm52qFGxJVpVewmKQ5EnwdnoHdJB6GVVz
apt7HNkoBZl2jOtupVLZpsvMtCJf1k4WdrNlrxd2babla9Pqca4cVTp2x6BrF+MUrJlHTJMyYJ4v
LH2mCksjun2mO8qNdUPU40XZr5QvTWGm72afZXFi9UOp0zOQtR1pauXyklS9sd3PBlLQcBBVJt4k
lpVf9tIz6shNxoJtI7GWkkRPY6j4cqYmQQa9zd049awsNmWVcLe+p66nHI/XfW6vprywDYqwfToE
1XCqG6rbXZlmjXZLrpnlx3bXZZoIMaMYKfSIZgmSNZrMrFzu06ArgjzsS41MJm0UVRMVZYOPBhrw
qtlrbc1ItfVJT428vkmneDYSTXtnr0n6OS1607zVsqZ9byQGXv6x7ixzd3CRbZDyneXVcsqn3PjQ
aja8r2QArQuDzk3mPUV4vbwOpE1ATKtU+6Y3qyA4poTfqZACr6t30PNdtcccNcM5znLKgIOrHt45
4H4no0jc4og0v0evxzciLuaSlY+B4NROcakc+WBMunLiuehn+1ANq/ZWpwDzQpauM8fDavgqmt3C
0i61WZf53mqq/lRZRZnsS12zFoIgMkehtddUT8JLyzZQrjYxS6mjz3KXsR0HJ+xRanb7RA7q6LLu
+3A12hnLG0vIa81cXJ8CjPL3crKMxopLur0ldMWUOvx/NbswS3tGLEuXBd4pBam3Q00rzVuyAKzi
YNdCeaG2sPu8rNfFDUK7xqGR14RC+IInNSQxsM5ovKxkYi8v+7UjGmr2LdwlEqeZWWfemrNk8D5k
J+rmRp5c06urIwVHX0UF0cskXyT99ChW05sujNXO0n3CUH0N3bl3271oZG7tJvx/sxvehWK8aIaM
AZAg4cinGZNr9UoZ6VxeyM3FJiSiEqepCD/S8cbKDVF8TnCaGmKj04psjmTdNNdVKppPS1bYeAS6
eVI3bARW77+soMWmISCqRtQvvWSR7NHTbc1h1a16xjm+jPmV0IOB8fPEbPS0mDRdF2AhQfI6oKCy
9sGsB2ksVLZ2cwh1LGkv59yqqL3gkRQ7fUF4fegr0gRhcWBKaMWOma/Z5Vh1TRMXsvfWyC1gTUb8
Z9ldbZFp1gUlHAJgakY/PyEyII7VNXsmt4W32re2aCZ16RZTM+/MghLlA2L3xl6YDWhu8FgwSesv
rTxzEANPQ5lDqNJligYcnqU2tyEMinpg+iiDzg8xthjFA8zAtbn51qP/18P8f9LH6vr3Zrz713/z
54eqXlqSrPqzP/7rMn9oq6762v/39mv//mtPf+lfr+tHddu3j4/95X19/jef/CL//h/Xj+/7+yd/
2CmOx+VmeGyXN4/dUPbfLsIn3f7m//aH/3j89q/cLfXjP3+7/yJzFecdhkQP/W9//Oj45Z+/AYBz
+G0Qx399f5E//sbVveSXw/sy//nvPN53Pf+G4bzAQAq98zYJ29yEfvvH9Pj7T+wXeHmZ7A3GBkbb
4FWqavvsn79p/guUJyi3voXVbEQuftZVwx8/Y7wMEghLBXEhlqr+b39+uicP66+H9w81yOsKb7vu
n7+d4TkkAUCQ5bMBM0LIhzr2FDqaNQU0ZY/z0Sz7ejfKud8VjTB3mrE+5/1xPhWEdQXq5VsebCcg
VcYuT6/VFGlKqNxqHQkQ7EMGAbgDm3TC7GNqAxCyo9XNNocvgmk9HRmi281wwbRbPANi+dtdfYcq
bZ+ECSmURaiq2Pef09NRZrVNldnWUfSpdKN5nBlUu22nYdIgAuTxhik/ThONO8ZByBSkManqAM6d
ytBTUz/tM6drqQTy1XT2btm47yB65kFoSG25plkzH2RrtiqykqLJ6HycYYxWOTMED4LNhJ2xd6xt
YR+RtbaTE/qNWugGOtrkcGjM4U6sUIhPanGWJXYXoh33Tlmvm3/LmN1y+Bu3HezXI/71/Ur0RY+T
uNYkzrJfislJd3aP2j+kzRv7fW3681WVZhq0FHY6DkqVV16UNwAAjxlOy58aS4zxnM76JXW9drIU
WAUf1NWBJLpu1HblaMxBmDa1ftvhSKVH29Z0h3QxeLc0VutFqvRna+eWc9PHchjUhQMFFZjHBSHZ
gQ4Wb605kDf10Czpfq1QpSHszMfHqVVkKWhuZ+0Hj5C1nZOtVXGnadmkgRzIZtgznldzjK1VikO1
1prXglGAQy1cmRhRTIPx0nYU9dt3b/Ef78n378XZHAwGLz5oaNt4NbE3x5ft6VqdmJ5gaVrZR5dc
hNicpf/Ba4ok0pRJiVxo3aljgnlkqebPzG3OEM8/rsxYKsA2kmb4DGEdsYnUAmDEY6cm4zoR3ron
zywPE0sO961YnjMP+PG15FY3V2YSsaBFYJvw9FYFp5iWaChCWHKrH+K+u7xphqokEnLxtXcj4nsr
Gkbfqfclh8Mbs5KBPEBYs05jg3V5/J/zpF+28wSSJ5R0DoD/+Th5z9Hwj9P9CPPm9yPqye/9caTo
/gsGbZuHxhYUSpf17yNFd19s2ytiEORG/AWu9eeR4rz43XptU6Zvu98W7PXnkeK9wEIM/QosQfZE
6AF/60g5X8BUehZTWsYfG/MQzf/ZesLfhG0+7XnDKXc2DDHC2vBda+XdhW01xTNv6vkJxpGC/9lm
GAZawESCo/L7kSr+5aDMgcnlNLbrbF67g21O6I3o9p6Zs/Dy8499f3AwDNwuhx0kNCc8Ks9fTrgf
Q4VY7+DRS5k7oSbcjNslG9+hkLa+zJSJayjTjHt26nFxEcc03c2M1GCOWq3Myoug8f0ptM2eWZAm
q8KNfeA1L3LgHiavqqRsvohST3T+A6aioec6wwPtAckHA0WhF86LVk1hIIdcxj7Coy+llkPaFsnI
kKL2FAiJTJf+q60NTK+hi5HlMjdpQavj9pq5T1PtQ+0H2sMik/bGaBovIWovS2kQ4HPsLQafxQ6E
spgvtEBmfoiJXXDvtiL1IqiipgrBEwdG81krb0zR9Q8cGS74nZM4d45tjOIweI4GvdR0kMkU2HgC
CdXVGsQaY9z5MDSlFuxnx1zrQ1lMyaOjjP59WxCXwohRowueW11nIOPL9DEoTBNURKrsE1b/MHEV
TQLtFOiEf8rgdIxRH1jJW0slMCCnDiPmSAFJX4GaJu+6wJ0LMDNq8HDE7ELfOWbRP1rzRnyaqt6y
Y8fBvnaXNCM2uZ1rubgo1EPlHgOmnRhiTLXI33Coz48TpT0BCt00qL1WldhKBXZivQIYRwiVD1BA
QgPpBzGQq5RFWHiNd5u3BdYTgUgYY8w4+yyh5+N+Fq5ePd873mR8QSxk3fpa5ZURsojxMMm0eLBE
stK8DqmV0Mrb5hgVRtu8tbVkMsJ01Ih8NBhHjAfprPVRqsX0Y6P1vYe0xScaSFk474DcrI8ZER1i
383CLC5gsHufKUqmr3WQtpdAddQD+QCgHjr6Mg+hLRyX4ZSwRuuwLNZ4RwykLUK1goRipEUS646e
16k2pn42x8rHSni3Fsgd4kIDHIx13Z7akPAMSUCEk3uXmHTYlDmAmDcm5DS1U37rf4KPyXjNWU0o
aAI8gdN1qe2c3ko4czhYDm9UpznDnadz/OxE67KwA70pm62JMcuwE5Xj3KvCktNOBlXjfNX1Mtff
Ct9Q1aMZaNMjQafOG9cpmkdM6vPsWOidaRIVMuQpGIu+XDfe2lYvnaRGnYbjk/d5tQAGw87Ve2dX
rSpv3ldtU/TXwnYz8Z+OiZbsW8eE8ZxF08LZ8j+fceG96h/V9wec8dev/XnEuS+AXRHREHNAHNZm
fP5H16Q7LxhtQK+DDsExtzGE/jriaBLgEkBf2KRf8ES+P+LQ2UODh+MPuQjG/d9pms6p2Jt2YTNg
RjK9yWlRmT09c5CyEbmpr8Uhd8ZEj1PpuJe1kGYbBaWXXCaO3cstZgVhhypK+6WRZ+7HtFtt6zCl
yRQ5baderaWGm62ysC9mtFrvhNEOXjy5XQNUAKns91X3pE3/vqL94eii5/qmRaZ5ZB8+l8BMueYa
fSbFwUmVDLtkKV72bZZs1ov0CGBiJ6jiz2X3nPPrtm/Kpq5EVUFVQP93VkcjHmtsSGXFIdFHhoar
vR6GclYXyDWBf2T/aGedfjOXI66/GXYAc2s40WykRuTMz8lXz2v67bNA/oC7sGnVEN88fWp2y7jb
mhZxKJNgijJacdyjU4NKfnIjEWQFxMak3ytvaY7fLfCfdBM/lETICbB0pipD8WRCCn565UKfDUva
XLn2x5pRZdcSW92qU83U8AJkUXz49fV+fNYbi49vnJKO3v7cOkCr5qIm+Vgecjblo3SGIqyN1Xmz
kBH0jjpA51wW9jML7Mevl25dx8DfZHE58PGf3iSmdO3o4dx6cLB3qqPGzpg7Z2V1gItXHJ15ma6V
IR00q+7Fr2+Xx8i//aQu26xjudXtBaedOe9h9KpxuyJz64Nf+eLtCLSqxT30mzk2WNXQKzRtsHb9
XHCwyiS9QbRx2VDOfFm3k86pzTa4QHnyAbQmm3dSeCXD6G+Ho+9rHJTNdmYOSs5fC6f2P/ffjlQm
pRQWVT9TFCXbeTu77mWTVNWN1mwHsWhMfU8imndBl7rLfRrYpDXdMi63czsrDWs8aFStQTQVU/k1
wKQzzoVS3QkKhn69UDAq6PNz1lO99MYQr5mp2nAKvN6jqqA1iJoEBmGhl0yw2mQq1C5D7NPGU50v
bzfDMkKyUwX0qYr8wpdel8UOatAq6t2RSGzC1erYLXJ1UfPCXMisKphigGteytUdOCpdo64jq+vn
izw1xyBsiy744I/t8rnxFNpiv+yCKMdRzwyFV4hpL3JbfTRlMd0PXpLIK1ghgtGxs0yfhE5fyfFR
O/ustytmQJ1qyGuECHIq8yaDnsD0iLl/d2NofmQQvSKiAMrdJcY80PWxbWXm3nQE3sfN5ukQTZQJ
n4qs9C5mcPFmxwgZdFTPdPMjPsLpg71KUx1a08rSY1mYzp3s5iyBgVVR1vZGrk5KaNMcr3ALGvZB
fPTHoqr6sF0LNyrnwJ/DbCzLPkqTRsUqMZy9MBLBbFcWpsKrsVw6ODLSTGJ3zAbk2NNawKdeiiJe
8G2E5GEmbRkRE+leum7Ka1iUwwqYz7Z/5+aU4KHNK/Op0ptKgXkxwzrAXauc2O1Fb4ep31QiqioT
HzNrEAKuD+PDdpejNjJirwhsho0eIZtW6dgn6YxwUmBiyys6d2g6Vtuo+neZ1H/gXtpznY2LneV/
Ll1uNwz2H7eDvO/b++8rmH//7l/1C5gvOz0GIJQdG377Z/1ivqDJxshqc4njHOKo+LN+MV7Q1LOF
AkiCxwI8s63/2aLbtO9EbLCdYxOEe5T3t+oXCqEn2yW+gtBoIZiTaAAOek6F7DJs2H219hebJPv1
ojR5m48jdT7zInnXEOd9YAbrveEYWa8YGiw74WXDhbtK/zlNwg/wE5+FIAIOjA3RwK9zOzu/o0T3
Q1sMHQE9FzDdKUwmp0oYmXpdYcO+V4Z/Aau2/uq49fQKm65Ri9HQ22/cNFs/1J3RPgf8QTY//3I2
n6lNR7UdoJtU9ekHSlgmXK2zLxIkZ5Bd9CkV0Vwmw9tWWtZrhdHnTbXyDYZNO/Zj1PopVi2dL+ZX
5Dc48JNtixth6xTXYizWfJd661zEvK0wlhqjgQWnraII7bwsqoiBs5GDW0hIG0MfqDsgOvvegISx
xp5Zt7c1lMUvmpUMggSzPL12cIN0kVStzWG0M/TBTnW7yia7zkBjDPDpoCU6nR4/gKrVJVM41FIe
LT9Jkp3eBhkagulxzF4FdY+EbZyc8sEQok6jzszTrTZd2+HC0OfuivCm4JNRUKKGSdrqQUgS7UIs
hdtCNyD0JV8jMRv662BCxhm5tedMIdhxaYSGPc0nFwYerWrde1dN5dqKNluYI1PNZvBCi16OfcvV
zC+mNLoYErW4lpjK3Ul/2CgzbVHdJypPbxxvEXOY5rNxB8PJb4C7S+vT5BftXdu2FNqML8ouatsl
hWeWGvN7hP1aEfYp9PdQOE33ALtJACNkQ/XBWJF8z6tKKyaiNQH0iUj8V2Ng5FNEhGFRkq20ZutH
ypW5DpH5GZSFpDMVO82dVBGv0zyYYTANWn6DV6qhnzIiWfKD62Saf1mu+oKMvrfKAFZSJU6IJFoD
jXdKQhtGjaOKQRaCFgflOn83Tw4d82r2xRcva1s9QomTf9YmYy3jpC91khT72iCUobPWfjfNNCQh
gQ3jG6FpndgJHVFfPLK9dHFuVNq4IxNysffCDaoAeh1fQyRqlWahGAmoAwjAqiG0MWxoX3bFINMr
DCUs/ZWjQ1ONajLARDSJSX1OMigVISbhvbcXI71BOM165US9auvH2VOVc/Iaa03jpoV6sm99Hxfz
yUg1edJqvK7joJjp5StIRlt4htO8TbGgc8J5KvOPvU//f3BHGxqN6siRDH17NZqw0aRHCnqfrndQ
4gw3Ygmvl0W1DtbLFsU+YpwBY+nY24q7NTKZJhmh4Gu7qAvU/TelWFuGzn6HB7hdiOxBgODUxymt
oNfaejaPUdOlXnnIvLWvYxhj4Ndwc+uwUUO7hlnmFVdiGPovTVD5RiwwiJoZ6EC9jKde1HNIYPoW
tmlqnR5Xht985Y7rz4luVDIyGg0ao/QosiCrLclrz8n9LCr7yX4l8emcY8gk7Tt3KuZb3DSG96qG
AUD+1MK60zLV1yxjuMxxK51exEXnDBYE486U8Wzl5lXbT8EYrskinQghu4lAqp6te6IYdCNsEl8Z
YWaaHasEZV118snI/ODR7WSxWpmUk7XYjK9TVxbuEYbmCValmhB4C/uuUzhNQYmbJxmWhd67+xwT
ETPOZ9uYIzLWVROPMknwmDb9bZJMZj3tBKM5krPwfbsKprX2d7lWuPfFlDef4QBa16vOtIggqLbY
ZSb4YkiiwCwvpjnhhdVn+HDf5m12CAGKiPhJa7Fb1EdmZmHitxoPeyaJCJcun9diNvmydmWVqLcI
CztsnbwpeDnrJoUS7GXfiIiQSYlH1czyxoe3cOO6UvZxALXhIzv3+oBb8EwusbYIWGqKIzssvSF/
qMtqeS2FkiuBY3Kww8bTPOeaEGS4Sxjnm/ebx6YXmit2rgQdLwKGqS8n1qYai8gxhkDR8pfZFAdJ
19vRAnEEf3nIliCiywLxd3Aa/yZLhfzirZ13kSZ2drJmh3PU8LTRj2pn2gjDi01lOjCLAhJoBvkq
r1xonGsPOhnmMp3WPU20eEf8U/+1ziir4wyLnS8t9b2P5NwzBIQWw9H2Db/zpnW6Lt8NcDReA64W
MjQ9zf4ojKrk4yYzhXoLFNfuCH1uECj3Xf0o26xJ9uOc41TizT4w7EpSSxPCvljeDFQLy9Fi6LDw
eKxa7YocGC7S4BpeBuR7WREM1O4SjSncts5XzBdV5TYo0YtxSuOVh9KEusG+6qqUF5/TLsDNIelh
K60YpqQnBh6lH5mJUgOHV+E8FMCSYgex6ANsIKWHbMHrH4lw/ylmvxWz32wsni9my3tK0/y8mv32
y39Us6bBwAk1IrgZDvymT0X0RzVreC/0Te+KZS+6tm+jqL+qWZ/qFgQCDA/kheb8r2rWe0GSgA3A
h6ppK5Kpsf5/OAwO3b9PmY0NKWpr86xgy3COhcZDIsGSLJxviemffEJMIJ0l4plh0zmQgwRrk77g
zM2biM797FLOAoZEOsJyXND5fp1nyAOSccGHAS74yzytx5vv2oufAEcbMPQ9rsH1vgGZJEO7Ntb5
Z8VxipmDgynMemTOPO30QGmxZ2Ph9fevwk5N9A6iS9z6zuCpbErc3NC19TiaUnuoE7F8gBJOkfbr
y5yjUtwM1BXGkMCAPKzzNEv8KHJzqhz9mDBcDwuU4UewQHY/qUhyhXZepuGUp+vjry97PiD8dmPI
vmymdhgPWWd3l9ZVXSfLBA6mGX1cedlDvwYuOpv578a7cyXWBFRa/seQ8Nx5DEOVucZQRz/OSl+v
7TUXJwE77hlPjZ/cD+FBCByQsGH79a1/+a5hEghxsmzRzGPSo2ypu8Y+YneuCAZb/2bsBjkYLjUs
Y1UiuxCFeBvs9t2lGK8pT7azdURYl0dq9NGWbLKpv/uAmIxj2YqI1Hfg5Zwt8tIdR3ceXPfYW7KL
x8G/z0r3ckV78Mzb+8Pb5KLxNlxiWbjW1m0+vZ3AGler8grv2GXGV/LB8oMtZnv/67v5Fmf95J3d
rsJ9bHnQ+NCdm/oSQksaWN15x8LE3nNasKyW1uScZkdmB4U57UsL7udL2Dr97dxQ9iCEaQ6eVsE4
BaPem9BGX0EwXK9b2skr3RfjyyxR2r7w22GXFT41f2M959X7k+8GBSYgKswAC3eTs+9m6jVDbCob
EHhyQjNveKMP9XNh9z9eBFsIdKWb5BMF5vn4HBUaKHjdJ0dVu02ErXwSao0+PAMH/+QqKBR50QHB
Nlvq7effrVpcezPpWEtyRGih4tEBWks7xq6/fs6/i1OfPmgIeJyKnAZYYYJhnF3H7Oomq/PkWPaz
x3i7GD3j0I1G9hn0vX+XNrP9RdlYi++nBGnGrsOIwMXqLkGsEKDPW6MubQzUtYiQYeCuWh7ROYAo
dFDhg0g4yAAiJux+v8Ptvw5CvBSSJq6ovPp91jDYvMxtKR+pgN13GMtKPdLrynaO7pRgEImqUe2s
yi0/efBYbZJPOWvCOS99dyetbLiTCLSK0CRGBpquDk8NVGp5rKYOM6CUUjqBRsYgde+QmFKH2sBw
Y5MOTNXRoKRPwt4aG3mwpj59uRZYuV20Zj6/LzNXfhQIqeo46KzskOM7UkB+q9qPet8yYeprGYiw
bg3UQ6Lj8YezXXdfCgfG30y3SqOBQYkR+iXRmzccJ1m/q205JqHbFxpC82VYLobSnNeDCw/g1FNT
i7DUhf7aMicqRQPOBXUqMHmK4a4GUINQE1+Kid6KGfK4zDfo/px2h5VH8riWsLz8VpaAB2DoTSR1
XV2lBWlAqDRg6+6YTwdoWzJiMu11advbzgKXjXL43pDq0cV/WpkZOfTO9nzAJJy+z+lk2+7QHbVe
nFhrdiCFdsYdnRutmTJn2VvSvbuvQMI1IEMWFDeGZaD9qqrCSCOTLvhtoQ29CBE6jvcw2/0gzu1C
FnHZwSkXWDhcapPKPxplFTBH9zpwKCdJ3morZukRYSVafezNZNwbBtBAREY9/5jSO3iIzWrUXVTJ
dn0tIWGkr7t8YmGYyvYelQ2xEdVPsjnDOBn50jg5evmFaxKMFHqapV3XXWfe5Nbo3tmg1vd6ZY2v
u14mr/Ae0+7rbkmcSOje/JoUl1XtglxLHvw87a29H9Qw6JgToZkkbYj+0Se9Fcma62vFib6yz/Ai
rv37CXVVchih8hg0XUnRRyJv1i5akhkVgdda5pusIX47BkvrP08YmnxjryyM7iFQEhDf0m+FTkAL
vy+21AWQxKy8MwvojXFnpPV0WDRB1J6tYVG2Z4nM76wU2C/uptRqdqluaXf4pDQq9GRdvx4WbDgi
f86D92OnmcT5LILUeaxYh2sl/exz1o3SZt2hl9trU2K4nyazz6qoG3lkIcJB780w2vN4KoVv55EJ
nKHFc+e472vexLc1nxGvXL0m6J5ZXSZjlXdo3HqBYQR5BzV9WFbg/BPppqrfirRD8tU4VpFhqutq
X5Le7AaYpInzQKbJcDelOJSF6IdGHMx83Oz5y3n74Aaq6XeQSQcNz8dyWkNT7/QE6DLrZViY23Bu
qhv9omwGBElV3ye7FSoVYoepKRAM4B3p70U1Bl/9xhqKiLZztsBWuuz9lKbI8brWtaJFesFN70Bt
j7Oy8F+XI+SNfYe9w7stmI7GuMmHJR4k5BewEnuxI0pTZHlSk/YckWkAdXWcA4cuFTfPIhy1rMUy
FAjL5h3LV40WnvfzLROwsTzgwiPyC1hVvJIz/sNXA/jwLcC2vK2XpfmCdg92jTGtcFySovAfB1tP
PolajA++L+i6U81OZOTqxhTynRSXtaPRnZeEhOso3cp8DL15qY4jWv8KJU7tiQgHeCIih3kBduGV
zdvrQORBFVXpZOK0BOo+MXIkzhKBi+7II+J0rb3WgQuy0KF0K4A756QMF0Xb8oqc6uKNNtqTd7k4
mAZFmRnwEssm169weXDEhUSMR8WcqIYnnpJAHJq5FDrX9oYaP+0a/5pknZltDjjphXVVpff1sPhx
smasAczkKK0TgovjyVq1DRu0/EPboFkIJ7dxbnBgcJf41+fjD6cwkwWMseFam/Qo0Oaeno6tBUeC
Fso9rlrhXZJOJdGQ2dMzxfDPrsK0hAVCRgjDkbPa0WnZ3kU1eEeEHpumJVDqk85TO/ztm6FR9UzK
Rx4eBIqnN5O3rJRc2f5xgQK7Q3wmGSOL59yIfnIzvoHglFqb+h626NOrFCroXVyWcCrOmTkL2QS7
gc76mXL7Z1eBjejAy6CBpWN+epVKGZkYauxnpnrJvjhy9V/rIhXP2Cn+/Cq0Q6ZNDKZ73gs1RYbU
3RH+scqW/tLjmMLYyUyeefzb9/6kBKOedPFYDmhQ4LWcUzpwDem9Ku/8o15NY2jojXFZo1oMtwH9
M1/bN/Ous2ttVp2wwiH/cMmzpeaqotZSaQdUP6/WtHuVIUztG+DefhEhAMC70ntITMnpCVSINQXf
SwTKDaAJCt4tt5nXQYZ7t/h3OmNjiZeB1uylK+8y7X3SFAcvmGTcWPOnVvvy69W7fbInn5wq2LRM
NB46uyGz4adP3ELB6KqWdRVMagZrxYN+9HBWsIa3fjkuz5TfPzyTzWHXwYOQySKcq/N3pazHTg2q
TY5J09wbejntFWGL4epkz0XG/7DGuBJNBJAFNrqkmJ29L24KUmE2frK9lV28lcIOUupnnvtPLkIf
tzWObFb0E2esIc+tchM/VO2IwSN4OFVJWINm/j9c5dvSgh8E7f+8MxoKz2+8Ehw0VXP5GZF3Rb9Y
mrtfL4Sf3QsyJIbPvJCQ1zaE5rvOqMg0FzKsl2JBV7JoFX7Hx6xzn/Mk/8kK2FpgVpyNAfo3VPD7
y6RLO3RikdlJU5l945CCeCTIbD75Y27Gv76jn10KOdSGg9CMYdl0dkc9fApFAXMqB32KdPwX9pgw
FFfY3NbPrOvz3E5qbNRS5L0A8VjEvwRny621ujzJjLo8YeJpj/FANY/+nXitDnNF1V+TJOa/Wsy1
hV6lu5UI014SX+2lI64hTdPf03SUiBItRQKln4u+2TsdipnQMArRhnPZWxqhAUvtfUg8V3YR8shW
xTb5Bt6u98fsa2LXVH78iMbDXRW0G/p2zboY0yCIrUmM2TNZYtvifrpzQKgnSmfr1rc09bM9zzBX
qsDaKE5zbpQXAv7ccXadpkAWVXs3CAsRcXdTre8wgZDXWU1q6a+f748rdkuBw6QPsRvRAt8c6L9b
sS7mJS3c8/LU+l11UpUU106AdcCvr/LjBrk9V8519ka293NbNiEwdEXsU56GUk+vqlmzKlrTUY81
o7SggbdJ87ffxG3LQk7AkoWWeI5Z28qviszL5ClFQcz4LR3zXU4x/Pd3LzI0kWJAhYc45Jyridoi
N3sr99TJ6TL75AkKpTlrnvG93CqGp6uECB/YjQZfIqkv54mVbdB4RmUTn67Tq8NrMIT2TvbpZuQx
zO/EYA43FVyOt6tt/i80GT+5OHTWLXyFwSm729MdAH3UwtCpqE9+tdhXEwSeKdTRMAeRh0gZwYQx
9Z8RiVBuV52Tznt7WjDY7MG3rchWU7MfsiG9NVffOGQZrMlQqZn215/T4c1i8e397a0eZs9Gxd3S
8zZP0qcf2NOSDjZMGxy9zqXfgwb8avJpOH+9pH/y4mwMH3LmGcwYBFs+vcpcke+RuE5ybFJhXLYJ
YnMgMfnMkz+/Ci/LZrRDfeEi9wFfP7uKP42LlLI69bLSot6c/i93Z7bdNpJt2185PwAP9M0rQIqk
JLeyLTtfMCQ36JsI9PH1d0JOV4qUUrw+9+WcOyqrKkc6pSCCQCBi77XmmiNTX5Ize8l1Rh7fX+sj
ucqifumXiWE9HqUa+4Q6umouy8Vov4LFqesIt+sIm2EewXxJI1ryzP36ZzMITBq1MDLaVVmK1+pk
7cN6HNdITevLTkfP5/TEh7du3ZyZQePpFLIEIFlny8RmBtXY8cUVXsPUUmG4ZD3PUXx0crmrh2DF
7MBQzXd63I7l61WG+l4XohqifMjBnS249yNEUuVn+If2Bcn24wf8F7E6szSePttriqCPYp5CiEfT
zjl56fU+K7sbi+4ScE9QbHn+p6txgvS0yRypK6oOlYvBSwj3Jq3BnJx5WE7f7wzvrwZdmyxcZulU
HZZwTkEbpoZLuDNalKYV5lyLzVFhqXNhnacvgYeh2BWtNV1uuNN9K6i5BfiFO1yWjoHMlton/NNl
Tm+bNsBI3xEcc/HyHfbM3OIfwEjwgEnmHjv+6isN/IVKjBEnk01KCtsjNVPRSdUnQ0vwgeUQ1lBe
2YhsoVhQ2Hp5+GfmdoVFI89n94UQ8GSJgJTgmmnnjZe5r9nIDAxqQXrfWy0Konz59SL/o1b7iwCA
I3DAvwIF1vH+wxf4n4EJ+GXr5G7691Z7hJlT3pX/4uzkR/9utBtIQDlj0h+Fdwjrn4Xwt2zUf8V7
lZ45vWeCEzy+y9+NdgADsHp5ShyH+gS4bb7H37JR/9XaVHNZn/m1HCsc8/+l0Y5CE6vwKkLht+G7
PLlf8cAHRq9lap/GBBqhr6quRpVn115KUfPR/Lz7tbg/dquc3psk50HKNdYdC41B+nXHjwYn5Dzh
T/U9qEIP6dvgfgxQj8G1LPsffzwUJ+OVCboeITi0HA8VCFR0MC31fR+oJSoGH7hYSUmxydvpz6+K
geimspUFhnTaztfmZhxS0Rt7w45pxawRs1lb1cSFZcGZteWpR4meKg82twU1pdXXfXxZhgEnDrO6
SToEAd/AJOWnROj9zaJV+WGs8hE6Sg1NFsD2rldGfBXIYflKi8BDt5Uk+efFidUG62p9lSZMyNaj
bPuzolVwZXrGH4ZdYnXn03JYRIuMe4Pt6vGnrYykzyxgwvskceML3nbU8uj/7F/+qk/ftesovEvQ
V2MQgyt6cpbHeNo6SB7NvQ7Sk05SM2z0wpdnRBvYXvi0jzcsGEU5S6zS6oBTMFjW46up4w6Ap8iz
g2PnlkGVCClWaAaj9PfzMoCCG/pWEszFZhXkeusNkhaOGe99rVOfbTf5VKW6+8XypdBRR2rEnlD8
qD/4ZtHellpl0caKcwz7nuzu6P2I+wQvBMJc4UzmVs3+ktOXon8bOpSF3/oUn38II0CULElGV6jc
Zg6QyOdkFjrtZBM5FECCjOKxMq2tnuSU5IUDaKKcLQ66Nr/JB0NH/WNTuwBAofRo/btBNP5IOVuJ
kXAUidM1GSc9ewsqq5MbzBHmSlSEFhTqXUwzRJuSOdvQrm32PiYF4840UyTAipbNV3SD5l9OGmyV
4833nlLdW03Lprtused5k3kEh7VTCvaUzWzp7FIbY0MYGBKElFh3RShJa42jh+923DkAmr2PAKuW
BsW08JerFFnPX2qKlR4FTWeDkkOqU23yoWz+ime/w5QEFx8Vdh7EH+pqaZ2tV+E/3aH/dbZBgRUn
MvRWem8b/I9f7D6eP9F9a21M2b70tvYUJz8TNUw5KgzkwEB+3O6W8O+6DFNjiq9ibzHuCftFUBvI
0qaJ1WfpDYuf9Qb1DaWYcsimg1aLRe1xxU249Malxnc7uYV+hSg3HS9cR0vedFLNCB35B1/6vKgI
GaxTyNBQ/nIXbaI+z5G/sh7DxkWyR+aGHzv5G76KwtuYRazvOQJ6Lc0MFtKtB1fM2+rou+dDrNPY
C6F5ax8dsiOqMKDm7UZJBSIs7PI4fqME5fvQrrD5XZDzt6DOTMHGhV0H4Xibz8FihPnY9Pk2wYZ9
kZB3YYV8OViD59Vr3qyuc3v2v7hzHZsXvd1n7HHtGAAYsV95SpwkvvWAPb6L7hnsa1g8WNv58ovv
sz7TFpsezO+wlDDCW37Bvp9t9fCN0Gas8vmDbR5MYwsWczXTd9CJvQi/EyZ768Fwnyq2syDJ5uq2
0SZxm8+Oi+wSl1RcrIANmj+F0V3PUzPWkVN47U+WKgu8FJGx85cJWaV76XOg/NKNk/a9USVqXB5i
B59WUykeQBJuxhKMoiHx4MyF87VqtQVPz1BZ16JQnbsbcMdfu7SizbDvU/NWA6voouDUOlpwFidC
pOFT9iGQMsVPhHiTNn0Z+Bs5F2n5Js07Lp2+qmGGckrjn02qcE7N7gj4uRa5ag6LqzviokmggYUZ
rZklXOiV9pHbV+KjPTfTTYpVjpgvjJfJxmYNfE/xXOXRvCCEpetgWcNmdKspxlKmMnreSeJAWVcx
ODA7pw2cVKPEn+/12hcLHNh7KWm1bx5W6j/aLv7rJvDxHvB/K1WKXca/7xdv2h/fMvaL3+7arOf/
P/xIsqb+r+YnO8jiTvZ3j9Waf2Oq+IX/mI/WOhZV3gex5rqh+b2LdF8hS6LuS68YSsiqtHq0iwzY
c63GaegdHLX5s9+7yJUqgtV69cSg3yORI/iTXSS/6PjluJphVxMNv85nu7X++aOSXrKQHZpofQmJ
sdril3Y25gSMmtXd+4Q2+0x0wLp7O3oV0yBDcAjEirxuyiAnr2J0a8bCsbveu8uQvM1kMxJcUdIk
9KdzEqpzQ52UKbBUkCAnl3qPWMLb0EZ2Ixhf8QY0rPvr8fhXM/dDP+DosoCrUDNYrwiGWHCqPZoM
HKFd0WN4NbtxL0rXzcOlafWLfCVKuCtbQuvt+U6P0WDIUtZvepXYAOLT/nWlx+Y35APkP9KkhVcy
uib909HCRBPXkrwz31gNOGOWbYKSLKNIDqX9KZ0JMx6EnFl7l8XbWzBvtxa05M+Z0a8r4GpaNek4
78BgjPGOl3sWTr63XHHEty7g7OrAKeixxiFvIoy44wq7ePSY/N8cG06m5WSDB/eBzTwZnPvZa/NN
ovnlfdnkVggtRd38+Qr14oH2f+JRlUO+a1BF5wDCPpu/uIf/fRl6s+Lo/usKxF0Fs+HuiNlANf7p
r/p9jPVesfQ8lNLpGzygBn7rxe1XVBv4uh024jS4eUT+XoCA4fGYsi+3+GSIQFeSwN/rj/FqTf1Y
QW3r0sTt/kd4ouMzAGVXXHD8DopuFug9xz8pv2pDsyS6nYrD5KVUyxZrTJKInPYxejRVz9yKz47j
EsCCWAOw1mnTtZA5JStHiIMFxiQy0tTephVkzpdHObFP/n05AT091MBUrU4vB7COmtOcYca6rT/Y
CkqlNqVesctjEHoQIc3lJ4ha4x3A4BG8CwSGC0eWwy7BEnUuhe7Za370YdaC1+OlvcsC5WLDP7Sa
SfhT3lQf+4aNxMvX/NwoNhluHBVRfdCcPR5F80TbdFUlOF0BEU7ZV74jh7g9F2Z9bpiTiyHsRGd/
iM29Jlf8ou6rYJ9KbeHd/J8n6pnb5Pht+Ov7o8AKsYTSA7lO60vl0ZSZU9woBATiQKTCtdtPNzVD
klA7KJID/HOi1eNX1K/RWGgpcpKD57un7VIQBDFQkqqHbxTA5vGnvGW76phNHfqZcS6y8rh7+Gs0
Xr3rpoHKClSWk2trOrIymqI/GHXXFpualNV810CnWN4T5Ip6rSutpt3qcZpg77KwDkazNi7yzP1y
3D54+BgrrAXsGZsXuvgnU0yvtiBloBkOXd8SST3qGCwvSBQdhkj2seXca0sdJxyTOSq8e/nbfWZo
btH1TU3tjK3VyQw0riGUM3gC/kCCTJPTxo6zN+mPaNT0KDZEfkXtFU3oy8M+c+uylD5YOdi2PSnU
qRkB5MQUH0pTw9XdN0F2VaXK/PDyMMb68f/ZhTzMLB4BDs/r3hCnz8mTGAx1WwRZKg9O3JHh7M5Y
cVfJpLVsbeEsb/3RS9owk3UeJgun/9XKRqJxm1S9PLMQPnvJAW2adevrwCA5vteI16vtMXN5WpG2
wCibVv8PxOSXr/iZUTydVjjuJep4RBMej4ITnUIaEdYHy2yuScwe9o6h4t3Lg5y0hNZpBQ6wrnA8
OtSpTteEYqAWJJZOHGa8oFde290PQoyhm/jVlTda6Nl7ZTbeBWK+flsng/cQV6OuTDF2+5rkBhn2
nedeZ2mA3vrlD/f0jg54y9Bq5bCAeMw7mecmwGSqJfBLqI52H9q2rMm2MSYUqhZGwA3y1dIOnaRj
n/3ywMfNkl+TssZpYnvBycMb9XjqHbfSvcliUuzGNlE050peAq8e9m3VV3LbltNysL2x3/S62d+/
PPZzF+2vBT1ycCmq2ifbSqmR2EK9Xh5IHvM+ev3sEoU4L0a1q+wYZ3JtlJkZDjVpVmcesadLKEY8
+uq855DSUfs/vmqXzrqfCN6oSz7LN20wDMb7TtZLd0GHl+6QhvB0pcd7y10s+jbbrqQ9efvy5T+9
67EAceW8cumvPyln8rS5Mwrn5pD0cXUVa1WFLbTtt/+NUSxa1ewcsfOdQrVgJoB6m3AXDIL8c80U
4t3Ui+rME/z0fcu1EKC8MhxppJzeRnQBfJBcZXNgK9RcEcET/KzIat0A5KhxJhtV+8cLEwN6rP4Y
wtgKn+IkfLtc5ATF8CATSqypHLJdmqEefnnynr7Y11FYkHBc4ql01zv40TaiGumkoPduDviGVx2y
OwBuRGVtAfX/71zQunmnVMv6tG7UHw8l9diAZm8xg5MzXPjDVB8s8H5nHvdnLwj/mc1Cu+puTx53
3tkpBmm3OcQ5O70kk2oz2uP0YZJZd/Hy3D17S/D9+PTc1hzDkyVN5A6ZLD43nplOakLYK82LsZ3d
ITIWx7smTtd8+/KIz15cwF1I35+Nyel700wa9saBAy/fKry/SETm9Kx72Ycq8IozN8Zzzy6LJhOI
j49348m3hVfApyKIfr0xjZGk5dndpO54TiXw3AWtOFS8vFwPO4Hje6Kz2HTOdtIeaDgPnwjWcT+g
Sesu6Tg5Z1bE54Za9WArq3bNhjtZEUetd8mDZaiUcybGrmIgJIlAhmWo0zPtojNDneqxOSQq0bl6
cwisXDSbwenbT3gRQDK1bDjvX74nnvuiVo+1CYkXxcepyMWoDWUAvmsOLvng4F0cdyfts33V5+71
wEapgwAcoal9eqgRQIuIecLCBYAivrbsorajOFhMEoParFWbqfaBnL98ac/NY+DoBkpC7neE9Md3
R65Pqzif2nSzDO2GoJd0n5s0bRazKM88y8/NIntRA0noWioITm73kdgKIGUs78ydIoqU7DOCRsSZ
h+qZ/YC9is55pHC/4yk+vqC+6eGOgpA/zD3g7CiXmIY6z1ava7uK97F0lvqqarFynRl35Tyd7rhp
X7JirEhyVNOnBwoXo56tON3tl3QxE45UbfmFr8+/FdM43/lWNzpbGIe+DdrQgyjUBS3YH1Hn4tvk
ZJaMltrLNdA3OaweAqxSLwKwTq4yrrf3TWUUH7RuKsXOT9n6hcNU6HkkKtf6MdZpZ/K4kcvOzw0Z
wLS81mC69mNqXtpllXgboWdgyQhLNZaNDGTzA6TaCD2NHvXrFjKLCE1W1O+08wAG+123wlMm2CBJ
HcTLhbtUUNa8LMDyMyCLTQDo5bPYZo1edWEz0/yJSnZB3zMCeQgEXKzpp9OMdhnqurTWuL0eNZgA
6QYy3xrNr5mY0yvZiuq2sqXx1pNmAgMERi48GLegfQo1aPFIeYlsIH4/g2TF1U6B3V2NqZdx/h5Z
MrldM1w7LljOMUp8RU0zTY3kvqXo0qzVI4RaM4WIYqta2ZkhJHxyvVr4IJ9N0RdLRF6cTC4An3AQ
M7G3NZslxwEI35kHjeimnv6/QYNsjJrSWu5HsyvflFmsAyDs9BGfFwv3aytNizeYeMzXdjeRw5G2
rR5qXZKSXTblwXJNfJwi0qnrqq9N4E5kd1Ppr/jhZLi08IlnKIiwOXEdrQ9SJsuZUtAx9XslkowC
MtqtfpvMSeEe8tpFtbz4Q61FQJgCb4tLyfhp1Wn2V65nLucK1Qa7oYJWmjkV233Cqbo6yoNZ3I9z
LW5qzSuW69L283sA2VKGAenaWkg5RblYLQXRNlZn+Ku5dVVaajoRQQcMrfFfSb/GS1IH9LoLWoLF
bQzS+udMR2JktRiQFybaSDybMkflb/G5wkakCTnfqlnQbZRG544RsYfZx55EnG9ZPzdq0/JebMIe
IdSNR4gC1E+Zp7syNS12Sn1WvVvsZfI3ZbKIy6XoSS/I2DuJzbyUGKTkGNefR2Xi1NXJxU2jpB8N
IDmJRcndbgIuoxlcIYhyt4wlglqzqA08U2CFdlPQLhPM+GslFZWOvCE3xrJbJ99ZrszJDBWx54AU
CmjfGV1qrbxlQc5bnZugwdJEKjdUmilpcIskfb9SbYY3Ct1+FRGiBGirdyj2HcqkLqqN0cmGE1ji
t2+dRAGccjATyyi1YiMIdSXS761r86so6XMx8UQqO8gdluUpGUS1NePWrbaeXhpxBMaxwkVj6bnY
xFXaMcte5n/TNUcVVy6RO87F4iqDTLsqMN9PS1o60CmrvoSA0zd75fXL294nm4K0yaSTkTX1ngS0
VPtvZ7uEDeV6C99UbSwtsLDBakbgWx2yXJtkMUQFxFZVlAlcCXK79PHUwbMr8gO4t5S4v8zh5SFc
t997fpyVUakP4LxqiNLtrge2mEYyUfV3c5JGGcpMEJoGeKwD2JMn6iabMFltLXIb3yYGTs6tZWTi
zUA6FjFPRS8Pc6GJb/Sx8xmDnpy/21ZmvyPDFEX/mtLGNUJ5/yaghOV7SJ7+wbTGmOSmPvC/2bGh
uKMXQqi2Xg61qImVuk2GpDSvIMbHZP70af4D+2glo2RsRifyCyt2N1o6e7ezgdMyWgQlVmJUi57n
niCSoSVD6SI18/GTjE3xnowq8V1mo7rv6zH9Qi52V0SA3YQVdV7vMn1GUdIsR6r5ExKshxgj051v
Kzzua05yIGrC3nNMAMXmiEQDvN2BvkmHh1Ymfno1xeXyo45jqw1tywE53tizkYYqG+xhk416e5to
Sf8eKyo3StEpdV2xNtz6CJsrqFFA/Lb54OdOWBOJwu8PquwdvCfxnpCr4G6yZGNGs9NWV12sXEXd
MRWXWYAyfIMDQpSRVZo0h4wgnjKyoKV5b5Rq5h/T3a7CNNBW7FfOU0bT3C/ncBJ9D1iKFwl9JYKX
pi12HR+mqjXw8CSmC+OUUthwBfHY/1ZNaoSKC5YoZH7JvAJH0HwHH17ZB5hZMPZ6t+HV09D+eusU
1CK2VjnpXZRkhfE9H9Pis2cvOk1w7ugDJwWYngOBTjL0zZF3XSAybYiSIHZgucbT2IWkmhQud6GT
/IXknGAog6iU1XYvrX1JSX8vedvfZ5M/fh6tqkl2EGzzFWRnmSPAVZJwt2rMCn+btN78JWdS38eN
UV/5vAOsSBgEKW61gId5m9qYF4Z6WsMEzRn0tDTrLzwIFlCceYlTxLudLQCpVvFXuG3Q0soeUpmP
pykJM2dW/pntyvObFTrHqzQf/9TJVj3PQU2TEcb5EJTiPq/QmCYmegSQVSyMXVTYSXFmy/5kf2sj
oKRERPt7jU85dZ1mGhA6vXbrg1dp+js3fwPAttVVv5lm7Zyb6kltZh0LBiRnYagiT4DHo222KHjZ
sfsqpQhU+JV1SXfTL9EpSytqasnG0yniH0Sk+gegZtOvY+QfiST+t7Ug8QKv+Ov/tEjW2K6jRK3b
NQLl+Z7j3z/7u8tov+IYSF8fRy7CwdXa8lvm4L+in8K3wgkRt+4aCfJ3lxH4KtV4+h/ontfe35r8
9FvlYL0iB2s1eeEjXeX+QKb/AErFGI9L4xR6bO75taWJ+RmL4smJeNKUaqC6JZQn53GrFt/4UAYy
/vhoap7pHp2crBiFMxz8LXLAKJmhXTw+iOg6uD/LGd0dOY5yX5GvR6/eE1sOH/725aFO6q+/huK8
A1bFpHV8qtAsqXNORLs6uw4o5Y6qDSIzH/bdYek6Nj/ZQD2aD1NFULaNLy+P/XQyeZapgCLj4D9P
XADUexXV8szdIQ6Lv0MmVFFi9uL7H4+yBoOhj8LzgWR2nexHNTRPzz32eoOzy2GYJGFK1ucnjEXE
Fb88zjNfWoCdgmIqdDTE/ydn1DKo8lRUibWDlapvGy0YN3JZeHda9rkl6ngoWjO+tdoZ8PBxpwTU
B48vKfWVWQST4a2SDO/WH4J4kwmH+BVbnOtaPDcUxWHkQ0SN822czJ4+UgQyIGfuEjnF92ZcLVBf
ZiO7JAeBhtefTOF6XZgRubTVMIOI6PTN4reqormjBTtCbNVudDXe7KbGjrnnyH9mrOOb7++xIAKz
xFO9RTp8PIekvZNPlrnBDgFL24dzV+Y32Mvy3cuX9Pww7KgAU9FbOl0w2tbPyfW2gl1VTdAF3Bxg
LQnl25dHefotrS5OG+UQLSygCScXk62ABDb4wW4iIg6A50yNOB/7YdMWgnbCy4M9c0mszsQXcp+v
bseTWyLI+wzpr88lpYLzjZiHqDGLcxXO44Xp4fuhJEITYtWIUPNZ//zRY8uhyTD0Jol3iy3LywBU
6IxytBvvYs6lr6fZTN5WSHUJiGbzdIY/8PQKCXa0qNbZq/CIAujx2KM3deOSdMGu7XrOWKMdRIkB
/PLleTTWx/SfPut6iSxKfGM0WaHLgc04HkZ4/iAh7se7uiCOb+N5vY4I2CDfORytOMsvdBLch6i1
odiEcTzhsszUSIY0bo3iu1bFfR7ZdtHXqK1N6K0vf7yn9xQ6NI6orDM8AsZph8NZGs0y8pkEhVlD
7cY5gc62FURD3soz5b2TjvOvmQA2afJ6hYdIU+Z4JhBH5MTjecHOqDq951jXL1gBW1iFsdHUF1YG
o0rKvns3UD6LwDnrb2divus/v2RywPgYCBlpOZ/a0qjwJdLTm3jnDPi0S98m0aStrE3rLvPmj2eX
FRXVAhANttGns9uxnNoga7QdL0GxX4T5leOICCvKPmdGenC6HN9mvs5dvL6UsKlQHz6eXA03mKM1
UtvVcw0oNxW6sbzz9cbkPOQqsNC1fXCmJIVH55UJ6QyEmxc7RWFJC8dxBhvG+RoQGmpiwU/k+odc
ohHASu33DqRfx/5RuHFJ1QWNUBvppFa2dwYH82KDEh35ud0tokMkAK9mo6ctLK8/nMtA5xZdXfyA
g+DQnVygMSVa3SYJ0DJ/um3rvINJUn2tK/dcqOKTdSFA5EqFnRY5Gxeiio5nMm5GTcKMrvdzwBnT
azp3S4BWc+YLe7ourMOwJWLhoRnnPvz5o6VPLga1IEfVe2syJTL1SQ33gUO9JRdDsoEeIPb2nLR3
TlINW2np3pVRJm7UQycDZ+3M4k5xGfa5WX4g7B3dSHyugH0vdjWWZjT4x5eflPM4NW0u90xv2QLb
yqwAUcCc3FMdUd61SzWXVPISGfI2K21qkd2QLB8NTtNbg+M/CWACOeqGJIIhFNWIqK1yGljSS2lk
TjR0ZS0jMeQVaeJTO/+QBeY4MHJDYUUE2jow4BIju2mMWFQXpV3qc0jJZjtXdXevkacy7ZbCR2ek
ZWLQdr5T5HqkVR1VDrOweftava3e6bFdsnG32z2x4dYuU07ZhGblWz0Fa8eLrw0jzngQY5vAsTRX
V1quk2amqnipN36WYRo2evDt1Fwn/702OLyXuoekWYnRBp2MGsc3GeZ4YHhLBe67ru1hT7QcRYPG
KPSUKiLuFf4Xd0CYZp51W6HfiknHnmZyaKVupds4aYyezA9/PoyoH75Cp0L3n9quQPbTNQE6Xk3q
B2BnVNU10OnfymIAelWWNkUwIysB0POxs4umiXvtraXzL6Nedmz4zf3wWvk6FUx3NoQDjczMV9Eu
yCoodJO8g9Kn/F23gvfDBr3KRId2yO4BmHntBVtBynm5Tw2bKMScEDs50uAK6wwgfmglgzGAX+v0
5kIOY/J5GnJiepbUXSgZoiKieuZOpkPgOZHi0UwbgTyd1LbID9d9Su4CiLeB6aRy8Eqp4g11LeOm
HPP+WjcKVo+pSFR6MVPJhiXGTxBt0Y4oIevEkGGdyvYdSQELVJpADWbYarnoIj/W3CBq5oEKn96a
wfU4dOovy0iXcieT3P8qJCSw/QRL7F2qV5q/s2rHfaP49SiO6lJ+lX3rdJGYkW1sx8E1m81U2Q7p
ERbtlYvcUH19adYuuvchU80nMdmKZbCcacLkmompfaiN79Msh5siFY4RUnuoPs7SLBWo/kB7KwD8
uNjGTNFcuBC7qaOvpHfMXhWoUemJOrthlv2N31MKDilGzpDX6ceAIPWrzgo9UGNXqaknNH94fLM3
gArty1wf6AK6xSoI1YyssSK3mybQCbkxf07i0f4B4qz8HJhsHZn5YrqsyR6PMaiLvIiS0rkr84J3
bLA4/VcLV7HisbTLn2nDv7WhO0Ps5JwHxB8Fy5t4Jv+pcKrqW92UcPyzVU5Cq8C3wrgyjIIaJhlK
EWi6/MbvSK2KBDmKX9shXT1QRPzdBpS4/E1l5AbGtXnNF51IGO7CxeiCAWkUheUJuO/OdAd72qVI
kVbTuON9xRtm8rdTI9ONgk1JgAFxEa9nEKtRSaYb+M0UjNQwFstea8htDIvaS0BBeAR9sLDIOtsM
iQPiXOlkEgHsaGacVnOuvxe2237vksXBFVXkJuV5XrHeVlv87j0Fz+m272pHC41ctqAmRAEZztPK
lr1KYr3Ok9mbt4Ho8nqjG701ALBYxI3eezQUqmBKbhvLThD71CCi2GV6G7ISy9AaautbGoBZCvsR
IefWd8z0jYTHySqUyvSDbud9ustasn1ZEysrMjKPB7mD95xeTJ493lhDQpDSuPA2D0cTWk+Iv5ZH
bc4ttXyQVVVt7cSJiazya+dGkMRUhb3srDKiHed8IIl+omU3TZ1/IZd+JoykGHdDXFpfNEXNmbmA
NBaxCDSfywVS29bXYuM7eca+jDg4kPqGQTG2tsZAbMSV7JbqDtsfn5H6QkAlPPapbi5eZzHl2rzc
8RwZcZi6rFbb2bUKfddYS00m6WymxFwgRcRKt3ZG6brY5FDa7FtgFuMWvKTviR9OTmVaY3TEAhKV
kHs+9EvDcj1NwnotUuq/Ifp14ZNx4hFPTsPCrsIMlN+GLabT7dTA5G0RUedE/dmZUSFY7Zeftt04
n9D3aF+qaane1XZACEU9jpIsqcBV9CaaEVnOOBbiR6brww/dnFyojHVnfW5FNpWQU2rd3KXj2F5b
nUIragN/Zbsu7bEOXfjcfVi2dXVjsXP6RGJB99WJzdoKLaMc38eAAesLTMzeTSkm4xYpW+aF40QQ
byhn4dNmrBbtxosH9WGsZ6/D3IdHbWuQw0AlGm+bxnLrWdcDHuuvpZkPP4gWxczYjKruN26tmC0p
BSK/GAnrTE1bicuCUvPwllJneoeN8DUHmuID+RH+tHHmyjT2qikBmmGUmwXPDi2myMJo8t1EbMsp
Qarpq7sWxFa6LlksiwtjAVljRjfWVg4wt84Q5k4GU9G9icuYsRMXHutuyVL7PQsFzQbSbwId15zf
Z7s5g2hmj1Xmbl3KVEtkuXo27P1kIHG8R66pLoFqxlmkeiEBykJQBrnpy2ncxakolk28zB5hQ3Yg
qy3nDu1GiGJQFwkEWB4kane4GBOXO8Nz6NFoeiV3xNf27S1sXZopbkvjeDeVpGlsvKR3r6asiOsL
28EGSfDpbMtonJGth7w3gFRBfVGSHkVZzZvUaoNb6SiXLXfn5BgU+8bPN/YyEscTt/jQI9NpdPcK
obTe7xy2QEZYL22V72cl9M8G2+YpXPOmfuB+zKqIW9pLrvHnkHM2tzkRDzHdo2902dP7uYh7EhbM
cjQvvF5O1105m97W5RFDGVTHtPSz2PM/KsTbP9KxkGtIlDc62JftnADdWcl3kz3p4G4FPt8bPS7M
qyEW5rtB2Qvpaobs91Zr9vW28ntRXI7E5H5TyNHnSNdhVG783I0PLj/mX5PwruiqKyRlr53e7zRU
lSMg3jxXxYonQ/2qz0nVvlMrIiuii0++vN421X6ChOyEaD3onmvDoG8zw+neDFbWsj/iQx+SNFOc
gqs1xaeN+/i1L7tq2MhpGG91VxTJZZAkK/Ketf0zd0fyg4AVsB+G5yy3czEUd6AFyVgufbKV2MjV
3fu+lDoUdDKJ5IUYJhp408JeZ4vVjT1ExUbcfRM3tv2xhmTrs1Gh39TXc58dJNp2trCZ8KYwmakx
Rpoc8+CQcC7qtoNAthIWCBO/aI2iy1g2af5tIbzXR0yRGt3BVXF1mIBR+QTkxqCkaT7HVA2doDYj
b8wd94I4HgRr0qDrF3p50yXR7GpJHlG35c2hBOnJtKUQz4W9v3hDNCxoFDaG8J3pPrFKLd+5PVNK
j6hf6q0+YuzaKAdNROShDfgkQAj2MILdOj1zWjhxsHCkpzKEG92EvmBR4zgVdHHKL6w205t9HafL
JRhkeUdlfekjq03L7UJn+9O02NX7FSl9WK3X27gty2sCsvxfdZY/6qf8/2k6RfeH3oNj2L/3XbZ3
/xo9z8/97rm4ryh0UYeiRP4rt+N3z8XQX5EohjCb6LSV1MPP/GMtpTy24i7Qbes+pfV/ei7+KzRM
NGlW2AdidxLu/qTnctz84y7iY1ESRt+24qJMcz2VPzoOj0OJA35QtLNTYX401Wx/zjqzvfe1Ib8h
+yc7U406PeUzHjIaYCzIVMHan9ZL2lhIK8bJeoC+wJ659fybtq7rMw6hJw/IwzBseAyX0gXlxpPL
cmssQrOulQfd7+3t5K0ZbJNuSKSxpf2WhrZ2SXdZI0vYHK8tWo8fS0fW2xKV87tHd8Qz7aanH2XV
3pPXSltrLT2cWmkUUc3lIpS2L4QFuRs9VJqx6HSNtkph7CVafIEUInEc+CaaS5I9aga8zSH6JIRj
ojGAcb/8mU7LvwDWqVphELTWWgPuvuMv3bBZa4EpygONDkn6nQU9KXXYUhJBtYdN4b6TLro3xALx
mfLLk6+fkSHO0Xp8qHKcSmsR/XViroruMGjC3uXwE7aDmTln1scnN/U615RV6SXiCUFHe3x984zS
XmPfeSh0Dnc5yXv894ufNj9cp4v3L0/mWph5XLih/YXOfxUl41oKdIzeR0+Qkdl2l+nueMgl775M
JctFQT8vrEl6OlM6t1ZZ9dOxKNyj7+bSTlWhSWbWsW2n0wFSBBvVQkusLFwAJlyNi5VZoeCx1Tct
oVOc59hXko7QFOOhyQKjjJCd+GqDC0a/HqzO/VKOPgjYopPdaz+oOd6mekpUoDAVVQjEUI2M/g97
Z9IdNbLl8e/Se9XRPCx6oxzsJDHGYMDURoehKjTPCoX06fsn87ofKefLPK51L4pFYROK+ca9/0Hr
nLH/oGdulu1qWJvgZEB54UEIBq9HSlvZP1Dhqu0w0caiComeDWAR7VR9mcZGkoRIPXFlay9H34sx
wPkSbxqfU3A5/k7GexRmOhpNXR8oKs2Lmnugt3vs+xJrI+cM5z67W0RWkOxX0ftaZIihlAzXPe+H
5mOjkeXYpXbHK4jSwwOC9ck7Ek/VZ0AiBPYBqL5P9WxQFNGb8S8vlb4AlEKPNkrvmy+w7tFobJOg
cB8JBGx3Q6xl+Memb03n1svzuf9uDiLrQpWB+3TCFAWS8S2iA3px06SyyDZ4/jKOJbkFdTewU+Kd
S/R9BBaRfndYSTNJG07+kGqnirfUVQ0jbAtR+qDSGkyRWY6z/Ra/ryJ/EEmf/DTtTn0TpEA44gBy
mJ8Lf5qdByny+un1S52MKTlaT/fA8K5qKp0s9cZu7exALdTc6VP+pYAJEHo1qi6vb4m4hlIBNED0
qlfnd8oT2CIzmxNrujCzRlveZCbIKEW5fne5qZdH0qLOQIobQh59W8O7my4IBG/jErS/Y0ONVQSw
ppe/+uDjil/gBrhSwW5eU5vxOem460qYOkrPtz0mx7dmXRhXCqJnziIPgjasScoeWEetDnbcAGTv
xENzaJw4f2rRok23ZGayG+iqVX5ljs4MnL9IFsO6W+pYa7lykmbApAxY4XPjP6nIcg+SoOXK7JwC
hpYoF0IL1yaVo6UusGYPDoT5TmmJ9kBdaQQkmaDFhKmzh+xebsd3RjnqB5Kh5l3eWWRrxljPrunB
viig8Q1AlhZCPWJygF1WZJcas5TBrrku8WaIH2utmXcRVt3g+8CT3QHncxIODr258Qq/PAjpy/d5
FKCQdHmhnhmK5eoEB7HwRl/UDK2xaWYqbN1Bi2dSbi12K90tmkjtgGWpOSJp01sA/VzRjXc8sLEy
QJIQJ87LX/FyiTEcJqW1pRoOA3s5nn8LGE1tCpq+y/tDDRvivZ/r8kNe+c3bFGjsldBpWa2nt90y
8jxzkTaA3/YcWf3WFEUOkszx3B/sTujgdrE829NfHYSYJa2faUA+BsMl7VtUF3glXu7ny9XNGMNf
RGkYtUe0ek/7SU5XDYWm+oMyeiOEdNRtemwYryzvl5EKraDGj3wMHCBeCKet+IWQDp4c/aGMy2/C
aajRqndj3VMRHJD+eH2XfsnV8HSAkrg6HRqABVw3Wo9pWJ8/DZmAAOCI8ePlVl4uEG4nyrsGdtw4
Jaw5iYiEWjLRm+GAcH551DNcUHyBr3s91POrTyBEFWE9Qs5hV7BUTkfP02NZW70YsWXINJjxHiUL
dBpe2wp7jvf2UjSkcg0t8bSVFKMmT1IAI4wy0ITRYV8QvftXRHderASfAQNExXoDc/RS3TpPggS0
/njISEIhqWjou3JIwO1qeQLyRJhXFsPZ9oAcoe8H2/1Z1eT3fazraZBYhT8eIiWCD5Urx11F4uen
NGOYpEYk3CsNvtjNdBAUHA8/cwmY1/ijVstJAwbWeHCayd4lIiYTlzyp0cA0fLo3IhwiCvtaHHG+
Uc4pXraLdMtqF5el1ej17DJ3uv4UePOmTPKWuhZQ6Bh3ktDru/uxGK/EqC/ffEtfeVeDqkAAmEf+
6ZJprDTtzLZSEFj1vS8NfTtLpAW7wsyO1Aw1ivy1fFRLXowKTmt/cBvb/qki59PlvbiixXN98iE8
ssFI4xgKBd06/ZA8BfwAuUUdRGm7W78C3wnUvYmS/dDb5Zu8TtO3sIb7TZroHlBB23ojSCG+Gf0K
LkNklH7ojaX2gHsir6jLH3duBQKdQECeI9Ay11e7oQZQamagDsMgpw1CBN8bJERb10BpvBJ/Xm7s
xanEQCBXz13ig7TDY/x0IBqI0uOQJHBmija6H0YB5wxrh6cocn6+uiUDdAFBC4q06JOsWhqjHm3+
eZhwtHTLNxTO1I0xGPkBapS7u9zUizuK2wmh0kV4hCwReZXTTs3pMOV1Nk9QSJXzxUPU4FvWNs6V
8+/M0KGRyw0IDJmltE42xoZJOrxMdXIpQ/q+rHPvWBRa9B56SHHlxn/ZFBxVmsIFl21j6kuHf7vx
eUDnVtnp6uCn3rhLo3bcKpPHVAzd/NVjR1OLBIf/fP2uE1GijQxPgec4VLKRkJwi+YUwL7kSkC8v
opMQxucqZI4WAAWH29pLoEbcMyFxPh2MuZk2ZuOnn0RiKaA/lraHEuje1o4Ut5eXxblRJDnMYYtc
LpfW6p53dfQ7lV1MByzkDEA0tfhMPR912ErMny439XIForgMvnkB85PbWoN2BDKfnQFT4pAkfXab
9xhyTnb/WjwXSwE55sVICAop+gOrU8wYYGqTxkSsIvMfp0nEuwaPWGq7VrJ9fX+wxuKUwLN5cXw6
XYCJmXtePFkT6I8WwHQQRABbrqoxvTz5mBqTVy2UIYLM9RExx1WOVXs5H6LJ/1j12A4GmDeWU/M3
IlDXoEUvr0AaY+uiJkS36Nppl9rcQNB06uZDMPiTv1He7D2OBT8Y5gU8oA0258OMUZ3tLzmPwbyS
szrbV67eJbaBJmAsf//bli4qt3NLOc4H5SPguqldQFcNZoGHBlmUN2ZaTleulZdbjq4umU2SzFwq
1urubb0Z23OJwE6HxdGuN1r7oNRoHoMmbW6zzkpvfXceP19eNy8HGegaZVcWKlkLOOmnvaRA66W9
G/QH6v/YVGBGVsHRLTxIq1AHwZlOehIDQMoz8yGrZpAnl9v/lXs5PWk4NjFfsHmjUuhfo5SjGMCp
RQL3ILoB8bSk73PwQ203drsiBpAAvgMXmK2U1fwJabTG2+jwx7KdqWCzoeVrUIg0rVL7QCFg/BGD
0QRtBmTxvpdoMIX+oC/FfRjJ/ac+CMDLNQAwQDY0TY6Lxeg3H5CIcvSd3Xb631lWdOZ2NOCVU6RD
wxc3ymGE+iisrtgOXuxQOoNYtYcWG4G3Gloq5xpE1OLWMKXVwkpV7rDl53QwG3mVVPvS6Htto2sp
2rczIRPfXEpFHGP2zielly06u1LLxdaKckMPGyncb4FqKw/XxDJtt1lqF+C0mtQiBEgaf9d2g5nv
cF1Vn3DD6KGntprxpzYOpMR7NQt9I70gNcMM80AZWrOqbzAc9b/r0De7PVMBA1FHhPczsQ16MpQO
ebD1Uz6bZCA1ArtG1E27MUECPAaNX3Z7Z9bLT3GHRNlh8ls924MoS/5GoZrEI8xzL9g1kZ8WZG5b
rQ5d5UOi7ty0/enapR7vcrxSjwPWxvAsZixcNm5VZ3eyGEAEubFXbQYi/WGHVj6Do8vA60PcP80n
kVrGF4JDQAgJ4PUPwMzA4PVdkL6lOhJ/VNSjxQ5oCSAdEyI7UBrUIpobMCzGvgo6SswDlH0AggFp
SHya7PTBTIBTf9VsY9RujRrt6TCu3TG+iVSepqE1wnYMkwzGItgQG5QqtB7ix2poM+cmKFQeQ45F
oLqdFq3qdNDlN3cRsC41p/wx6cPwc1okrs0YMgSi2700vnG5QpJFxTnZwthGGxumGDrZU6swoYRt
j352LLlu70HigatCcKiV2wKtKBnmi/R2WqaocEfPitw2msv+NlOLUjf3b/wR9Aj63cGzlnc9RhKc
boTVG5zpRe8bEiHa35YCDxnWz5rgWSTbv+xFKBxyB4G9ZbTohyvdlOau4rgVzGfXfLeagMLsIjuu
gPqSKF3EyKMU0UHvWaE8HShyA61DuNxBwZw8+4wjHqlB9KmHNhwc5OiRSLKaOpyeNdAj0Jc+BNrI
7tgKDQJXAbqwScjRZrmbMlLS3oF3Mv+apA4qGPKsy0OnmSFHxkqpPQifMcD9hfMpRCQJj6pBKPS2
3aa/a/KhaneQhcSXsS0l/Mu2tN7hP98+pXngfEa1XUKAjbLRCo2YYBbLXDQRwh4WerBV+M5B/9ZM
3li+2eR/Inpd3MX6UP3ZGTnK4xXX04fcC8DYdR7TTvudBmjJd0CI9c3oHUBgmh22uV72OIJk/kuX
sfsWQREJqtMth6fBmQXUKeA0JtiLKdu2iBXoIUmiuUVDPMp/WsE45B9H7AE+OVOW/pxkKaxwQjw7
OOQkqd+MiRF9gHTLsdyLZEjCzlDyR1MgUc4GLrQfZjLENz7q7zHWoS6K6r6QNkV9Mfk3Eu9jyoYq
nbt3eqCERQrM0uO9VdlgYaBvdwGOsEUP6Cy1vALuRJ6ByWm0qQprEGl3qvbzrWeK+VaPtMc07R8r
v8dSViiHGLdEgo690LXyCOufde+ypnp4kdWADkAG13oj8KW9r2qtezL1FDBDUJfmXksC75sNguth
ckeHFWr1CQR+R4P77mfz1ygKIjOcRhm/9Qbl2/fxnHDAp6P80o/KktvYpwqy7cxgYlJmEaGKO2Fj
Dz41Gfx3SYmO+K8o6/9BA/8FHIOsu/nb5f2CrPlLIfbjUHzD3+R3Uer/+91/AQd0/Q8beUtieN7w
qFwSOf0iawbeHwR0HMjosRIU/x9qAHInGTcMZBf1RN3kxf9v1ID+B5Vw4gIobRDOSIborxKkfk7z
/jvcIC271O5dCDwLUY466yonjgjy5DiVF2EWXcpj3wv/UFp981U2HuFsZ0S7whrGO6Tm/YcpW2w/
yy7dW22QbafEN37+NoLvf7X7u/XJaZC5fA08Tt9clNAoi/IWPg2/RJr4gXQNXDAMId4Hyqi+1l0d
v4v0NP6JkEL/qmfPr/Ywg/V4IzDheMScttd6TiPsuov2lLGHQ5U50x7vitex6F62sgqdJdGLOwxt
tK+DuHgAVo65gZ3pXy6P3RL//z6T5ENg7tKPBQqwiFKe9mWyREIFF+foLuUCT7r6ybWUdSWHcK4R
1h50CZYKUfkStP/2Cmg1ASbPyXCS45r4s6B88sj/uuaAs14GdIW8G5uF5AH5nvXrzdDyrqpibdxP
Xg68fFbvKID8jIr5by/WrySUnnmgq3F7plAbDB7swHWXjMluIBwIHLeRf5I7LE8HbZMVaTW/U+Zg
z5h8WyZxzkQpf1vXXVHdiiLVrV0VzDr1YUoWd0metSBxsdDIEHqyzM8ClC0OFGWexNtI0+IgrFWV
P7GluW4iOQzlO2EF6U7LpdrD9ao/1/gkIDKEex8w7ZKy04Y7fUK1pnXsYoeWS/7NRmbs6wg78kOG
x+y0Q7JmeEwUsJkddRT9aHH1OFuDMnKEIjmSJGFrOfXHbMQGQ2QCXC0F/Rw55m7bQQvIDphmqvqg
1XHwGIjRKO+iHsWG+xgop3oDgxGfsS72+dcip4jdrTMHAFyzcgRCrkdD8s5FZlnsS7wT3G2RNdis
+35t4UES6BTuxYS1d9qiNNSkeXclNbvszPWsQf0xwMxxVtrrhKjopqHKkaPYo/eEFDu33WZIoCBS
N7lGJH655oEpkPqhOEpCC9WD0zVfA/3Gtr0Z95gGqZtpkuYWT/lrVcFVdZKa5CKETEKdgwiSFu/e
02ZMDCZEPVhy33npd+hMChGXrti7IuAVOM31W+C81duur+aNZirzvtTLqx/xclSRqkCsjBGlTEpe
7fQbRs+imlQ3cp+rJA9FGgxfYumRQXaj5Ir538tRXYBqVOthqC7dXV08mRs0RdGV8BrsgZdKlfrb
WQTT9vKheKZDaBtRkQO6Ba1vzRKzrVZD/4sORWQoAHGgAzzPiOKTCr2WIDnfFJc1JyNKR+t8ha5l
Hbj1jqZSmX8QecJjUw7lV10b03/SK8TXOLA4seAsnk4TiddRQ7FO7psu6W6QvSyeatNx2I9Gcc0p
7zQN87wsTUxwQT4SeEAcXLWlq9SPAmegrSAAacxDPfM/Bn1078Qgd73cviZxfm4cn89hoAIcFIuC
xe9XzOx5wxS4S4MVwGFugnxX6ra6Xchtrx5H1CkWUrFJ3ZZoarWzm8QmIU6iYt/HRMt+3qRh4YBq
Lmo17y8vxOeVdnpg+QRzwFNY9kyQv2oraL0hrhtl7vVu9lChw1gStHM+e9T7LQfeiY7QsYa+nEnF
JjWn5J0WDS2ycZUzfuBiCYA7geWRSEPV1+7Al0POtznEp6AiqFqu9+Lc27Zm+nybBdqKShYCHqE/
9f0h9sZruINl+tbjwMsdWi/7norHKsPmqlz0Y4kphtf75qawoFXpWpztLg/3uR7RFwrxIMsWEdXT
RVR2eU7upjb3wdQ+BkPe3sbcxSGFS3FzuaVz/YHhzwHjognNKJ62BO0rrlvVm3ss7Yb3uds5sMIg
Fb66FdDDPBLAbAG8XIObQOj4mkNia89NWG5E7Zg33CDmwytbIeqiSL4Urp9LRKvweyEZGtlcmPuq
09RummExeZH/SncIIjriLbAniP5zGXvu6pKRpowSrwvmPV7D/qa3UbYbwV1fqcOvSqYcXNRrCIih
mi3OkFS9Ticm740gTktd7TvMYuRGA/6xEBOepR+wAMwOgLK7kZxlQnSHnKNxU5uxkO8QCwTeW+dk
VcOeDFO0QUVnbLZNBkjiyrS+OFz5RqBq3E1Y5VmIHJx+o6x7+LBZzjfaxVsK/M52dNy7PDDej2U+
bN2gq64lmJ9r1icbkDZBQSxeR1TO3PX5auqxm6SzOe9narnZNoN1EIdFFpSIW/aa4W54ZlFWV11P
WkclRJo7yMpdfCPizP5Q8jobcIQwAzIdXW1+EIXZlptYjzp9P2EWhj96FGlRiOppTvotXfi6gfBQ
O9NiD6UXv8H+q3LaSW4jlaG6WrdGQk7SNab7BE55t3XA7n0UlcJbXky2lPA3h3ZT15o8RL3pcI27
MdhVTQ7VRoeT85gRSnwqHMRpt0Yq042ud97PNk+mYJMZw0I0LnUd8pIJl7h26noCRSDSvZxgudxW
aeHsXFCbzpYcpkw2cAHrT/wYoFsB5VKRPEyh0/l1BJlLRUH86E+diew8BWI6RX79M0wbJTcq7xod
WdKk+KqrYnT2ZY09XOimHsmZ2jMTKNaa64nbXCL+tTVrwuebwtPgYnppF3ys9SKZtsCQq0cb5TZ6
GOXQ3JDWCp66VvMfIQSSkezQOb3BtHOG7GRPE0TDUSGLXxhJ+SnXlF3hq20X7q5xcTXDBq0wFxhK
XNg73Z/QV9TIf+kbr1P631XkGHBqq8r4u7VS/c9pFGULmy3gqq/6CUpmbSrMRdgR03TQplEZRNkg
K/d21KTIOeZAnHa+J9UnZWtYhjqDgXFmEUe22FR+VzYIX5ZusuXp7eKwNLjTew3Uo7fX+MWPMiMc
DlF69FJKdIjWkbaejHRfqV5+bmujrXZ9MMTuxpg1eKx6FOCUF801dEfZIfy3H1OTNVZRi5rfGYbQ
DmiJoveYZGBet1pVIGFpann/UMkE1cR6Llt4xAgj8lQzB9kdUz1yyvsgirr6jSGD4nPjw03axpk7
JjfGVGrirumqZl8GQZY9ssA8hXxfZxTHCWPs+eiOuXrfzj7QVg3tqQRY8fJxFTz0epPI0nmnSxmo
20ADhB2S2ICjO1LcMaH0o9m/NSsZBLDXtPlmGl3I7Oj6TGI3Ix/pb6nK9BPzlyY1CjV+8ZGjYSan
Z7fufS6E+bUxy+7O8ytkRJF5xDmlplSUITjqdNseV9XPU+FVaut0ZR6FCFfCRhdjUH2hZKmpvWUa
1Q99JglMcsi+c9rA/lGQE51D6M/iXdwmnP4Jz8Z6izBFsO2swRIblDTH+lZZuvZd19gkMJZls8c+
JEB7sMLUY+NTP2vhjJPbosyk9+6dbo7yaaEy5GGdJfBCx7q1qy3w1hQtQcMus42HdZXYpgoLwa1d
oLS/0bRMfe3TJm42KWLu5dsRuna71ZoS6ccgT5OQ7W9ru9pu7I9CDg6lrmgyNj5EPIzYIx4wCB1Q
B94Kw+210CkSnyqRD7UyJOfsg32nALgBJU1YkAqEvEI3tvKPscJ4cFeaRhNsjSSxj3h85/WOl7aZ
7fo6HyJkE81eewOoMHhEUTfDojfuO2h9QpUpHq5ZyTzG9TTv0GsVMtSTHO1dhcyN2OSKgh/qlEn8
SWuyPn0/SN4sFKWwitsWRdobD8bsjWIL20xLN3GdZ+8BOnFywG/Pv4PCSawQGZIxZ8GN7QMpAu3n
3PFP7SBqmDF0ZjXuE6+v0wPGZdWECWbQvuvrucE2Ip8jfxvZKfhaBsv93KnGNY4RIRncvyYq7W3v
jcXOKKq+eBMYSZwdEnwn4neTAxt+z4xoh6ntE6jEnpscPA1A2psA/WBYi4jafg7K2LmnDKlx2GZF
9Zg3QYbCq2eJeIsmsrpLKYc+4JMUv7GtjNJYLpCP3fjWhIGKhOnbkyUZGjccUzqwzUr8RoPYg8l3
OcxZJT2p11NkAvIKam4JeHnYn167pZKILxuoMPRepe3aovHvNLMGyT1I+RD0g3lfOPYHD0+XW2eo
s81QKY6ZcmjQGracX+7g/9HP7jRU/fUxWD5gJUMMwH+rcGgsUaO151Hu28AoEQuQFA5hM7xNqtl7
1Xvnf5siTUiSYXGAWPXbEmkMrmCS+7G3dsqyunsUNOQH2KtXRvg0KP7VEOlrApuF1wa6/HSARYe3
Qdb59KlPPKK7tA+LybpmL7Eu1i/T+Au1QhrBhI922kpcWyi8FbTS9bY4CmU7FFFw8gNo5W7yLoge
3EpTx14fPl5eQMuU/DuEeu4eaFUy5ywhPDvWb7kG4bXUVPG4F4al3TjIgDfAS2r9RndVu03TRr+N
et3YC0r9Wze3xZXcyZkl4yxQY5gI3BmMwmnHm2AggptpvyduDZF/RTkiKac3Rcm+v9zVVRj9r76C
1yeOBrevr9MatYZYa5LX5GLRVN1HkRncaGUrb1Bl6LYkp+ZwMObpSO4TV2+CPnIEhbad/H4BKKrq
digwrSjnzHu8/GFnlhjvIRwDqF+AR13PQZy1szXKlDHoS2M3C5TNpSyv8dyen77rqX5+dlEhoVCw
FtU3iAUyvxzGvd0iYFJGmf7O1qlaUzyMtpRQs1DkWNsSFfSwrOp2JwIz5aXe9h8u93fZMi8+ZHkx
Eb1DxF6/0RFm7jtRlOPeAyISYourHZs8M7gRo34vsdq9soXPrbEF+01ZxF6IKKuzQrSQRscpITud
pPU2EJnNRFf1ZoB3vbvctZdNQQ5YQGHEAHAr1/BH+GyGpgyLrjnjfG/lWfCpQFFhlwLQGK68f863
hZYhGrkAKNaqkPgSwltX/rhPbdCyDbIoY2hlCdlVr5efLvfLpF64mjM6RmGNegyu9xB6Tvfp2A+6
Iajo7rUOne8QfUb9h2EuuMEgjmsvrGqh1Xutbazj4Kkh3sCXqh4tZwqs20Y2glgj8933+hwFuJWP
SLU4peE0CMEHiOfEeaHlIXX3wrnxZV7EXB668bEtJ1fcqwBj1CsQsJdbjhIHSQ4MGEhGUGc67Y5d
FW5tTehxR06ePfh5LndxEPxL2fc/3odnWzEpvi5amuSiV63AFkE/LKCVuSwQ8HexAq/14F8my69r
BaA6K8CHXbqWdM08IV1nTtV+noK/EZ/KN2Bvr+laPvM4TzctNy2HRkBdjifOurrachPVFA+mfTAy
tWETu/ZO+ouBO/okM4KaVkd236s7FzHvzMbMbHEjyEMbKE9xk9cQpm7clNv0Bv5FfSezom82eevg
KD/H1hbmVLTXAnd8i2N57IUDBUbWlm2BUQWoAyRvksiFsMy75INowB2FoiYavyMTyTv58mo/s7Ng
2uMyzJonrbomFMl5NtGWwr+lUP6XaQbcAcH1awr/70pDZxYI1sk4cj1TkEHqnS5Da9Rr/BUixXKH
e10XKMAXkbrWysvzFqY/K53XD+B1+CmnrYxGo9wua6f9uOw7LAzeeHpxpNA0h05vXYkBT/NAyyUL
gHl5cDzrOb/gVIhC2fWEgOKeHV1svME3y7DzrXnnOFN6zExH7LNOJl+fZ+z/4Rv/RbZoAUksZ8d/
Vn34sqhtv/9WD5Qe/yr7pJ8OP//791/9F37Dcv5AeMAgnKUuzZpj4f/CbwAT/GMR0kYQeqFhPdM0
/1f4Qf+DWJ5gnvfcctVwCfwbw7HgOygFwLlDQZWUM043/1ht2yeBxzUGJBeu6PO5vMohIgpqYSXh
lseGREZ1mIwkUjdjjynGb4Pz/tep9Ts2Y73tuMaoW1Cxw/6YoVjrH5SgUY25NdqjVJ39ffKm4MbH
juFagnIdW4MAoUYCABZsi4eG4iruSB1ELGY29bHA+EyF1tRoO6w/yN3i8Z1uG6R/SIIDhMsBqH5G
q+W1QpkLBGVpmosBxKdrrwqTntSCWhhTB+WtHreDSqeP3TA3RzxEtS+Xh9RY73vaYqUSjbhwl1Hx
Xd11djA35pBb8pjJsrz1h1m+TVC22UlYLlsDhab9mFEJ6sgT3yb+KI5ubkbvhsmK8PPwhsPgDOPT
MMXAU22MzSZ07Y6yHarHy9/5Yur5THt5MYM8B6q0rgFGjlf1ZWPKY2um9bskm9E11Wt1xRlufeIy
GEvtCdQTsTZ/rqoPkY+Rjdva8gjicEg2Ci3UKdTzufjgz5q96JIl5Eou92xVlmP30CjwHx425MOX
ZPzpMQ+nA5QxL4mjzVV8h4Ozes/byn4rdWXfmW7XPyjluIdmDLQfhV0KsHptexxQ+rhJLDt/O0yz
f2WjrZ+1z5+0UNkRjOHIWRPsgD3irTAsn8RD76/c6MpbKQ11kzsEhBJNxq9l53qYxkwy2V0ejvUd
/ty0h+sgdYFFuHq19huvMqxoSsajEzXarY2bCHnYhXbeNuJKU2eW/qKlApqdWgS8xdU+1/HJcSeQ
vghouW2NStqg3iaILaQbF6QtwNDOQLNvdn9c7uGZpYzsDgVI3s/EZGtGn0gE50vTjcescq1vZtnb
xwFdl38whdBODJCuNEV7p6vKp7IlAqmNR4yFKlK+Uv8zjjGN2ThSM403jsyzzzHP6pgLP63nm8t9
PDeLweKlhzoPnsDrIzQnZ49VWTQeBQCirfL6Zl9H49OIBOeVfp7dPgQuCwHrOXxZRUmoZ4kiSTN1
nPU4+ktDfIYEZj5u7UT9Dcak/ibFZIy36RQgY9BP9YjOaa8f82wanvJBT9639tBfCabO3CAAaJDh
58PIPa15bhngo7F0cnUU+A/cyllp+2Ri045aMT6VQer82SM6m4dDUVU/PGoFV+LTs8PPBYlJI8Ah
ruXTyQeUradQV9QRvkzxnbrWRHnPrsmri+4a9/JsX+GG4TIDSxHY32lbtOI1aDmS5EI/eIOQ6rBk
hnGDHLDpe1AQnt/lPYLBfmpVN1Vd9/vLS+3cWcUrCpUeJPYw2lwdGAZVKInNPWM9Nlh9lByLfVFl
h3b6bg8mhdXOx76Hmw9d1MstP0/j728rzip4XeSkXG7ORR3otOs1QjVeObHKrVqrHuJUCfCVvf3U
BwhAJdLKP/kKswlsiToYYHkw3AeFF9+VUkR/+ylOZ4Ty2gdbtOV7QU3tIR5sf+NMtfiGpGdyQA+w
fP2+BOTF1xJALZoEqy+emmicO+mOC5m+3jdyHraWlvyQaPHcXh6cM9PCnuSxDkJocSFYTsHfYJpJ
bEZz4SXq2MbQB7XEtr7GVLL2aF8b70rwh2+EgycQSJXXARWe71OwtLAWaXvRwV71sQpARqZ6oY7J
UEtyzH0KYChqr2zxM1uM/ABRN8cbhf51YqVtZVETlKhjU/f1rkT+/r73hnEHFiO5EpWcOeLg9qGz
ZbPGuJBfCEikQIS1UqijPvETm2qSdXNjgkvyQt4E6R0yWNq46aIYBKgVT7Oxs1RJvSCaiuS7qNys
3JgsxIPKM7wJL8/zy9uMY34RZyC/QKZk/W1p2RVwuDR51CTbrM7y7rbxmuTVq+m0lSVw+2011ShS
Gj4I2aPS2+9lMHwefPfQjepLaydp2OjgQ+3h0+WevZxhk0Qg2QSTp5VN+6dt+h3WjEOxhAde4X2u
m876085Syv4RL/+//kFbJHd9Mqs4aazVdgyBpUEkG9pCAX2jA0jZaZT4EKEJxisTdrZb5DlxYEBc
HgjfabesxMtLgfXcMUc+4HZK0vzW1Ytyr3y/uXINnVkb4GyAwCBSBNJjzRfl8TKpIh7H41LIo0TS
Fm9QxRNXYDYvwzjmiQwxCRkOGhjxpx3ypwlFZF2Nx95Lm31eVqQ272s4hqGqSJPbpXPN8+R8v0j/
sCnhR66LH67WYGfZM4T9yJ2WAIx6C/U7fWWJZdFmAxCHPabrOAsG/bRfLASzwLd3PGJa7uykJlRY
jLW/KS0kly8vv3MdYp1jLr9w5rlMT5sSke7HdkFT/dAO4eQofdeI/JrGwMvXFXBKpBpJRjNs3NWn
rUAU9uqyMsZjY8s3keb0oT821I1Q2g2hHl7r1Nnm4O2SLXacBdp02hx6TtbgFtx1yZj6d0NvjO87
xHb/lrqBgiLme/9gEBczJNMjE8Ofq+55FWWKIpPqCKyyiMgKzpRmEn/odpcnawXTXi44RABIB6Ih
43IbrN3mrakNLLBI0zERXLNhbM6lvsngdB58FMhsRHObEZ4kRqxYZbsSHD+KKb1OuoJb4fVbfHm+
kgIi3Qq1ftVpMRRgDjOpHzvU8XZz1Dwl5Jv2l3t85sgi0sJuGSECIv11xaSJuskcvFY/IgqYHnI3
dh9MHoYHu/Hra2Dj5VQ/jelMBzlA4JToAC0zebpq5mQ2QZzAnEswMsDCIKUFsBrzrsKEaJu3LdJx
vTMOyJxoydepda7ZNp3r7O8fYJ1+QF4CYMLyVx67Rtp77KIhwUpNvdcMRGAuj+uZbX/S1+Xvf7tV
K4mktgcy8Ugc623HIAYHkmXXslnnW+EptKhSkXRcOvxbK9jgzqhvjPJoOKlEMKrJ7rQU15TLfVl2
88t5+3crq4U4T74HSXwij+WjdQ2VxQhHIThY4O5vytj4lg5pEHaQsy+3e+b24dmzUMVYny7OSKe9
szSiATsmMWVrVrolGIZtA0ARuchK/KXpMgqBUL8+P8NbC/Dy8wol9brqbDxbwSR9knYBpr9PUz6U
R2CiMJMXawHd9rpN4nbi/Rxp1ZUC3LnVyfFDFQ7GHrHK6lDVfYmJck53sRmSByGAVcmazCAUtCsn
y7Ocw3pGSfURwIMKfyncOLpFWtoJmSDo9uoGmrgSodHm+hurCDCgELOxkaXVHccc6fekKgMYYXFw
k4q0DS2woztDBP4OgwDkr4ze20czWPbLk38uMnfIk3FpLlZrjMfp7NdUct2KItNR4xUQ+kZR3AEH
29c+Bk4BGnpbn7t7i755vc9R6jiOU2S+8WfbDHEu0Hazm9WPlz/p7ASRTiRHCnsNLPXpFxld4Rgt
LPhjWjviRvPT+JM5G9ObuQ2KKzN0dumD4aEtMO4gz0+bmgrdL2qDznszqdh9ogqEW1NbgOXylwKV
7mrRiMd63FyJjM41zM3HGw9FHJ130WnDjVWntgc24JjjhJVt3RpYlNMKtA8KiYeMGLPZuC0oM16Z
7qVD6xXJTsf6EPgO5eFVqsGswe67sc57v4iDh8Up+RPl+25XWu50ixKH/vHyXJ47ORdMPxsdsWcU
k077iXmw4UJH5dWDAY8R1mPJo2dK7X/UDLuaVIYPeWjVLWxv0jlIJgLNrs8+ZEan7vG5u6Y4fHbw
PES6MORaBESWSf3tGsBcSP4Pe+fVHLeSnuH/stfGKeRQZfsCwAxnOAyiKDHoBkUFIqdGbPx6P9BR
ecUhzbHWtz67VVtnyWEPGh3f7w1LM4Epa0off1ESG4TVddLHYprqB/hDp0Q8bw0SmqIiRSkYAv7R
1NQiYU6joD3iOaCrdFbfX8VRaQZK1HdzUBgeSIxR9yfG5lvzb3W1XG8jOAkd49c5HmlTUiTzgZnu
buwqb7aTV/TnS6KfctN6s0d/a+roCZNCtxYL7t4BzVwagJo3cFmHC5Kz9i2ygX9httOd6xlvlYD8
NFP+7f0tSP9F0zIYuyq3d1PVDBuv85L92HjmRhqrU0gHRLh5fwq89Yyc+DD5o034ZkdTXa+GsiQf
bDq4sVVsJvRtIeFXGPwlKnSrPuuq7fsNcjN4Y5YDmtMqtqQg2Ec7uikxFWfVVg5LVwNee+1Mzrlw
zOHciQp7JbIXdwSR5WvuDXUaIquKdI+RpTyHY00CL0Czt9PiOovPstEahsD14sXeMtZqK9SHuct9
UITxuzenpP9I4dow9DEv7AISGxd4utWcjIFMlPzO8eAv+4Pk7HfuJEYFecK0Cg1JbJ/EQT4W4Pnz
YkXPGfzn71gNVw3aBRsvRGvOxsArB7jOTSb7JJwURQ+i1syuO8psm7yQXdAlHb+FK4P3uHRpRiK5
Via3miRuK9QSE18s3FvIDnMQ+8ADtwcIHh6+0phQFLrIKABmdnNpAIN+mXOMeGYMBUg70d3pSzGU
tvBtGIwPJMg18gacSPnqxTps/WZq0n3W4pfjt4PrZj5l7NU6u8RERy/IaoFsHnUIp7QRw47VTOQL
WS+d4sulTW2/bVOZhSgbOts3Mz0ywzEzxepv0/O3zMnt9vxZ/Xm1t0n9fBK4r7hCEmlCWTK6wXoz
qvwIfsdFvozupZ0Ir9kUMXY2ySTjL6a1zFvN63L1BkmEbfpamZWtn+VDpgeDFq9CbOzid2mdYTfi
Qrl2A0/qUGaiyrUvFjMy8VuZcBo+U03iAC40u2u/K2rafi6N1kBEMGbDLf7OrnmO1LW4m9CjdcEi
1Fq7QhoTnbkVDkcbhwrBymIuMA5La2/sfcvpo4eq1HT465y0tUBW+HPvxt6UnCf6IU14U7KAUm51
3XNp9wCBoq5cyXZsDZcaaKwZrISweqNwcdKgby3GuGmR/OLJHjk1vaUnjr2jsCtvFrMeJw7MBH8E
xpL3Dhk9mfu5Neso2RlxVf8oic+Jd4OTpecUIwfLV9xafQanIeArsWIz2mq4f96pNlY7nI1afFZq
okqXy9KWxZ0x9pTvq2kZ/Dm2e8CNOUb+PVcqrXYd/kRF13zuZse8d23soLeFKo0f3iLSFCYvAzXI
khqWLTbC5peqWqZ7VyS4J+lmTYKKYpD3VzKpdl20mO1G9FmN2VHvWdfkE6GJKV0zH3eJZxB406F8
UMJmtuVdai7D89JQt4Hv3vB7jjJh2psI1+zDWAzjfaIAaZHfFhu3Rly0+3HSlZ6In04uHxyDL45J
kDaSYogy9t6xItzw417JprBZ0virGG3nnBecPGPm0uuc0y23vrUXC9YUnHNRbBTNGjlZS0zfw2rM
F+924YvcAndDrjek7Z53WFyVq4ShnX0UB5m6nWcKPdjzdatdkRbNycYqbAXfmJLLAIOiMJZQJF6v
hzAbXMNfRL7cGyoUjSBaSKgKTRP+xiYHVf2WqYmJp40zWgKJjiktfKdawwj7RZALmBKU94jJuTJh
9x/3NzZ0XCsgiqqzwkFf0E7MBkR/ZF2xHiJkEAAvOmxDPKixiWvk3BehrcoBs7hIOqFWm82nIZrp
y1w4X7k5wSauB9woCWtbWGfVOmEJMAu981WxJB9Mu4soyTtV/XlxY0P3WyR2DatbJbF3GqPhAq/+
WPGrlsUtsOxBGKHhCu2W8LS293EHMovQS/L8WV9SSwv6dDRTf1Jb76Gq41r1c5GXHJbLrPAnrynv
4tlw0kAd29bwcwrvdwPRN2VYq1Vr+WrldV9awM2H2HUideP0sDu30xgD060WyeAvuehGBEa6Nvrp
7CltqOYt0iCjyEb8lBiKPI1ndY6fY9XQ+7gx2FggWiZbgNO02q1ml8tTOlPIIliqhmrSUwl7xPxN
hGZfNFdVJ+L7WENi1OpalWzUbp5NlC0juHgx1+kNt/oq4lNWiXJHNd1PtRBNGeQz/gw+8Z+ejlCO
syc2EmlBSqe0hXWTu2iv9n1mKldVGRP96c6KF10Oo2LMH6EySB2Ou1L3BzPJII1qlC+qoFnm1LpC
T91m4WCTgRA2hAV3qMOKqEW9lrj91iIO+MIVrhv7zozry7a1OCxdaJYCnyaT5Gr53DWkQR3FFRir
iTyce0lkY1pp80PXlObyVe+L4orkOZL47DlyHgn2mr5R4lG/uCq+2vyBdmDr6k3WeavqCZAq4iG6
xbYCtKzVEZb6pYaXPcNxsTFu0mfzI0G56xKUDPkuGvXhG7+ch1Y+9LfjoBjPjjERJwbNdY3xa6Wr
nme4AxYxRpi5agRCHYt6q+Iud0/qAregFLWutZkr6JdBjCa/JFuMWrvfQAZFHzW6lhIspAh+M8aq
vSJfrHQ43qey2WS8it73iJ+QvjI3gljEucLwTI79/Jj0kKqCxhuWxxrjmDRI7EVimIar1C20zbZA
+IWeZXWJ1a/1QtO/zi0ud/6a4TeyUdRjvSuXlhJDR95avWUae0TRErlxFTledZuDO16o5ZhdxzCF
3AtEksbDEOnOiACldh7IrV9+WK0jr1AvemzIii0K9iWdEMHYEnlyhkkPGWBsn2xD/TLmw8PKsWAT
zaTxqKO+SzcrjFj5qTarji9cK+k2Zmd2Ca9K6s8ZEqLC1yc1IwCraW3At67hufRMko86ISgJmH5I
1oiddtQLWamO2FopHGdUhaLdFF2eBFTDJtZ2OSoHUvkkRK14Mc7NqijuVLcTbmjJFn/ofqCAuLGM
BrJ3R6xZ6MFi+4rt4jSdsX2ggZprEZHLESkmU8qQ2SfhrGc2OzdxF25b6vZJYxHfh598LMLOXugN
KmAdWV2EhCMQw0VfYF1C+qnPKaN9iHXsEcPJKEvpC1Br6dvOrH4jdzVLwsZtqFV6nfbsrirGXUax
3gpVkYkrixRSsgIzp3Iecf3O243RMyY3VqdLK4ybLJ2CpKyGHVHvU76N3RSjRM6vMNeYZRDZC9uo
40t9rDA4m7DoXvsYA/zAnvTJJYy4S2/NaTBv6jk29W2WqYriz944LkgBSyR9jTMZH/VqlJ+581to
IGtCeINej41HtYe0c56bSn+jG9i2omee+1uBFEJyQxBSO0du5ZDmacwg8A6JQbzqTvU2FokLuS+R
G503Y6NOQbFM+ccocpu7pnGpVIqUwHoc3WTzKBrbraHkaB7ZJ3p8ZyBFdDcWZYMHFiyXPRweHVtv
XFp3SeZoz0XikkOJCRsejBqKwJ0wCrqb0x2jcdbKBTEBqsSWBSFGLkfBuL42eigEHA2N9LIvHQ0B
ZWMn5xnuiRnfvoT2PhXTAqI3NNN1B3Poi8uFq16hneYexh7kKF10Ma6kmYjvIr3PvullHfEOXKf6
MBHoU25zz7J/aPmgUJnSpizdVk6S35AhJ/dZnhcHZ8QoM8/z9vLfers1y0SV2oEzh7NTYuncZCI3
Rv/fBEGJPaoc/LLcMSIxz7WvU1SKH96/DL2JwQE/kMoB9ZL4hCNooLH49uPCbTYF/Ng6MM3OetsR
N4oRxY8OQly2vGgiqVIr7vHsFPelruv7Ca8YFrJo2Q+4IW8m4aFV1mv9R6NU7o8TX/EtkMSlPutA
poLlenwvTVhK56aA6+KqCfa6DID6qjPifpc4Tvm5ni28Y1RtgsEp1W2iVRj25UXZb7ocR8lm0vem
kNNDQgJodgIueuubQVoEvAE0on53hJXa5CuTslFyd0XTG2SIM3wB7+sEiP9KH0Q5CAIKogiiRQBX
jisW/RjF6MzN6VCnVPrJ4V5mP6s1HAcVs9rUaAw+a4jot5hkZ+dNY3MY1zBy4Lo+uadqsW+hHwDD
KxoIOAf36CXIw3aBj8LKbZOT5n0e1VGC3qbyQqMOd+Ki/hYyYLvc02HpQtY9Rh8zLkLVgNf2ofIq
9crIJhKsSx0lMmaP6iXauFPs4/Xef4z+QWazyQFbi7LHOqxmtImArLPpkPT21AfEOcHgMpiZ4Yg4
/Dyrket7eVXdiMrp9ED1YnkCfH+rxoEMCvt946fo7AgM4XwWaRzawQMblcxLx8qVm8E0s6fBkPOD
EalVtbFTA+stdGAn+C5vdTcCPGrDXBko9x21XSxybggHng5eoiVnBHlWn9JWdQ8jV6iPpCvHJ571
zfao3KKRXWGfnyvTb3CTGEVeJzMlaQx6Q7XN5LYp1Xiv2DhjmO6ppJG33i3Uci7N3KPgzK/f5rfW
FNKhBzfj0kmwWceNXZ32OOcaX6I8t2/AtbOreRnxGSisct82Htes91ext8BKAGUgJ8/8GYbzsv08
Kr0ZQTCEvdjpN5FuFIfe1OdbxLr249yW6DqRiZ0C8N9aoNYkB0RvDCsY1i9bhf8KD8sWcJgKzfGz
Kqk3QzKKE2/yrVFLbgVEYiok2IsdVSQykeA6O9KKE8vxg7vIeju0krDzqc2WkMDtej8tFeWC0o5O
MKfeWI5s+Pu6uqodTBjdLx+wyVVnoSYDCQ2yP+ihZwVY2cX+QpL2CaDyzaagW1KPgNxgHuusFBEX
htO284FuiO8do8Q4r2Bx2GSV3p+9P1reGK0QLrGqhPEKy/M40sySPVo/LWVtjZYV4vJAUgZjAJfr
yfr5OKRutZJfsNkJayvva87jMknD97/EWzQE2JaYieJWzgZ8zE+JJ1eCzQl5KGwC8Pxu9pYfnJ28
r0xPTfcH1Ry+q1KQG08idXYhV/15CGLlnFqY3xjG675PRIrBduseD2NVHRvMOjkBKLOe71qs5S6B
p4oT++ybrVBwpYKBaY12XPmEcigUzsLzwaqbcp9z9AV/S0+ZdL0xjLBUhbpIMYYC03EsY+WUS1WJ
YT7UwrLv5eqv0XG8vle6igbff4NvTEwKhTBjIK9yyDvW8+ZkYQnF9pgdg7PaqvdwC4nKy79wUrU3
WIpwKXX0KT+4raWdWBTeGMI0DEkTAgKObsfTxQX8XkyD4wE88Y67Ad619YZSOo4fLH5tGQzU9h7H
ScM0m+tvUgaQIgiK/PMeMNnMINyxTrwiVmoSKpciJEyaoik/TjXWZ5i2eOLaHszutmwj/JYhUleD
r5iKd6qi8lb/rxxxSulQvUhEf7k6UZPOsMMx5kMuvBGDj6RTBnxI5FJvtFyX7X4NH7/GuNIETcyT
5RRz+40RvZ5mWP2hfq1+dy/bL6FrIDaT6sFhuQp71cmunc62Lt7v4zdGNBT0dXNbT4XYXbxsJcMK
Fia4pR4qUzQHAElAoERmQa6O7ommjLXHjo5onI1IMl7f58oceNnWaHbCyJdeO7SL6t3pdmXektJL
6LZR1pslgUpj4iwTGFmCVN6ZvDPLiDqsoDqcjGx9qs74eslttIxJoC+i+aHZFA01MIYPwLEZJt1T
uysBXykiptq4Uex8vrJaMzpTWjc/s52k2eajhux0HvDRUNzpMl8K7rvZqHXFibH71ttjA6Bei/cA
Uhn95bNmUtoJRAj1ICzcxwe8dTYA0X8aNukhU1lNNNAAYUfNFHnZihCs3UU2qIdpnqqrQendneaA
Dbw/Rl4f9sget5kHq8cjh6CjfdpLWipHUHYO0lO4nXta+a2t5fylsZX+SoXj+/399l733Wp1sir9
eSYOJUftjYOjtZVZiUOZIfRxrAXitLl43qd/oZnV6YQzJUqm4wtgbljSMqu0Owx2m21l20+Xi+F0
d++38sZGzJMwDuDZr8at1tE8FlOvF2zw/aEao2LnZnpNVEbSf+v1NorCYkrHsO4dJVyJv9c5eahY
dSFsM06cgF6/RC5Hq4uChVXnaydr1sdE4ScDbLK8Jtsht79JpypXIQiFId9xotTavf/or9cW6qqQ
/KHhw7yCJvRydKbItIDh8/EAGmbm/qhzz0b0pOyTftI+vt/W6zEDbZVdec03R6/nHbUFl0wrBx0S
voFJbKirzbTJ1eEU/fAnY+jlEoYj5Vr8g4yhvnY4GMkI0UcFFmmLtPxLJMidCEqvJ+KuJNhAyTRj
rWIU2llO2MpnI17kR0XxALN1reu5j9bLcIrl9PrF4urEoUTFkxciyvEwNuxWI2Gj4XI0tdpZ1wzT
2ULW5KbDZexaEXl04lzyxluFc08va0jI8Bk5WtmoOIpuSWcoFETFPalF1m+rrjPDNLWmb3/4Ulfj
FvYJNjpE0mwcLwfQWM3WxLXBoLdNbTNqk7NF5H7KCvTV0PnbHgaeGHp+1ELrz3+7XSYWtXDoosYB
Uc6z5rYArmMzn5h+Pw1FX4wcWuEcAR0QnxwgkaPNj2NM25M/bR8cpSVcZWxyWW6VWkZbTFs7sooI
+hZnfew5V0usZXel1VhY741d1Pho1ZL7WunrgyZr+wd1++Yaxrn33XTWTdstUipGjok7rQPA9uAW
k3hmW7eeksyz7ygiLP2JQfBGn2FuhOqCjXzdFI6mW1uDdKJRVA8e7KptrypugAe6doKt82poI3+H
WoXnKOd3CHNH21vMHBR56qmHESD3MjVnzfU1pesuTdGSP2bjc3biuV4NbtKdkCsYIHU4GQGovBwL
aYTjpo7L5KHX4uRRAi7flERyXJVA3V/+eHDjO72OBwb5yhp/2VRvNbnZRK52wPhfUr3vofZH5nT2
fiuvVyxAk1Utb/Mf7r/HYseop4o5yc462I3dH+a4H87wp872o1Q4mCRVCgFXjUpchkWfZ9vYqNuQ
w2ztbUSh6PqZlVqnTtZrJ76cCquOmgsyoOu6Fx29VsLHjL7PNOtAuR1YNyVc6aOexmCe8+SVH1JJ
ej3Mn/bx/a54PWZpFndlaGdQ4mG6vexwNZ07a0COexgwAb0uSa9/dJq6OwHKvx6zq5UshxYu3vgL
H1tGRy0uCE1T2Acmz16oZR8qVnNoNVdZfb8e3n+k18OVF0rQKnx4g7aO76Nq5LapW4/WgTeYhoaH
3Q+WBRVB9iQJvd/UGy8NqyKuQ6zIbDbHpipxRGWb4rdzKBTYnd9Kg2KXr3ULZWrNTWdSZLy+SndN
IpzkxKR8o0txtgV/ANUFATw26h3GxMmtLHIONnfMc2Ash6KR1xdndqyiJ+rRT+zff9g3+pUO5UgI
+MZ/j+9+lHCb1LYb92Dj7LuFHzJsoyLv4A6Qwf1+U+u6fzQZ1h1hhYtw+mAdeDkqe7uwGlVO7iGx
h45KbGKJnT04o3lWO0u/i5e4viqNxQ30TExnhLurJwRabz0rFOkVyeU+iYDj5Rco04S64WB7SNGd
+Yyck9vUSYtdR6Xo/Sd9YwSRCY13LO+SC8XxtE81EdvZOEYHzg0Vxn8lFJTUHa2NGk/mB34ybcw+
Vozw/WbfeD5Iuix+q4Uyh9CjDoaagfMVW+Yhme3G9NPIHb4oXQHJdVrSr3/eFkTI1X8bdT+im5d9
OSWxmnDgjw6Zbs3Up5t6JxwEFYqwTzzVW50JcmqwqnO6psb0siWkWdCOWi062KLOHrhxWxe6V2qb
qp1l2GX9ctbEXnLiQP/GCko/csQkewXd8PEasFSFnakzjZaKoW9zB5g2zdxf+r3/dx36B0Qbruvr
Cf1/Nh3aPGE6dHjiyPZU9U/VC+eh//74L+Mhzf3Lg9/PfIK2w+rIIPllPKQZf/H/86rYZVYrId7k
L+Mh/S9OuERCAKpB5YCkzxjFn7xP/uMfiv7XT5HrGoLOYRu2ufuv+w5BwjexgWarpQjCWeoVtNQU
VmJGSp/sVZnKS9L6yqDou+Hmt9758PdK+bvr0MvpTStgjypPQTkT+RKVv5cTQYlms3D7glZqKw50
0ZtXdS2rXea18o9m999N8QrZcnmJMJOPZnc6QStzuTITMxrXZN0nYouAb4HnnP5ZpfbvptiB1JVW
DXZ/vGipFSbjxdLF+7YsrF2kqN6VTrX+QvS2ev9+B76c1L+agry9nrWRLa1D5ffrj9HgVulIK97H
mZOEUmnvKiyFtu83Ar2DP/PPfe5nM/DEWRXXSB68e4yXzWhW37GQiWQPM1i5akv6MPa9Qp2eh2rK
KIUUepn4Q1/Cwa1bfSaVcxoxbatjQ5vO1FZVr1y9VaWP3Bsj8GUuKixw3So2CX+0y/Pa8grMpfPF
SIJGcmDY5LD7YyKa6hiqiKHIa2uIJgHzLLKrsG4d42GSanHReVUF50i40RCmGItPewncNQdiXnQz
hKYscvBlM3f9CvusfksioJYGeiEM/SxbR6TvWUCNZAdSRwsW8qbLQIOqbPmJWiK2mRpMT/zU7I0P
MYWpdiXnpMUGDCOG8kdUq3lOac/bW3psoU4zpPbVzLK49BfDkE95F2kf6wkvnKCIG20JO0Uri1CT
auLuZ1EaOqf1Am7NKKvF2hkOCjB0WMm689iLrexcYx6cQLouEGe+wHnzLViv+1gn0CBMKyfCGqrT
syF0K139ngyVmYVGkrquP3aJ8ilGp5v7SeE60J5U3tCcTcYz2zSnvIm7/6MK/XrYmmWe7t25aFpU
X1H0dcVpvhWF590ba5qAL0mnKKBLY+0UZBQ9v8eKBqU+nQeY2V2ka08IuKoydBqUYyEBAfWdumCt
HEJ0U1oIvnDCYNdHmHGSZD9Wvp1LdCm1tD8p0yiLD30RWcqmGzvjexJ39qPwYN35TuKVz4OlwixM
Sy1uN2qvmBCc8hkJrjH06edUSRIv5AjYfsycZf7g6pEmA7Px5MFxMRT3YxhkF71EVLpFqQJanKZe
WwMRyLYJHBJnMe22Ynqj1MfCu8hZ576pZQNzGzagaW+KpcBujTQ3U17EjRd9bZxRwL2PGnkHv5Yo
VlJqV8IwSNohcllhghbCwiV/rou3EZY4ws84YJ/no9V9qlBTTf40JUIEqii9NtS0aYJKFeNOj5l3
1gjNn5vII8M2n5zowipId/WRGsQyhKOCO7iuN+I7eQT9J29O8qt+ybMFbK6Kv09tjoAEb37jC/3j
4VIeLYUdtnYv3GBB13EvuqmS4ZAO5rhxMdHhPVQrkxfJPaavsBiH3ejVi8tXUHXFpzbmfYDyXypn
LKqtCrkwaZXbelgNLiWWEfVmzDNRBxBAnY0Nf3Xjlbb3Q0s6oUK4RukCPalT1bAAOZuDFMBYXJft
WOsEcoxtcZORDXzZ8uwpgaVm+TlLYbyeqTWRZtfMgjWmWUWJmNqyCVUTjkJQLXBTQkJBx4yorkn9
ZBPbGYcVCcZxUCpkSwRjOmsLggq1xrtYaRTSFPSidy8zGDP3+WiIYl9nivqlXByR7ADlGJtqTKJt
mKpadePVE0UNG04+3kq4xJTkqiVmGrTS6M8jFnuSBjwbAl1Nvu2jAYkcf/sp8+TF0ovY8IkBIizW
6qb6mVhm/dKx9OyqqXXt0mgShAZlGqmMiSEtrqCOy686oQZjAHOd2AKwx7gMACCtBDVEXdfhPEcT
eRoy7eMtFPBMYvNuD3d14U6zrzai032SPfocK5ax5V6Vzg0E2USLvybuApnfQR8xBiRfuAksV4jS
4WKX6UIZwOwOM+mRc8hYmZ6lvRS4jpIXbdi5tc+FAFVWeAAqhKbQrlHiFvcZQa7ooUb9UcACleFs
ssiTFScM9KCg6AQA6NX0TGw6ywIsa/EdoqdUgpZ4io4dN53aTTkgnvXt1DMz35Jly1reIbjdRiLO
EwQwXfN1lesxRavM+l4TGNL69dRal1oyQ2xvPVH/yLJOlWGjpoYWxsTB2uGyeIp2vmANUGHPgigy
VAQeWT6rudADQe7wD1zvF7JDmtzR/AwUvT2D5JR/LFT1JiLLBFa7niXw+avJxMUKMxI4mlZqiECQ
MPat95pozcrMob8v/eJAm9GbwdqkUTw/RV3h3pdKg1qYZAGCDqwZ1zhvGRHVEvIQXecs3NLHAdZ7
tHTytP24lV6ySWBmSPgSWf2QqfrM2IjS9F6Lohgx3STrjdAgpW88RpQRKLVWHZgvxY059xCSciVF
gGuVM3TVEVjbRxcLzRv6ax2fcZHR7/Sh6b+Wttnu+7Z+bkmVF0E04TgKkbcf7s3GLa1QOor+uYD9
eEslFsOyZFyKi2gZUrK58hhbq6Gx0qtIJ4ZiM7LnkYiY1XDvCy3TBt8ypoTdlxyVey92lWErUpE9
5qqNssFQu+y206VXBxHWGDjsmwNZcyV1/tIXxOtixWIU37zZs888T16Ro+YVvurm+rYfdOy3S+QE
z1hB4i3lSqt/tGpK9swF/clDyoUrrKX3WEFU+XSerB422PNE+Z3XjqyxwIzVElRFMERID4I6043L
KY+THgdejfmpmUO2T+I+7cKoj+XD5OSqyopXjaRzlbH2qWrUnqyM1uCsSA6yMvntCOk1MO0Zb2Yh
HAnVuCKqxs8xnE6QdFHE24BFOwRRGwockYyiBoxBlmndVxWo69upc8aPtujmIjDTuOpC1gan2qYT
Ga1+QsDnEDRG6t5bs0VAOAMuaz+UKtkknFo8PNmbOPYuokTpqBGoWW0FqpUNZuBIVcpNVzYRiZBZ
3uDbLmfCc3CVZhDXiYgfRvyFfvSmHX/qxjkHmObbzjuhDBRysRAwNvTncJ6InBHbL0ox7M1R7XZW
ArwSDto6ibzIaT8U6HWYOHqD0ENjk55x4hDlZ3a/pCSe2m3pas5Q3+uFHGykOXX6fRoXedWqowPb
WYz1AdGUxTEsn9xVL5DHHF04Gn2Il8khbgdCdgaRc9Z3UOLl10izhs8Lq8dM/cCu6m1qR0QQEVeZ
PHWqJpHM6Un5rS8tuwxqRy0aCDPzdOlNHdI6ZRbmfavV7Y2TSud6UXvrxiHWosJZGUvhoMNDm2hy
Jym/pirWEFimkAfuq11cfzSWcaFDXPaqIbXTa7QkYGWMlXk/VFCnt0Y2i6/l6DofCP7OrmFzG0/L
hC/JxmJaxwF4UDRdT2IZ1lAZU34pe0/lS+oqYs6qJ5HIh9ANK8RJiaUi0RlO3pmh18XHKsqcbMMM
NL/PZdtzFJaDeIwG4nm3Tto3MnBFgzVGUxYS1nSpLFbo8jJQaHtNg7JBNm0Fn32Mn2apdpWPRVpR
BEZsx3eWILE9SDD4ZoImMUcAnMpNSpr5kt4DyCsfprZvv6WTqWU+dD17CUev1cfQIUWkRIVHkSRY
DIsqKHJBHNU82UUkIbaYVqO1aRX1XFGntPaXrLOeJXajLPPZVD3msTPeLZD7sHTujSEOqrKdzzjW
pYj2WsdpN6R2s144Q7vs4PbaLPvmZOZhExXSCEa18K7NpmIDXRZuv1tBbYQEFVgu6af3Lzsv8cpf
Vx0uOUwJqq2GeXQlLSCuO2k3OjsUwFfYa5+nESz+tss+jUr0Zzb8NIZHFDc3rr9cs8lTWb/Mb9Wr
CKvOyij6ep9RfNrYfYRAw42yKGz52CmJ/au7Io0BwlI0t6h+Ujd/2Zip9XEn0drsMyvTwypZPG4p
VX0CEj3ybfj5TIB1IBQgzbCPjpX1AMFT7eGmtHdZn0cf05WOFVPPm3qLr4D7Mc1s0owGd4magIwt
3A3nOClC0Wiz5ldTmly1vW1yEqHo+md19L+/20ppXg0O1hrR0XXZWjBlBc6lv2Xl8SUiT92pymA9
uhkBNh1msaeci44SNtYmV/dGCmDgbvzzs7t+e8WN6kS46/bFPiU56aFDQghdL3KDmHjU+2RojAvb
GuYBNWhthyZk7ttCmu1hmF08irlFHjqIuuRJptqJmsDr4bDiEyQzMf6wv3OPQEivR7cmWMn3ousE
59KSeKWZKf0n08kFk8ZpGSYaKJYOn9E7gl2aQUVptGjubqw0d18TQbkvzOHHUBTO1hyqP6WKgvmD
bDJtcVuHMHFcdO4tKGVouqIdizgarMWVoWoIcZagSzzxZC/7b30yiuh4UVFJp+IIhPdyOnH7dQSq
MnenuoMVFJkY94MQf1o+oZV1MnGBJudwJXu9bIXzLmKw2XZ3c2I/9ol20ZV27UfNcDPZyy/W4h+B
t9fNj+q2Fz9+9JdPzb+vH/1WN1KkHI5+2pj/898u02+i7urn/vi3Xnyo+8+fP45/1OFT//TiXzY/
bdlvhh9CfvzRDcXfDfz6zf/tD3+Zu3+SzY//+MfT9zLlotb1Iv3W/46+miuJ5beRu36XX5+8eir5
5Cun+F+f+AXWmupfKx6K0RIU8rU6+N9grbH6va8cMQcHbUYew+AXWMtHSLlYP0bhgg0FP7F/orXG
XxSNV4KiCz8PFNT0/i9oLdQgihYqVHAYtPD6j/aRxCHplnp7dzCIsj6AANZBpUXFCbDxGK1dCUir
mTm3XNBl/nk5FqOomhQrS2glj6MvvTQ5W5RiupiH5WTle91m/4k4UllmhyJmgpVpJexCIH3ZVgPh
ImkqjFOIzyuHMGowBQm93KzBd7ps+TQhNr1BGlE/mlqieFtR5jqpb6OWGH4k0hyIQjeVs6ohO6qk
Lt74XTl27iZShvFCNJVoNr8Nl5NQNhVADfHGapbIAsR6cOxv3i02ulZsSg+qW84bI2rYZxcvORB6
cyrl5mjlWZuCK2WBylMeWP/nZd+kTepNrsD/tU4axcfODiyW6uT2/Qd6qxV2L6ByihEQwfSXrRRA
6IYzw7pXsYDkzKiKLcytUyegY14pD7OWVUwq+uyQK8fhZTN6VOfM5nQ5GJ2s5guU68ayW/08qsAl
9gqCp67lyD1F0plBY1ZGifPLND+B7xWGXxhmf9voKuryZHKz2/G/2DuTprqxdU3/lRM1V4b6ZljS
7tgbMDZgAxMFxk717dJS9+vrEc5zLmy47KCiBndQOchIRwYWalb3fe/7vGbvmZSgp+jRcHspMUhn
6q8Jnf+wUZQOg4vW5CI971G14UEdpSx8siPs+8zq2W0YZumcl/0MxiHjcNKuZ9Bnzpq9mArpzyqi
U2m5r4fU8tXwj7oo0pFKYQQ8+szZ77taPVnTAaY4580srjmBJdI7lGQnbz9+oc8qpRdjarnY0kXF
aMznufRAXj9qDyeTqXapcUiS0h3AZNlluQr1JEPAFFNt3Zkl5ENlnJRvNf3eBf7aWZ7Pwxu/qp5C
1bUwRZ7u0n50dJ8SQN5ukDCoRBZVoygDB1fylgXL+gUR2+xuh6Lm6BSpWU+BXc8HndzdudJX3oS/
3M80RX5XSIduV7Op2udDI+tx1SJhCSlO263uRyWdD/SUrXEGOarIAw50erg2a8N96EkNbVamBXty
Y8R4NDnxTGl14pEdzULLE2PTjM8Q9wnT+7GU3pYW8VjQHw+GN2JfldTMV7OyRD3qofWVeIriCR+3
cuKq73wUmC648rJ1YnAcDYlBJr2j1Lpx4NCgAWIhz2ILXIIzNlNfdULY/XaYL2NcA2e2QJXQIL7+
KCywGh5FZPMQQtkL8jie2TGp7QmdwrIAvf70MFKixSd9Y4HjHhOqLIo1jZM45oHY2ZLqQhxdG8T8
XGAvn3eNXgyfE5/x4lgP2HCyKjOq0E69vqskp65kupXFpx6CtRGy2sP7Ss84erY0S1px/fHYet0g
W8axjq7UhSiCuJKvZvmQXuzyw44s5wjR34HfKL5vw3nY1I6RnVUhCsAqnrVLmPnzRkhEPh9f+XmC
PH609JH5OhnTnF6O1n5R4YNVHGREjcJh2rCxEHZAlEVZ9WecporzFkvqqq4ze5uFFD9C8sdoOPHc
P/5F3n61uoUSm9mFbiQVvaOvFp9+nrVdZB/CLLc3tksXjiy7aKXUVOA+vtSR7Ob5aS/CReJ3qJeg
nXr9tHvhUd1vIjRo0NH9Iq/UVVJUJSXDSt3prTxIyYWnrkD0E1en7JPvvGs0KX+saMQGHW+2CrwY
udXpSNGq2Q6aRO+3DCEerJWC3SXAeI0jyAn0TE7rj+/7WI6+3PirSx99ZpKKP7aa2D5ASICHrk3x
msql9cXUa2czNymPnNe+p7kjKW/JaGtG4+eUj8+/AgISVED4td4KgUwh46x2U/tA38veNJomg1g0
xok3/PwQX3/VBtJHVIY6h3WOWUcDODRigy1ArR4azR6dTU+SOhCvzlA0n0iE4mefxHjyHNRBQElE
on0x6XSMq75L7DlwldHp/CwJnf1UNnbkW8WMUnKs+3aN6Ns7pQ9++0Vg1oPBDSKVcz4At9ffIwSd
quxyA1JvXB8oAYpxbwjnQqXYEhSOdZkKJGAffwpvp202mQyB5RUAUztemcDjTQLQAs+HsOm1osaa
j3ppPDG5vB1ozJ5sNtF7selnWL++sTnLG1AcoXGYpDUEspb9mUDJuKJIFm0qTjhBqM3141i59VqP
e/OE6Oydm1yWXuQugMAZaEfjvJlmiUmtMA+VVlm+qL3k3HHiU7E4717FYaXncSLmO94WkblYoJYd
zAN7aHXPU89u0ihzTvhlnw2xR180entKYiyBHAWPfdA1emGtL2vnUE1S7DOlSKeViSnsts9dK/Hb
DrIFzW3EvNt5HDoRFI0mnTUqHNvwFVr7gMM5gux0pRbWhdRKC3xdVWRPZd8Xw2pKsRv6ZlxGv93Z
ScMr/ss5GHmvpejVgeUdhK2V7q7pFbo4eUFTzU/VWaqbxhyTny5Rgt5GK6fub9wwxhfHlmO7A/Ej
7wzCwf5e+vQexteqvFH7Eg2GqY7V73JC5rYzlSo3t0MxuRaad1mIFXFSCu2QNnRu4sEmr7C3yuRO
r4bsTsSmvie+ItJ9WwXvR9fLQFfRgBpot2FUIMnJacnMvjoJ52vmVLpOYGItznRcUuCGzVHJgkbL
xeAnE17+wI2a9Ek14l4/gx3iwXLLBk+udLuq/65ts9KulcoeT7nK3/loWH+wqyKfX04vy5TwYsFH
HTXR30vNw9i4JYoYeHJ942T3H4/yt/tP1mubnSelaDbvx0r9yhvNOqYOfiijcLwu8N9dR26XbJy+
IeLZyYlgVop+9fFF35nN8FXxhYLKXnATR4uMqUcwFmbEwrXW1TuwDwqFNIPMUkG3yYy9ZN16LsX3
rsnGz89qGI2ZZxDVo4g7TjXQoTwVAIUcQJhkxcdxaq0yycb/4xt8591xFSS7sMjBHx/PnSoZ51ra
Gg7s1ylfA1oy93ZlV6cW62V2OhrwUB3YyWOBoHLnLL/Gi08EyawCwjd2D6njJdtIUXrfGrRqW4+t
2DRAsO5nAFdX46Am1x6v9pGVPV71regfEw7aJ6Tt73xKy0l+qUFTI6VC//q3yZscMhuBuIekEvk+
NdMLAepocJN8iYsfLz0Y2ycqCMuy9/oBgGoFbMM6jo8dO+zrS2Lrqi2ndwBZlEp40UlgpnSWxI4x
fAqE/vbueJsaxXtophTj3KO7S6QVNex8FSI8tTKIGgSS/iSdGs9xWHR+NKvR3w1t91OBAW9vkbeL
JJPdIAOU0KLXt6gRV0KHXygHpR3H+0IRULWcptVvQ5DvJz6ot4vx8iWxPlH1Yat/fMbAAwwTbyYZ
WsGa5wRq3lOAKzIXzwcmg5jOpdkmIuhNj44ZoEL2pVVTwdT87Oghzp4TDqcr2NwsZq9vGYUQ0kat
jM4R2oMdhG1GHeWT3gh2mVyE7hF8YSwDb9oGcVJ0pL4P0bkjapuyg9PdzF1MS1/G9gn6ynuvcPFg
LBVaZnT76H40jTdXkUhzXlWFvmu1Kd80dJT3VRxpJ8bgu5dC7soucckMPT63GJmO7tvoonNNgrJJ
zHonQ/N2dvLm04d6uPnI4pFQgD56s26QlJUipPOic3SbykWn9sUj0NlT+XBvBx0L4B9POHJh8lJf
fwkyJNGPLXVx7hSutStaWZICJ5qfNdDFy1FE3VWDju/E63o7eXMlApHgBXBF6qCvL1pMVQskOSnP
U1dC86MbX567aeH8/OxXTjkO14rLIYebVI++irHSJpbzrj6PK5GcFbmZXErW6e3nr4JDkkUCbyFH
naMZMiYqJQ2btjkPc9RNNaCGIC8058SIffPZ0SxexOTsPekmYZJ8/cjq0O66CW/Ied+77cqQEpur
M96LGZnJx/fzzpUwTjCI2BAtxJ2j+yk6K4rcQhfnbdKg51XVB7NpD44dKav/iwtRL1565stp+ujT
U5pKxcmkiHM968Mgt9kjAOoEKwkg9MRuAUQRz+fVOoaLkZ07Pl1O/UvZ+/XzK2Z2yWxYEd+QHBtC
DazlQU+9hA001Nt0pei1BumzT5hrU/ScD8gSKH1GoDfo2q10vFUcO93M3qdJCgNBycefWlOEqBsm
L6Oj5wJOqMZkqP22aOEc1lkZXVBxRDCSmAl9YRSapYJQcxq3Mc6XH8sHde7OfVIHM/uwnzX6vdSv
2mKyfLuyjMSfiWa01mTI9KPfiVK5L0QT9Vt0/1A/MMCZN0PZA04lYgE55+xYk0TM4VQ/23GIY79V
azKRMjOOfmUJ2hZ/Aizs1dCSO/yVZRhN7n4uW7bvZapEB3aM0N5UUE/ll9ZQc7ntrDmfLycDxbOv
z7FrX4ZlAmmv10O0W8hrVG9fMcSeXBNS384U2tBAdOAstLVixZHrdsLxfqln/OEWJmpclf5QhlT0
03wOk1WvJYO+pmfuupT0HX1vqwTZ7lLHgT03RpPcoWSs3ZWOqBxELj7QB733nF3lNuAzm3I2ostq
AtF62UTxGB009FrexhnCaGuUqlueJxXUbUsFEEWVIUrTteVk9d86p5cHK4k0QdVBVc/b1KZ5bsvG
fPR6OVbbTpuR1EZ9otZBGhrFt0IaxQ1BmvImFGbW7tAQ2eoKB57T0owy7WpV2XW4awy3ZB0vW2sP
VjPHD+jg0oZjXDymbomeLMbT/QNkb3Hdz60dgdsb9DHoHNjU5D8WxU8OkdypmgJvD6yWPZbvjUbW
rTt1ECroYi9yFlw6yhq1K+az2uD0tRu9Vut2Vpfo4yqKTU2uYCTTV/GaTJH+ohHvtkC1y+yrGpZ6
6LeDMQu/7wbvzEUf7CF8k9PF3E9Ti5UvUc6ZHPraLy2jNjZNXSNo1ifN8E3Liyc0Jz0GbVkr9nUF
3RjmclIlkT+YbnLdhG48ccCsOfoNGRha3wkjm5DeYYNczV1QyfQlPKW3eHq6m98xK5SQSWeBoIrj
rfll8ZA1QVqV4gyqMgL53NRRWldeUqYX0DU6oMIUtcbVBJUVzZRnxiqCzwoId+5ObBUzNc9Dvxkc
5z73iCPCuj0VP2TdyyfMsPG3OW7tpe/RgXPP0kSHXN7kjeFHypgCp8XMssJLnTw2Tk/iVkGMzO8i
DscWuXOX9hdKZfSXppXWD3C4oymI51A+NJqDNTFHg/pYqfg0g2Q2RrRUoWc+cO7sydtp0jzzJbLg
aq26kbjLQqt5avgor/Ko7y6TvAGDPLRDfWuiwP+dTzwSRontfFVaLUo2CNBzpv5GfdBsgZvBkIaV
+azr6ZmipsC7rBRw/l7xvLTcCSW07zhp69I3SywzvipB8QfFVKPQV1EfZytI4NkdAp9JX8MPibQV
BYHxG7typ+c9gzaHbGTVqFwJrstW7mRGv7TItfNVWswKn5aoQjUIo9n7WpUq4E/R2gDkJ+JF7xJG
xe/Jwa5tTUn+OFlNx9MLM+UOZ0Wzx3UAwwRTzXjRaUK7LYmB6Ve2UU84S8w8ihfdmfK9t/X2EdKo
eIjKuXuIQOV6Pgb+5ct1BolRhdFxSDn/VKss9rAa9NmIqbjTtAez7bobEO7TbyNt7btaGxI21k0d
U2ZJp953HYGAEgWq9yUmNu5m1L30mq2ye98DpAcSTJbDb3XGaxqk/ASqcJQ1MJGl+WuQqgN513HH
CmNMO8KJFVX3a4wHIPxoAX/BiTduCmvWsTbn+GFSkKwYVBDZowNdlKWOUelXtM6HX95MZrcvR5Uo
Siho7k3sJuYid/WY1kyrdv25turCjxyzzRBbjRnWFbfNrgZJZuu6TZwhCWxPV1KgHhNx5IqUFWxL
FZBxMKqNVfj9HJq2H9O2UX1k9s6dKArzb0yggOAFvdxbKUxV+EmNWgDUro53pElSpnZHxzfjuW1D
Yy7KKFM3Ydz92Wj8f6XK/8I6hMKdLcZ/7zK8rn8/JY/5v779jshe+lf197/uqwg30WPbPb4Uvfzn
r/q341DFV4h+g79/cYM7HJL/7ThU/2LqW/z1FH5gBLGv+0fEojh/WQQpk/XCkQWxgb14w/5tOXT/
YmeJppDTE5wkOm6fshzay6btxT4LXR4bbgsRAAIKHsJxKijToVV0kRmfkds9f62cTrmrokikflR3
meIbc6gdWB9sJRjJz1rSB5IpSAsPNK0agsRb5YleFsh44c0G7OW6rzV7+J9d7jXfNbWLHN8aq+E6
iez6Zm4mHTQxIxfjjSiywZ+hSzSb1ERJbrt91J+FdRKPKzHE4d8eli3dxyZjOH5II4FyY3qp67nr
rpbl4Kacc7ZV2WRU3zJD2FHg2Z1g41DUKvjkLtbBzem5zi0YP3PPqbZ2U7f2FiaMfu7UmmoQSWpa
Z0rlNKQnpLL9ps165m6oYMTRgm2OEljtRraDzu/eYtt4qpSi/KIpsdD2TgTrY603ohu/GOGoPVEY
MGBtDIKp+Pk7+3837P4HSr+efbskpH40ov730+/45cj5r5/5M3Q8vnRyyEjaMSjlwYXkYPNn6HjW
X5hKacNDFaKsRhv4P0PH+svDFIk4jMoMjXr21P8ZOfpfKL4WfPEf6ya9/s+ov46aZbQsmDAYt/SC
kJKArz06E2N/NENLetamoGzirmwtYpHT9aG6nr3KApCPQeZXNbVpj7dLyXZeJPv7/jlRpjONeIvW
MdXWdanU96EdsSVtcD8qAc5cbBovnuvVn9H80vH7TLX4r0H+53flQeJ5VqlLUNt+fZiKHTXF4ibN
jVLM/S3hKfoqHS13pXqz9lv2vXJdem3x5Jnj8GUM8yiIaCczKpzSWplF4d3LqFcD1WbJ9meiJIJu
DJvfRTu3QdmycfebsMufSPEbL+1MLdY6+vrVlJTTwp0p1pD0xZr2ykT9rImvP7651yoH7o1ai0W/
kikRZ7953Eka9cgTzSjMjd5UTwon8qecZsS9UnbaWnp0Zz++3LG2+Pl6ixqPjozLifuYwUoakIJP
cTQ3cefol0rkOL5bCW0V6w1hR4MaG5dpWFgPEE3Apw+1c901xriROM++lm7WXjg0v3a2GbpfP/7N
lnP+q5fMg+CgTHWQ7jxVvKVy9KL0LcA22EQhmBv0Qt7Gy2VOFLsoPlU9+fO4+fQX8RRfvXb8uJ2l
MQUMm8edt9WPyoaHHlFQOVFwel3TeL4Kukcqr1jhqWUfw0krBlMU4QTaVIMQe4RgUyBVwqowYX5O
2LdcClQm7Q+qn3RRyf47emxeCqASIfVm6PLsYNHsp8uunnI4vL0hnhUdXeDelK3fmO7LQau9vlX6
zeCk3RrArLPHWAucHzvv/Se/AwSzCEKgxyIDhwZ1NDE1UZQpuSWUDbwsKtYVCRvqWH+uvoVeH+0L
XVVktmiYLPO4itbEHGL6rBw2rLfTBdt9IjVms/yOx78++/iGjp8dl8IbYi4tdwTC6nGBKy0jItPa
btiIsCAYKlLyhlqJVO/oNYEy/fhix7b75cZgKC5ldjqAC3js9fdQFE4Xx2o3bky89lqgtHN9LeIq
Df2Y9KOD3g+m4nu4Zrdap9Ttnib2/F0Ip7qRlRFfESGX8dRxlfzGxOJ9TTmN6gfd48DhR2old4kl
sRnKAW8POxZkEXjVvQHd5TyosFY4+vlIF+of5qxwCsIDKi5tstOMlTbn6t+OZZInhjXc+WYM2tBf
cLLwSHXqMofSgWtFX9W013+b1lDPa8PJ669VgWtxVTkjPd3ZDklM7jhe3JOgPO3xTneoJXAt35gd
GA7klnn3YPfxkAWThunRD4k5y4O5GdqvlNrGFk8u31dQqMLezrHlya0bNvNXV0+0p6wlS2htQ+KZ
Vr05mt8YcdnvMirb8jzr1bbZEStWkoHUt+e21padb0xWi9Nf6M4PxxjDU6Sgtx8OW2WK8SwMCCrY
2L1+lZKkF7AA6rApwtTwm5HUJxPt5GZMSSb6+LN5XZZfhgOXwt5C1ZqmG9uV15eaFJfWv47gNWs0
5dB3PJ6wb+YN8GPlSq3d6qBQw/328UXfuT92QcyQS1QEIJKjT9Wgh08kvJg2dqao6ySS7D1VM9R2
jqwBD3z+YrQWYYfAsEP6dry8RKKMEWKPm6kYJUb3YTzjOSyVjfRUHPA796XDRiCbkRMOE/PRexNk
ythRE02bSfHibVoX2b09jMUOl7hxQlm1/FUvF03eGxwwLsIKQPXcOpos1TDqDdiF4waR/YBINvf2
Na7IXVIW+jn17vEHDTeJNXpKlRPT2jufjPGsXuTFu8t+9fUnk/Z17rhFOSKjBy66MkAR5EHrdtpV
7nTOY0co4vc4ihL90y+SMbGsRtw4T/hYNN+4XqtXslc3RA7pa2gTXwkiM1ZFdtIYdLwjoVcA0B1l
AUIKmwSNozu0oTdmdujNG10iT+6sEDDYlJ1Qub79WLgIN8IKsZzhj/e27HbtzpsqdVMldew3rd3t
PBnLIFKl88kd1vP9vLjU0VahEnZNNEmhbuoeCST+/noL29c+8V28e0Podm2N14RVbPn/L/ZxbPIK
V6Vwtpnx6vuGBX8wx46OgdiuTjy7d14QrBywbRyiwFS5RzckaoLLtSZRyYe0jHUpSbuszcZafTxz
HO/QeWzoyFAVslFY8KdHw9lrlU4VTJwbPU2hz/X2YECjgCXwk8avWBsTK92JS77zDNHSeBhaYDZx
1eNh3be2WjS2unGFfhspSXdw8vhBd0T7+ZfFGRAQnLN84881pFcvq5hElJUIumy4kDf9FMl9T9N8
i8P5lBAVFfqbycogkht3J6BnB5bu0XgKbV1xplrRWcC6OgRIKXNn3ReKdzPXeqfsOWPIcBVnUs/W
RsPGbD22LUI+XWs8SD2Z1q1JXc2vS5qsgu6EQStpMfUFrjNT6cQWIajDFImbr2NQ4YoPLk3PV0aY
j8nWMyf823BHJi3gZGA9NWZjXg+yMhXOWXma+FFbzj9HSxTtqp8ytTyvZZI0QRvN4z1FJig/2Zgj
MYK/iA8EpUGVBYlsFupD3ZocgLOkRUFaC5gEmj70dy0FJPuiZ9tFn2AA2rsNUdo0AcUnb1gLoTeb
WaHkSm5XGj0ZoxjrHcl1Jk5wpOiQmaK4XpEUBoS/MvL4siTfFvgUVMsnVD/WhduodEl0rXrKCT6f
NlSC6h+YVFV87HA1BzRwkWpS+IpHJRDCSB7Somu8TQjPRgtQT9qPFI4zBXySDG8sK686fwxbh9zi
sZTbsCi9MSDaIv5pWGjx1rMmsnCnCjHRlHQsWC40/Ia7FN/6d2F2GFJdNadZQXiqNLugIJGrWGuA
GZytpw4kL8eD2aUIjxvFoNbgZuPtVBQAGnqA43j4ObTGX7PZpovICU0fz/Qiywn402h0X1nNFGcH
2fRx5gPLarWVHrXJD5wIg+nTglvyAK3emNflFA7plvRxVafQF9v2JUz9ZAx6kAT1Y1QAZF43pXR+
D5FhZL86JayozhXukGzLpCPE3hBnls5fmrrN5K4NSzRXpaPat4NIkvsU7cKTYOm5zWhjPdHdAKpa
t6MKrXZQH1scKwhQCOG6TYsyOXjInq/po82qT1tS9nsDVJBYI1/mxYTTki88K05GQCOJweq6rGft
IrLUEn7FjHGOfooXKesSqqhLmEgYPahTWNsBaCOaXXUXZWQTDr38IufWyf2ZEv0Pu4UgEIgoGTcE
wvYDiBY7kzs3MuV9qqThjUQfO+7dmoYwLRRBFuEOfEU97HnCiU6WalLEZoA9dygPTZuiOpnZUJ25
U5c4V3OdJQNMJAMRz2Nd0h9l3OSz+wM9DElrHvsQHsWgxB6NhZaw1cpuyjSI4Eo4a7yPwlrXxTjI
YBKDedOGNcETfuso5sEzSxJ1VMVq90mO0DtQPMbyj6nrPWKVNNqCa7UJEXA3gykG4hk0HfgpjecI
OIlQflZImKprN6qsgZhFdB4rqHCld6GmWh7vu6xxNuxJGuxdWRI/pHohlaCFPmQENUDoR8+Oh/Z+
oZGZJybzIyLvsrlmG4FVjWI1dT/3eJNmGkOazbM+AX7O7bWS5Pk96UbTeU0D/Aq2mXc58YzMNZWs
cVOFUXWVK4axTujKk9BLeXb38YL2zrJJuR5XwELnRKZyNA8X0lWqorLmjVQY4EhJ7jsyCIOPL/LO
qvnqIssv8WIbkLJzTQx3ZvME54SMzarRKBGOgSKn+cZo8T58fL1nrvHrrTCyU9wk1CdYsBGzv75g
Keq5aR193rSGQA+B45uGe2UlyHhDq6fNLYyKcE7ITtGtUZSWG0y5pB9rgN120EzENVQmp8mvCfXK
DtkyG/utmSm/NZlph7nhbBE0jdu0Z5PZ1vfPv/2niuT/rTf6lZ/6Q6/1/8BSOrJgAgHYwPz3vanL
qu3if13L/JH6ePKypv6fH/6nG6U7f1GzYe/AmscWYnG2/9ON0o2/UOOzGSSDg8G2lD3+6UZZ8C8Z
ePhBiGUwn3cd//SiVFzY1EjYZy3/5oTNPuvZr46d/J+yNE50nv5//fllmfpP8fDFJ8iuZhHpw60C
F6m7fGGvP0ElXGB2WmOc5RNhACMy0l96iw0C9USU3fZsjTdJFM33wu50oo2zynCCrNPsfWjSAkIE
aueTX44mPzaFCsqkVtdYC/PM+NLXAwufR0s9XyeT7GpmrSa/mCjx/+RAb3xJemsg7N3Shnybk313
l8nBvpRJmN+rY0sUZlWFbbjBJqiBW0Np6mtymr7kkyQBFYu0uBGeVn5pinn4qWAndX3+7NW7Ouxj
6Vf92HYLgqiZfWztVbuCpWzu2khN3aDG+fnNypr5l1E5er2jdJ197UPQyVsjD0W3slDT51ciQT4S
kJ1eWes8j23cGYnSBfgFyJ+d2kLIAIMDqEUlz22Nxj02OEGkPWshJa/bcSDt008aq7oi+m/YaFUN
y0lDU9/6bKLGdjUKN4KTZimzE3hAn26Y2NurJBcYQRq9rZ6m1kzNnVsX9qUj2NJwOoEX4+t3PNoB
3QdbnNxUeghhsX4hbHdMgtnOAbylYGQI2LZYEOOcn5CkdgdlmacHQoPFkxSKcZEkSlZulJmYETJx
nVwEZkHGrd+LLlJ9BXoVyDLgPISEw0M8s5vYA1DpqT9YY+efQHJm2u3xqMmtmQ7Kd3cYmmQP2Ef8
cqZMU/0JlcddaU/gGiW7sXjT1ouAKwyHaDNOsX1O1C7b1VSfq/hiVry6g2g3NxoG98rofJv0kTJo
B/RfK08XAymJLk5pHOj5TSUd927BZDqbOEu1b+2MktLnB+p0ZRdVk/hYrBE15cUUX3EQ6x/VyvEe
5nZMxdqLtJnwypzI5YA1uX9y8zYuA43CROIr8ZR4/pC06qVSZOZNnC+5WTFR8mqQ2YMannU1qbx+
VjraVT/MxaM1ifLOpJKzzuoZzFAl6zoMcG1Mg991HixEB6UqfVUsZQGDWjun+m15QSUUjgNqT6Rv
MDgqxUjqV4PjA+Bx9gykKlxZcTdGq1nWm55Beu/NTnhmGhPpVlGl1w+j1Wuf03pDzuH0RkGW6hYl
WdwJ+usZIexqmbOUqPtJU6ZNJOcqGIxe39eGGZ6oixydrv5cCsq+rlLLU+nKv77USM+n8BJ3hjjo
1n7WKzetOXzVwT/5XWw96O2pbLSjFf75gjjRMbLQseFkt/z/Fyu8npAC6aDZ2+eFPaIaQbY4jbHj
g2j7TrHt+sWS8M9s+3J2Pdq0LFeDIqHrpH8wmTvHfau2sWqboOVxL520WpmtEhIW3zXrj69yVE/j
Khzkl56KizgZyfrRQ1QWxFNNWs2eU3H1y6o0OLVETW7HhiifsBHGXU4RYNOBV9x8fGVWxJeVvOcr
azQ8SD/RKPUeFw07I8SV56TDHoxWw1Q2i5XeCLHi15k2buFUV2JESSBsI/liJbF54us5qjg8Xx41
4BJ2ic/hGTvy8mW2+VjPxjD0+6wr1XVIplSQRKGKkGrWTuzU3n6oVHZpPFq4drBpvpFJowfVdVl2
+yKX5ponmW/yui63yBsAA2algQ16zE483iNmxDISn8UqKiNxyc86NpaQHqDGSa/J/WjANPcVxa6Q
IOlV9SOsXDKTC8ABP0Eoyu+dGvfKUm8YbtC3IKuMzaFIb7TURC6izSGu0Kk34tnPhE7BoXRQNm7M
MsPiX4228C09W7SvFii3rva+N9EAw9DojEn62PmuJZTYXVbb8kuB1DZnkhbEf09pl101EZmNH39W
bwcp87HBVslbKjzmMVlrME1osTAr9iKcyjNK4EClekmaTOpWG0/m7YkB9N71sGHQv8OEy0x0VJKz
+ipJhS7lPoE5FEgwBOdDMcSrKFpIiJM8FVz49rtdxOlUlRgytBGOudnwGTE1Wl2/d0f3iualfeG5
nX475am7/fhJvp2AqIjQUIODQWYIk8Pr6Y7AjYr9hS32vfTCIMlt5OM2ZY6Pr3J8jFm+0wWsxctC
GQDL5ugyOopZo6bBs6cF524EC30ACUxFMOqO69lR+rO+sL+NVGi2ZKp0rJL2hH2+A1GaFUir2+63
hInqJ30/+XES3c5adNvkCgTVRjkV9fl20qIIT6GSBBQMFm8sVEVozSMnPbE3wpZE4BhMZtuBwFbt
xqEZWP5q9W48c4rYDYY+TE9MJO+8+wWERKeFp8Xe++hRJXaR0pmavH3ez9leT0ec9QQHb+0O8vzH
r+Xty19OlKgTcClwtePDpT4XnejDwt3Di9SoeAiCc6I63Hx8lbeP01wSnZmGqScxSR2tPnzkYLOZ
l/axI6NN4wn3jH57tUvHLNwI0We35mh4e68okg2atuzEF/528TM5BpFOtBhUiWw8uvxcwErULAzw
zTxZF0SEnAM4j87ocM0bNjdUK3tN+4Ls59SLXF7Uy3OTjkuCK2KKgzAIg21ZMV7uJMKO3ficunvT
ye/iZoRlPadZMBsch0SkntopvfMyWV+Jc6XvT+7Bc73mxeXs0W4BdRvOXkkyYy0jOewFq+KJmdB4
7654nZxFyeFbdqyv76qs60bKWdH3ujF4MyVplRWBAsVCiyc7O1B7QwVlCi57DCx4mR7c19+s79Rm
I0ub7o1MDN0ZKyV9bCy/xY1r9uUUYMFwr2Y5ROmqbsbwOozhsQez2egOOqa8e8R/D3yVyk82+2id
HZQNrQx/DEmDEn1yR6nsLK90zmytu8gjFrUgykdhbCJOC9k61BRb9eeMcAVk67YLW4gz3ClEnfZ2
7BJzig0Hv9QiLz22liLOgT5WkmM7jLULD3+AOY0C6G/KlAg+OMQa1xhlQLAAVqLdIrthYHJThNX4
iYZ9egv8u98j31ZNKPdpeBbZClT/j8fj2wEBbI0axKI6Y447jjAYQvjclhXp+1wjyI3YozByd/Uc
TekqKt3phzs6DuQIytdyNcwjmUgfX//NQ+K6LAFMCewM6fQe6d4Udk8xypF03875uEUokWyqXEJT
leqpUMHnne2rMbjcI/5mGo5LT+245TSZIdnUpZntqfN692adepeAZ5udK8v0twTHvQGulq6B/evn
jaL+iInbWOWQ3Xapls3XYRV+jsvIjg0uBscm3B8LquaNnxNtJHWEecj2uVsnO00tWezyurrRcutE
F/3NhLBcCdsx2D2avagsX49UCNSdMsZJvqffPDH4YOSmiTuc+JreeZsQu/gHtxh0y+Oya90mFgLF
MNmjmHFWdlrrF5Xez4EB5upTXs4/j46jIH15ndoXgc6vb0hAUzdAy6V7+qbzSmGaCPAnnNJQvffN
YPcHMGlCB1OZ444uU7ZxpWLE2QNYgJKSa1ST4TFfuEIh+HMMHTIyRHae1129zT2r2rRTZAf/h73z
WJIcubbtrzx7c9Cg4ZgCIZGyMkvmBJYlGlo5NL7+LSTJx4qIYob17A6ucUB2N7sQABzuR+yzNjMG
2c41IrAUFPuuvMqLI5RXSUjCKrbQz1IIPP1JpRjy0qXzAs9Gig9dtpjbPG2sfZZ18aabbThh+DHu
VTVpt0IB2//+F3tGVvrnk19jIRYUOCP++vT6UHIbunRjEmjz0MJYdhg67aNqT+dfHpgA0bd0FQe0
WEP6LI0i3ujOaG9Tu1iurLb12Z99zwSPq4aOVpKOS/rpD1GtYTa1zEyDQleKXUiX3C+J26/c78UZ
Ry7On73y+IiLGac/vQqj5dVimUkWtI2NrMxeQt8omBTSqrHjKDGvxWGXadx6QcT+JkpEAqTz24pj
2sPoArMgFjA9VE3Wftlu0+6mrLpib0UdJPt6/It5vHbXlYUNk8/UwNwk4uDaQ46ZgAx94rfkLp0r
dzca9l/ZaPZ3I8yvIM0oReXgozbs7sntbBe11/TTcNCqLMeK0503kUjzfds33zHOhklfJn/PAvNt
AfEgiRZAJa1zsesC/y04caKY2qIy1oHWp+F2WZjQGSciLtFq8U6ruzK4smLXFXm6UBBhEfaxVsg9
CMNOL1jNQ912Td0EuBYbDzgjU1cLk7pBJQ3yMqJpU0U36CjBpY+xQ5CR9Clooikf40eK2f2wj4wa
DfX7P+tys0Q2yxQ/KZvOoXRODBhq3epFuDSBMVgLVI/4p0o85eM1cG0Xu9wxuBLPmp1ypSmeF14i
2v6aKLsmGFo3vENr9dOssRpcSktuUJWvk/3C2GST5R4sZ0mu7NR/uE+kTERBjI1rjNecve54wJDS
SroqcLRl2tOvbX0M3RqKl9c7ZBfhzEqcMpELw/9E7ndeAgkzJgS10K4CFB7uZoQJiiQ1Hp4GF+VW
wiBDUHVT9wBMEUuZcpQ7paHn1VaNcrA1hE+LlVA6zSz3PgFLsB/N2HxgQLe/4cayH++//4si0fpb
ESQSgIFXoGB0uiohITB6xthfYBsxtX5scW5tPAseHai1j0wua4+aXQ1XLnpGu1w/vpXMvCqK6DKh
0jv7FiK2iKwM2zTQ0qo9uDodlalODThV0a9ISJWIe9A2y9h+McnQB52/mA0aLoqSl3eRLnGe1535
E7YWyUbHA2ajkopvm7nCAcaseL/oVV/1tjb2iVt2T6WmLR5cHtT3jKbfNeHYILQftUPZ0x5OY1QS
1iK6fVmBh2WgqYSDbeTbsCBjwV4DO5XcNG9jHUsQd2jrPWOg18A+l8cIxY5Vjr/qGWFdneWEs92W
xjgI5VhOQ+KnEXN7HPrXAPB/uAqxChVXF+UDn+LZVZircjvUM+ERQl/8aLfT5xxv2uf3l9SfLkJm
i3meg3iQsvzpksr0pbMaKw+PrNl8V8555xtZUl5Joi8/aBqecBlMpP8qELSzXDYzMifWzTKi4o+y
ZpkwMK0Kxs9iiznWtxv6W03jd9vBJ43j/9pe/h/YNH6bpaKx8NsLvqBvb1/xTbzv29f/8xERdvQq
X3/vHP/nT/h369j6B9IL6voc3/zD32jcq6kiB8B64DJ58BaX/2eQkaVC+3SV1q6uu2s17t+DjJrG
QBaJK0kTmdMabP+d5vHp3gy7mlIplQiCNaa/6BedLU74uYRrWikDk3QrlXP9pBV89GrYpIcQNtte
iczRR5ctrnwVpxHc24XprDA6gqUoy/V8yxtVI8pBvCK6wVPpaFojnopV1e4mfdKJliLV/+0lPf4z
sPi9j/OHG11L8asbNF0WtvbTr7BWpsUpzZqpGBs/ky6W5W6ZZm4Sv+FN32njLiUf8mfTSK98macH
/Xqna3sF9QClHw7Ac/MCq4yF0SbTGMzqYCH7CC0/chYDY5m89BPdnfZAt2pPxV79ts/Sa67zZyWP
t+sTzKDV1umxEMSe3XmYTcuCAHAJqkVXduiMhhsyowq8bex6at7ZG0NtjIPtSPshzuJ8iz7d3Vuz
863qw2ZvShlhcaM3d3Mk9CtR4OVbIfYgbeI//FAmVU7fiiKw5xNiwIoFG82dqONsm09lvjeNhVAo
VNFxVTCj5Dqu/nfXAxV1HgcsTIhfpnlW49BbvTNnddGDsqiTFxCF+Ka1rTisjqU7RpqGQOMYPvRw
7Q7vX/ly5XOqoRxQmZThwD/fqeNGG3pE2UZA46s/9nP6o9LC+BAPtrkdHbyX37/c5SNeezCIwCgg
U2s4V7+aDZRyBgvtwFAgRkDMi0BbO8ZuKep+a/fQkBZChm0xxd2VK1/eKD1NciWSdE5ZRrNPX26F
rI9iimIHI9kLLfk6AwGm72pdf3LDqb3ygb8d1v9JKNZ1zmAhUBhKVqQx5Ianl+utMdYUPbGpWlmj
7VUlUkVFmwbaZuGi4FLVCgIIB+UkvIeu1V7CdBaPkFdb1bfBGw1IJhoj9SsV4hU6Ryxe8qxBfgCC
xD06MfVPYuTFOhYSQsgmKvDQ28WFrh/iSa0YfDL6a2QnfHB/T5Le7mkd36I0z+1xrJ+d6pE2oUJe
RBOkIbSZCKpx7RV6Ur0awKhDL3MW9QjmPLKxLpLVz8HIsmzTDKmzj0IkEbrdwZEWPX3AZGq+W908
ul6OaeON3g3xX6Gi9F/ccQw/GYpi3DtaLjwlsZYHV11anD571X1CIRSl/jQUy51I7PzVzE3ts9Mz
kOClg9p+KfKCxu08puSsNQ908RozwYgzrfsl0OsFpwPK4dpnFEPptWruaWT19nSo2xMvm+C1iOPW
FPO3nBUI6bqpuE0gEePe0VXXdpgZOn/7e6WOvp7eBFb0Dc9TAiUFkAEytwnaKP4qEqXCMD3+mZKe
7BLq41f2pfWNnq7i9WprDs5cJXrCdUX8dk+FYlrtbKRN0BupvUn1FFlQJBWvs6voFpk7LdvMvFZw
vnyQjBzRNqU4T5IGiO3solGnWHocy6DGQW0rChsRgL5c23L/eJU12lkZ7ox0rv/8t1tzlWSJMm1q
gmWqHA9zW30zhOa1RXH5yXAvfCn0+VfVhjjb2JVwxJGpTQgszGW+BfU9o0sz603cdhA/RkdDqNkg
GXIj+8p+96f7Q4BHY1LX1rruWU4dWsYkRZHJANco7B4wFN7WDO1d2ecud1XG5IgYySRsjo9zG4Zu
xqVqHrr1XSXpVmHnQGlNrqoW+lejS69h0v54ufUxsiYZ139LXX97aZZonYWGpyR66G1EKfqAZEGN
dyXwJEZXq/DK7f3p9QEtIPSl5MEnd/ZNo1eAapCMvL7Vu7EY4i8CA9VlBMykLirQKFzIACdpT++f
kqfp07qVYE+yErH5+ChVnHPnOmBBJYMiMoDhAS92ECqhkZL4HF3XFuifLrVei4h/PbHOk06lX4Z2
kHoTWApOdHl6bHDb3Dio0zfv39OfXh3aJU59evo0V88epe3GCoX/QgbaYt45zYCNBo66AH5wtVya
MLuyc+nrl3W+dbE/YsCyAkap25x+30WXMnqrcj2mEDVvVifroCVd/hAJpz8orqrsTKZENjkzBx8X
drYH02nBINUo8Wttnlf+PTiwZa4+xC4V8jDqih12Y1h2GCX2iU2Gi2cYKVe297dSwvnPZp6dOS64
GQ4h4enPRnCt53Cm20COufVaYaeKStNVv7lISwGTZaoLtcwhjEcyk4F2cyyq+57VTCL3mgbnQcwt
teiLJCr4FLfj/CoWJIYeMDhpeVrbo+dOkqHuPfIsBGvA+dheE92SkadmxvDk4Nz8odWWcfIwz3KQ
TE7W8gFVVsoMRYobUCcROYTMjWMapBQGr1PvHvtKd688iT/tX2iJ0YG9+SKcz6ajuA071craoKG7
7It47LddgRz4/VX5FoedPW/aXfRIeOYMqJ8DFxIq6E6FLWMwh3pHqXMUR5vT1NNq6LeW0WylVHBQ
xFPUM9K4OkTAxvy27q5pJC/zsjW/hmtCYZJx/HMdIdhyukRY1wURNkh0jPBwb8vBDpqsC/CmusvK
3L6f9TnbaGkYXhkhvLj4WgugQwaHk2eB9cPpomuY54kmejUBk0XtPq264akrakyem3ydOVPsg92a
ym1NCP3JHhzj+dpLWFf1yVvgumtKunZ5XaqyZz+AVDu0GwZYgzV9/Rg1dohnjEPnnYElkgRPi1XY
dEk23S9MMQ1+1k7yw8IEmrsds2G4UfWyTjZaT5MeD4PS7jE1mnXhJ/FsONvYdVJxzAB7QUTKnaFd
AX+92IoyHf5CuznijJaOAAkyinJ7shNaJA5WJJ/mToB3aU23ezFXL5JDaK92pwMC78WbqwZ2uTro
bcfATj4FajeW4ACEBVVOzRHSMnrnhMtmqZJFenHWWC6j65E1+fiV0/eMHKm53qDi0n2AahkT7oZ6
Fm7qhfFACPVYk26GNp/CbTgMGJPFPeRGv2qsEQ9ZiAU+crkYuEErFWhzS+6EvmuF3WtJxTpitMia
C8iXiZthkG7Nm6o2nK9dt3TpzsZQG0jfKESxAwjPL8Kbok28NMxMVHvlHNWHxnVHd98uGk5ZZmYP
8sPN2E2ze6SACDWu1VrxVBpVwWjdqHSfHDHKr9FaePQnAYhyC0APz2e3TuubUXbOT3al8sWK5opJ
u8aecQalC3+r90NzOwkn/xEr8Pe2WdygKUwJatoNqPaMBAGWYEhvMHfuuw6eCFS+DDWmkZjpdyGF
+GjhLi22mMRgMirb8GVx0fZ5Q5TPlWc5VVJ6CkMCH0SMM/ckVpLGUlcNu1mM/gXNScmSf389X5yp
KPHA2TgElrSu/jkh8VuUAl7eKbHd0IIG9efWdTvMPBPGumBruFf2r4sAfb0U+i91DS+R/p0dFwgn
hB3RlwqMyo38dLS0Y4NAZFNOpfKT7T/aErnnV9o1l5smVTpCBo4nRnNJeNaz/rcbjKa5liUDDoGr
uPoBq5ziSAhh+vQVld2IHdlxcUO5yzBjwt2givf1kAlfiPLa7PPlKc/xwEMmT2BQb+3An/4SxeyU
HMd2IwD1peG8XlS2l8tx2RT5WO3J8oxdkbBacbmHCMbkiRom93xs1Z1Q4/nZ0uebpXOK7Yw9Hnju
9BHbzWjfW9b4yChGu1syec036nJ14LJJkgkEBQ0l/+P0JzNe2dsN/a4gSyJ1w0QuzQR1iD3mQr6/
vw4RkF3sq6sRr0oNnlCI2u36z397USKeMMDO5RKQgijxq2HEzkNSpH2+zVlLH0SV9N+rMR6+oKNz
dHJjdTTYeBXchuOfuvraal3TPsumdr5MziA/yprvcJvjzleUGHxH9lAKr1zM+cassh9RZSyf82KF
ThZRk3ndgOk2mxpNDQKNlni50GcpD3ZmYcnFzPCkbM2GoWBwoH3oKd08zdvaddvFWwVgg5+gcvpk
MazM3Fo4dKYnUlehOBmq4UdDzaSzmSK7tjwsHDt7r6VGsUCBY1/eVIxrPszGwmgNkNEiCCfd/FlO
DWq+qE5ozUc0fDaLNmL9XlRJhdNN3a/TM3O9cn+5sV1KH6jxmNXs7jo7H8FpmsPyoLVImmszqidP
TOBtdyC3OZRb3mC50xhkftGqHKvNvJ+Mb+zb4Psjy/48QvrsvMFR4zSYJhvEnVpUxodeaO4Nnu1i
C2fXYugHfW9OG6uk4gwPGiBtPeSJ41uwhdcCC3UHWH3gW3em1LCPCQdLCYhewsVP+a/IExltN0yD
4+kFNSzHiBDMnEKAKTMQy/BQP8eGYPDTDcd9GmrWfmiUltMyd5SKuNJOPnYzxu+bhcHz29AdRnW/
JNjbA4zqVYC2mf5Q5tH4HJt58isWaWZ5ViziYmMnBTZd9eTE46abqvk1GlvxWEgT+1jVKOuPnUmz
fJ1Rhqgcu9NzLQSvMnTjYY/dY+YyHTstzMjWepZs5rCrlK0OeKLz+y6J76O4HB9DLfYwbnxMOrM8
aE5ya9RD8rnAOAVByzhx0KXL5GCcrdfyL7Vz6Q0OTcnK6JKkXMEgUI3QLiNU15AEdnsMq6Ob2slx
8w5pgtG2TJJqt+CKedeNi7zvik4VO22IKs6TdMnupVwq1UudgpGjWuU7IhRgTHc72KB5fFlVKAB6
sxp/hZS5GE1m7ORxMkoj25jxgiVNWTYwJ7KxPLpRXtxpLGQFHS1pHX9zMjSvMNIEhV8/xx8TfMe+
LuuMqu/IwX2NHfyWN001dD+7LHutADW8NOOiLHd5Vef3tWnGT6Q7THkNYdN/YLbmxzxOUE/SxB1u
qX4Kf6C12ax04Gz2Rmug2MGEkP1km5P+IeH/8EOk0YPLuiGtQN7AVPas1jre8Uv2rTGUbyEMgYca
NpzPLEy2D2cje2gYvWeEDHMcQhmdg3Y3S9gvKLXHocKbnOljrx+zlrO4GcIXDYzOt07ths+aKNLR
K9VeepVgEs7DDqLmRUy2+sUew76DCBs1Twm+PvaWWSyn2QAvcmdPIg3Yp9TmGVPIqp2Vuf3tDF83
3onOsHP0uQkOjDGW7oNXcnLwhEvDxfIKVanua8RYT4SGJsX8yFS+uyU0A6qSjhi8lffwzVRKN/e1
slwe4QZgaw37t2RbKkTxUg9D/Ik+TXZN5fd2Tp8GwOT65G2rtwr11fNCG3ACAUZWyW7UPhxMBuWG
5oci1OzJwCttp2rTI3UY5QUvT/0xjqgquwvSAxE9ZxYteRjAnfEYq80vstTqcVTQwDN0pQRFGaON
xRNi8FdBFuEqAsfb2ezNb2GSumCjsE5B4aHWQekYylerl+VIoVlGs2ej+XmJh7wOPWJGkLgdTizX
FJdrYH9+3wTV8F0wUUQPeBa/5An14rCM85tqKvqtikhvn6Ej2F45CNcz9ewyhEkQ23DVBmNyLnam
WmQukdIUN2rarOtNztuhFhrUeH1rK+EvJ831XWHU/bGB3XAkVAf4OKr5wR1C+alymOrLqjHcrBx7
b54EMaxSfSJMz+8zQyS3ST83W0Jr5coPvzy/qbdTmqHPw0wbdd/T89uuO7Ue9TK7oSLubBms0b8C
76OPrqvKjW6yGc29CXVeg5txJcj7w6WZSkKqSY2UaTNrDWN+Cx04joxknNvsxoRIsunrQg+MdbRS
RmK8k7hkbJ2QID1FNuq9/7YuAyTQKDBxVzIhispzwTFVi7icxZjd1FDkj7w2cxumpsP3Ol0bNLm8
SXSBq836qmteaYinN+nms4iWOC5u6EjMB62O5oehderHHE3qtktNZZPlyfDdAiX36f2bvAzcebr0
+igr4ioElu30ypOozV7HtetG8LXtkzrSvtSm1hytqkyProIaphpq7co7fVPbn34HZByMDTLkBunM
OJ+toGGl10mn2gGJbSL90Oq0aK9z8WqLJbL53e7rb9XQNGag2DETr0uab8owr35Ukxx+DvBH0bwh
SfI6NTriD6TcEOuYP/KpcA+zg9gwcgYmZEVS/yrCyZC+aOL5+2TkGCEjJYt+lnk9XCleOAaP6uym
mLpB6coYHcSx89JJQ+ViYk8UwZDMzUZllOFjTelq9rtSQt5X3dkyCTTSBHbNQvHFz5R5ebJL+Dub
KsHZFwD3kOs+ObUM+CJKUoheukwV61r4PZ9mE4wHE8fAuZusOVhajsdc64zqvLHV2tA2vW7khYcl
iRWSrpZhsZ+zTj8WDLf8xbcVRV6YWOmXuCTu5ZCsa0a63dVZIqxnA0Q4ri/ePAyU4+oR0wig+l3x
JQGE8aWzcdQB11faHyc5tSjiShfvsBYdFVPZcw5txiLuInDU0/jFyaTikAS6cQeaqW1fuiIzXs1W
OttMq82vWKpStYtHJQE8Iyf1PkH38Zxn7mRvnDI2UWGHE6GNXY0zDhh6uEMUWDCpTOMMKEnsJNjO
4jAXDFVpH+TcziqxVtR/LdVlKnwd2AtmBn1M8FfU1UsmOeeu7A1vo3OnL5sRJ2QiqKQwMWU3P/1u
RAGPf8B1kKg3c2ABDG7W38eKPj+YhfVYg3jcay5pRDPY2qvDrf3QxTA+WiP9vjGO+LiMTEtCbE9V
BfBLX2pxIEQY/uobfV71EFm+masqCnehzC2N6Bb9/5WuwuWhh/Mdy3Xtq0GnPp9uIzChOGJ2bjBp
iul3CGu82DTnK4/qzdbq7FGtI7TIeXD8ITc+28Ent4jJCRQ3iMIov5f9kAZAceZ7YU4l33ffbkFJ
DpsxlNPWKivrIFoLUxUE5RjQmOK+lXX7TcKV9KwoDveUjcfjrI7XRgovi49r6AOtE2YJveXz6XBI
RfkkS2gjshmGTYHvQqc5GC1q3RFX8dXToi03lZrsrbr78v4mfPkiqCfiOwzLlQIoudXpYuoIJ9se
e+ibVk2piy80AsmYr8m1/3TI/H6VsyWbaWZrRDCebnqYPbsiYiXaxhRtI2VOPafqiGTX+oTsmHF+
//7evobTJYDn00rjQM+5th/PlkA8MlC72HN+Mxat/AvReGx4cgxDFNzNVLJVMBGZWNEIgIwRIMBF
eQjwPcrgUNWu+lljmug+1OzxCypVTFOAQWCb0Fh9hDODgl1wJiXwJVJn4wlXy/4lU2RYMTOtFTZi
4WJ2fOMn9iec22VCzdXTEtM8OEtufC04KT5Zdl2/dJEYXrFgdndw7OnuD6PDbmQ/1nrvPlpDx/6z
9OvEXSF/RWVGtkHS0MweLbu0vi/JCWr6+y5CeL4rRQK0wb/Xm5AMFf4UpzZBcBjxR+bLJDagmbqH
chD0XCPVrV61LuO+Ggp2mIcmZZb4JFM6P8LWS3MXAasKPWyH+k/1UinLPh9z8yXqqumWXjvYnPdf
10Xgs8q8Kf9jRk00j4nE6XLM5AS6NczDQGcKbaeHc3W0F6lvS7dSrlzqIvxYLwURBWQmYm8ISKeX
UhDZLbCwwmCaR2MzuGO2xc0RX6V2HVjGfnEnGbS/su9dfAhclCFAypQ09Wl1nH1uETSveXKSMGhy
oMZGbRffsSmg+Kykya43I7HRZkX7YQ9GfXj/yb4F+Ccfwnppm2MDSc469nj2DepaW8xTxv0Ocbjs
4XsbWyyBzJ3d43hKABzfVGPq3JVtX5NmmpY/g9y40zjRmAKcsysP4k9Pn9F/onqiT5qvZ715UYfQ
txmlDQixGWqmaLKri6raSFE3NB5JvlLb/vj+I/jDNRHjQvB8Az3bb4Oav8XzRR9auhxtAINycrcq
H/k+z+ynxh6bADlPu5Na9vX9S/5hPaMMpadmvs0jnbdgWQGRg7+rEiSxMm0LO9EP01BnO/gz396/
0qU0CfgaEpV1gANJB9qy0/XsiqRUIyWLbqxey3Eag5z40OeRcTcbNa1NBixchuNjLQCva5Y7kS9u
v1VYAXcmRr+hN0gVlwk68xoQBNgMg1fVSqlvCY6seNdqY0YdyErAw401iq0lBQjo9bVl3co+yfeE
0dSgWiwQSzTuaAm2dBIbST3PjqP9MMX5V10bAzVuHNJrTCgzekNV9AshO40YB1+i20iJWXs1yXpP
1Nw3tCAr0z2+/5wuK/frc2LdrW1xFsK57Sb94agyHZ6TDannUDRW90z7P99Qpi4OSd9jBUwbfBPj
8HXXqG0Fhy9sfzil8S8fmv/KiXoTep59kShHGJkCYEuu55yltm7Yl25MHxtPNEUewcHJ/dymKAJk
5YT3Vl2VnwunPZp9r2zDhKFfz1WjRuyTouQjaZWYWNOADndrKJ1b+3lTVqk3QxnSNxqQpOVAut+y
4S/N/DVF7Vd51VTbOLYZLo4jZgnFZ6tMZn0/8jbEmiUgIoMRVC6MXFtK4ydu3lH4JC7/DJRPe+qd
MSPsDOcl2um1Mn7Ue5RntJykA3bVmUtcuWxr/FLGMcPFXQaAkalYOEA+aW4rvCRDFrtl0FXz15yU
wMtMURywQYQ/pSMh+yyF0TUMODsaVfTGeQaiNLu+m4r5+f1lcLEXvO09gk+FMXPYd2dfC4l7Rs9I
jW74MEGDCh4lYFBtExbpdMwEQhCt6pz9+xcl7uQjPHnlaJ05dfhQ12bvRTdCG6gtL9FU3MyamEGY
W0k7+aWyWA5wpKK+aQxj+k7qqgjaEyPIOkrPhn6wU6MfIDzOqBEmNx9rQou0/6h3FtZTCiSooocN
5dlqytwqmGbV8TtnUcq7nP1Q8cAcleamUAzxIzLBVTG01XbTlrOxyDzTLbqPHaRGEhezsovtNObD
q6PY7QuOFMLcqdNE6T82ksXcJGPkWgergt7nj0jU203HdFayxaU4znaASjUMrmhZlD7V8DHZVKPa
3teomwN9aL9FaDMYmP4LX3vhpRHM9mWKKGskLDT0JPJDEo0bYFm6P5dd54vEemyqMAzmRWXXIipF
3bF4E3ZlW9Rw2rPaWndWt3zKprVFU2tH25bm1oafrIXRto2Lp0XKxhu7qD+MOPUFNCVZ1QNtdQ9B
pfYFMWqFnZjyfel0qEWJhQkX3dbOi3vVyv1QxQCrNccBQJgKvU35ssCUNbP22SppraZz9qSNovqm
Q42tZGYL2sza17GLRe7nsD4RTDQIEi35rIRISrCw0z03N6ugwt7rHt7ZdHCt3DyGHeNeVsl0rh2n
j1PlIiGb0zXzmp9sYJt9UWa+yIYPFlTopbwptPFYlvZLagEss8RU0N+1drXoaypzzOShZvhgpwvp
ewLxazLmL9lbcddMSx9y3D2x3paOUuepIjz2UelXo/JXPNGGM+0er8RQu1tM9TiP9iES1LrnMFF8
szH2Y2yM/qiSbbsk5crCJLZuFLTxtR4uGaRZS2sfyqbcqqnzCaBWtLcl6P2NNbWKxcBvKn8JxNU7
Rsa0BHWHFI+Scoj0JZCuAi/g3Do0faneFbCjbSrha7kNT7sKo8ahOiZdYuzNZngEBfBl0jI8DVPd
a8RSeAleTvu6nr8zcwA3dDUCjOscNI+IaZlZlJdqjO/7WfnLog92hNEmXiL2oNcpyw+UPv6ys2Y3
RO6XuTCWo1k34dOc0knV2+ZecaJ7Hao5YXDHvy538NdvRk06/lIgPJYoYTcjxmUd43OdzO8EB/Dz
AP5kUO0DBM/nUBRP1qLTLwsRtehIrX7QdgvCMdybo3hVssnZQqmoPd0JP68pq8c529Ck73sqNQ3d
waSFiyDx6PZgo926sf2MJ8pyLMgLk0r5iO/iJ9Qj91PeHCu4wda4AA8med2IOEY5nA9Re8im+R4r
Qhtoq7Ui5vA/kEaqAJJIDBxJNmWLlpD94WOuRhpKI+e2d4uncs5eSyvmjVfDXdMm+7imVZjbtF40
xe+MgZFZ6NH0bg3gB1OKFyjOmjsDBD07Aei+tJ2eBTkRF1oos/iUosaPA/nMiwFUqfEapU4/QAYE
351oOteJ6uxRq9e2A4+wBDCH2kgisvWUHHfYtDTnF3RIcbrN57qJqTn3FOyFXdpMi+RQ4jwzSvrC
AzpaIdqhQsQobxeuTpuKpvv8poo+zdDxlI2s178IO9Fe2Tcp7FcUwr/akHA/pBblzkpJrR8E7Pw9
l2YTFKPwGUKcU+ywtKN1VOUieiolPZmdbtbGHYF9d4exsbybcU0qvLi1qpr9Q1W6I6C85sUZa6vf
FEMpf3bjdcDsRXKBgksnC0U/ZdFJOOe2wJ1mZJEh8xsyP4sql2Fpj23RGqDmymKX4XkbhLT14dao
5b/0U/87g/Z/EZjzoNB3/Hdw6d1r3mf972Nn//9f+tfUmWFi6LXGzoyOrSXpf9NKrX/wxhgEoTXD
iMnqWvfvkTOdf4KkA3SWC/XCJXH5z8iZ+Mc6906dl7oGbSM++78zcrZKVU5iEqAaCLRJS2HercL6
08RBN6jNQMkG95O32pYYUKM/n3SbRhv1TRlZYvvbs3n855/8++TXRU7EvVB+x+0AeBaXPAt7I1Cb
cS2dIaCcK/fo8pa7hSN958598fD+pS5vDbYMZRsUCLQZaDWc3trY5yIflWwMNG3q6W4lTGskbudn
RrNsVfgeV25NrGHj6bNkOJDRYYZEGAXEVe30ghMw1oZymh500QoEh/c63OEFqNuHWO/zeGsXpsW5
MMay95TMVXdhK1f7WSfrObHy0rZ91y6z1i9r5EQe9QIz38V9k1hEJ4qy+LgDW6bvpJnpw6zHKTY0
+p0o55jarjslr5bWGS911E6voKrCFtHIW0k+kzSBXWlqD+448QeYvbr8yoniNE8wRfYcC5oV/GFu
XB+qYp4Tb7ZtGgIdE+uEamY2veRFN9qf2VlxQkOe0QT0hTAKnuDFA7xrlBWHCnlyOLh4CU8+6GoB
Cz1BGggELM55Fi6qrEgZikfNjK0fpCnuDc7ioU+9pLzp00rRfKoXuA4nmWjIO3WInLVrMS3TSmkH
ZTWWy6FfFzNgArX4MYcVYFKi2KolmixWfFIkYPJU3Wx+mMe4ALSXzxKdMBJA1nM4ItyRQ3irN0at
bGOlwGO2rAtJX6MBN4qEAtp+ObrlzjHa6JAig6iupADrijtbIOukGek5Ek/rcuaC04NQRxoBI1/T
Np2mlhkz2/qWzXq000yaKLPbax/bLDE+IqC0ryzQywSEpYm+la0FfBmzOGfSqzB3WiNbHCMomdR5
1Y1sqjdG7UaHpEbvHPEu8TUujP7RkJURtIYub+Iaus92Aoy9i0OORFoGzPD5upXNV+Hdlx8ss6B8
qmId7eGDXY+430o0jQXnPp1jM2CUyPT6JsuRmLMuXEFKTgEXfVvfyzvkEtPBsirtsyJneC7UWDZO
E21kZt22Y/40dDitKboSXnl8F+kbcDud9hqze2SpYKZPf57pGsUkOOqDirzZp58+HMEbzld6lJcl
ivUyTEDgfUaJAmrC6WWY0ppyvM7NII4w7PGmqRhDv45jSAGmNM0NIZJDTVfacl/YtINQp4bGeIBU
OXzXw837e+gffw0HA4fU2kVh3Zz+GjDKqTuP/BrIS/1XRa2pNi82Exq+nncTOYNRLf7U42PumUpu
ejkZNaQQprSWTdktLOkrP2h9yqff0DplhjptpX/znM4WCUgSk4lC0wxGLLlGT5Eu83Q4Qn6VVYqI
kTmHLPLRskePWuR2gZyN/Kspo0ZeeTLrjZ/9Dvo1cAeppvJFn68GV/R4PaBVCbBOFsc2AuVLSys9
pkwOX7nURWhngMUD26mDFKIsfv5dGNaUyMa2+C6SwYUUFT40ef1pXPTWMxHktErW/z/OzmPJUaXb
wk9EBN5MJSSVClVV++ruCdHmnMRD4uHp70dP7hFSFNH/uE0KSLNz7WX2wHobE/F2uoPCL31llOE6
j7qs1v+sxoWENSQGXJvJVjMipWka9l3cbHSvb18jj2aQXYgKFzboDeYPxWycwE0eBwd8YKwMcWpN
Ye2q0Z02XuMtG3QxhUda4sGzgdqx9pxtTD2XHv6yj1WrgT9JZVafh7Yc3L1R9DVGsLmWvK8rJ/+X
6NASXBJGOwRs4uOPRKZUNX3nFPXlpDlfMsfRfpKCLb7GUubvhzGFIze4WfKBQKX+EOmxGQyKeenV
DOvlJJbaR6eZcBJR5OwEKjHZUA9xWfxlZpWZPxhFYzbnUtrqSw8RFScP6bRgY4UaO75I9PhD3FXj
+3KIs5jklkYn7kIt2/dcrcDvSWVtUb+Uk8O2KAU4rqzys5s3Tu43QoM6L3t82r0Qme5BT2DGby3K
252beQKgRRSYhixtHcA8Jl4EYld4j3ikQK6zW9pWu6w1q68UsfnXVB0w41TS2MLOnoRki7i+5mdn
Jbjiz7ob+aqeVhDSZsMWSJUUDXZsX/Y/m64Qn9/eP+78Utrn6CyInYYtelMUekPryKEI4XvhlhqX
lvUiUhxLhdbOfj3KbOPI12+LQmjOFviuSv4mfgOr/Uoj0kXoJB09wsojwG9qnY7pEtsXD7fGr9RP
YIBhXLv6ybSyU2mkrbHTW09/7nQ1+ZZrvYchQj/+E5aj/JjqJdwFLOmHn4MetTSrM8wB4poMW7Ny
VBQUXd2f9RrcYGPx3HaQuCXgRIVOfwlewMj8ejsoc7xXZ8q0x0L02qe0zxwfiB8SmKVFD5NS4ocN
ZxU2OYE1aWpW+xob8mMlVPs78uRuA8i/2ZxMdv+FGGbSYGEprzandipjjkE9DgrdTPfa2HQnRerx
1se7fWocAeje0K3j8dDjrr4ezuYJVhCJDAgsEEfFRJG7j1ysvyjAe805VIOROztedwL9ErO1Z/KT
iBbWsz76KEHG/+H/l78L3P0DJDHhz6ow8+JYwld7bhvhYV6p20p0MjrCBoAqB2XazTgdUk2bc1QC
stXGQ5VloTzAkyI1qoq5jO50OdT6EWugUJBvzKTd5RQNS4RSmE4+be55POC7Xf8jw1D5DG+mczCO
1Hp0sHRW4o8ZJk5flVBltdlwiQHypFpKgo0jvLhBqLTnyht76mU5mQe4w+HBDVPvSxv3mGY7pAB0
2G3W6mPb9fx4pAZ4dVDNsKWqTewPSr+scw9c9+tgVuPnpDbqZN+6rqBzhHqm3U0ZyVG7tg670ZeW
Bl92QlfV78WkmOZO77uzMqp0us26LyGiJ/MLnv4Jxtu1HTlPiVmn35sSnsve7onq2tdzDs22rqI6
yFmLLxBDTWWvCrcQhx6+8z+zpZcDO6Te4eUUqRU9XqD4L6QtQTvJownCUO/C4N73WV/3xwoE7X2v
SHw9LTuuPiSVnX7S8tCO9hN5WJ/EZLs/gEV5kqHs2OC7LGbXJ18aPwdwHm5bXKJfo06bKJ2R4/gp
Rd+Tg9lBtxvnsjkUcxR/U8tChg9eamPd1GGy0SG1Mo30c5O4/ZdBC1PkX103lr6SN4iLS1ct9rqG
eSsRILOyD8sIALJBEfY01IYiDyXGUsqTIyTCoyY0ymzn0s9OHycHQIu7Wq6BKit6K6mtVXGRw+RC
25oKhhetJ74Ppo4KnPp+CY3HesDYp93gtjsU6DH2rKFT/xZ1h04iN4yq3HWjasy7ONfH7pTLRE0X
2wp84AolR9AwULuGrpc/TjkH55e4corw7NVtGR+5JqcuBX1Z9/jI6Q19p0nNx6MBeNzB7ezLFJRK
J33LmrLps9GUHpniMVpgn5IOCp5uh85PIRWhkqSrtu/KMsvaQ6xNxrhPMVF5MYTnfEJ7BUiJuLdP
d2nnysR3opKzNXNl/0nXCX16LGY1ej82+I/tyPXz4pOh1M0FiLSo9mZZV3StZFaT7uo14fJXICcc
ihEVFz7bsYH4OgZeV4wxKrlJx864PD0cvFRR49+ZVZvHMdfKzwbwYnGxe9fqH+xqIklsBIo5IddG
BMM9/atl1yUrPPaI5cjMqY4f0NyKM+5rBT2TyDKewb2nai/F7GIQYoU/pCfiD8PoON9w6g3PcW02
r28flDdFJxDiYlCCsZHmLDr66/0+ig2JsMyugmnii4cArY+t2vaHtO6sEwyWbGd0SnpwvcHeOGpu
9nYAMbqiULaWSg1TvOuRMyLSJgboA6GqXxOjVY5ikuPhbx/vj8qYGgD+Gbqp1QFiF6M+tMY4wIhu
tD2kCPcD4dbTqRDTN0eLMrFjwiKRjOcvbw98K9nChp8+PYfJYmMBkHf9eIUw9XBUhjGYTCV9nYYa
n/YIf8PdNLXMozqhEFFBg/ajjnsGtfev2XLjoA1j7cHQJNGDhZWeOwQMp3J2lIB+mnG2y0SeUthu
O21UHF+LNLHxwm6/yoIPghSS+sKtZ30JGZ0BDwDV42dLkQbGtFjSa+qWP86tPxJZZNzvuHXA3IPM
sPoumUzpmrvRHJi1Q2nTCHkAru+eE1JmjvVsVg8ObfqnZhTRoSdegE1Da86z4lQnJe60g4TTsLeM
ejpL4VYbM3MZ/OrOB6pHEaRxKYczh1359acjCzsN57LTA6Cb/JK7UQ8PNpLv0rIlSocL/QZP5vb2
TQgI+jWs5Agqw0ljtQjjRp/ySS+KoLeAXrCYVg4VtNKdHk2EVBdKdG4U96syV9FTkoXWIYks/WTU
VnV8e9LeAFcWPesFrcW9COXeWqag2XXtqUMnA0shUi/PiBmsJ+sjcAl7dFqgFkY11sjiPc/x6+2h
V/7CwObL2Mt2gEOmCoVvmZj/uYdadQIDf1JlANoLO6IN9WMPUvEYlRYZiK5T+4h7OnpFbXc0stLx
TcXwfMo24xhao4JSNss3XsdtWYgRHMA7EkZuyNzLl6L/P7/JGLgCoVJuAnpo6lPo2qWvzWUdxIU7
vweLUj/iS/yq0QH6VBK3eEx5fQ9tJI3Xxibt4+03dLtTQ5lDM+9w84JrtGaSxNwUSxLO2wDdkfOK
S1ILMVtMrkeHEga/2nfEUHnkSbmnrJD5VmjM7Q2HhhO4q2VgNIFgYQ0RVSnGz6asukBqfXXUkmHe
EwyPMtCxkGbMiUWOipKYTwoSogfFdatLw6nxMplV/OylaXIEJvaokAabW1gPbx1ho51i1+uGHxBC
R34oQRw9bk47ErXqw1AIb6PQd24WNi4jOBJhGQ3EAj/p+ntOrlPk8DmKwEz68tR35Eekg2fsZ1dM
T2iZ8cSDPLDx3ZZz7Ho3YZODAo6KmEwJToTrQbmpezQr0xK0LIkebJt7Q17k2YMy69pGK+TO89FC
5jhHs0zzSF3+/D/zNdYVY+D7lUGpysavJf2XzijMXWFJ1YcWBAujbJyNE+PuoA7NFxVq82Isfz2o
qkuIp1wsAnSbtV/QX73QT+qDfrajA2VQeMjrRtvAk/4EMa/eKnwMD5gb5tAyK69HTSN08J0eVwE+
YEFZqBeqLIzdzB4TFEO2Pq5b1OBW1uPNKtJznTgty1NDqpEP6hEfRPWVGwPFqJ3NB42406/5IBD1
SzM5Ikmc/EixU/S1WBcQs5KcBlprLyWWq4pa+sagvXZTiE4hjJKN6fJHx3H9ZBhEYOWCRA4MGonh
9ZMplkhsqedGMOeZHchkVk9ZZYd+XXG38dIyDJoiM85pKKrj1KvWsWsTFFxY2vv08ZWHsYympw64
/PcUh21Affrt7Y3odkLjHUnFqOMkgpnOunCz6sGB5NGagVM3OgSGtjwKa4yeSa5RNnbgm5OYabU0
9lRSCpDAr+/legxVu+8tK0jn/Hs5zK+kQbu7qKwdqChy4wi6ea5lMNzzsIzFJJu4kOsXn0AWx8uX
dy40Jq1Gn+KMtqh6MOYkenr7Fd5Wh3/GAnJApwS8sfantXqv7SZCfwP2UUgfVmgiUbYzv45D40Gn
9sd3I22PkSOGz47UJ6TCYJQjHYDjaOnjUc3wpDHtMrskDpmIqOudx0b3opdiiKF1q7F4sMd8K7vl
pjjkV6MeQ1qITzftm9X+Ugkz4i6fOYFpmNNDFlnWA36P+entl3OzocDWA203lq0MTEZfLYA66tpx
JAVtqT6JVKRFVXjVz1FXz1brvcs97/Xt8W6PeQZkMJcOvLlcSVY7GOJQaKJycIJY65+7pPaTanpU
WNmyv3hqd4zN5pDiuXcsZ+/ZKXBNlcgTt9a9zvS6WvfLr+BY4g7GFLTt1eEUeUOGHk93gtDNrHOZ
qPWxCkcrgO8D0sTG/kDnNQ9yV1S7Inf6c6nno0+bnSRQp+8+vP1S7iyGhWdCxQHfBOx+vRhSPPHa
sHSWxVAjbcYCCv/uYm8BOm5873tDLV0exEJs5Op6w9PLOkK8D16ewFJ8dJHDcymbxkMBR81/+6nu
7CcsWdBZChk6BH9Olf8ckER7OjqblhNkZRftwdHcd2oUAvd46fyhdqT1P4zHxkU5vEgCUABfbylE
di8WgrFLxHCUviudIXoevBofy7qMfNcOtyIabm8S6H5ZNPQtl/ODC9z1gFlITig92+TSOGP4WOtN
86OCE/++tXBQIILWOBdkkx9CvFm5VroWboql/uyk6bAxnW+3Cs5lrOQIGqC5ifz0+ofkWiFJ5TCT
C5Yu6n5pF5KaQ8/i7e95O3UYheYVg3C3v7mtAs3BxhFWcmlxFDtgyDvvu97UThSq9cZQt5I8UBLK
RkNfqDqYPq5WhAFZXIfXmV5kYc0PRkcdkHhGdTRKewDqrMPIr+pyOOAqUp3K1PgoZEKGI0ahF5RR
uZ+GefE1cfXkyYHauO9DbC8cjOJxau3UUzy3nd+qWvmdm9AWCnK7o7KvoavWWc8L6rK8xv9M+y7H
n0lR6vRSoHuxocUa1V5t6uhgRMl8EE2GZ1BOBtjh77/OwlHjrdFZ5sJ/PWyY6oraIz26gPx6O6nb
cIV72e4qGW9J3+9NhP8OtZpuyIGjNJVDegk7ZIZhgU1cU3jTIQnb6OHtp7rdQ5aX+f9PtXqZpSLL
Oo7m9KKi1Lu4KJdeDNk173LQOUzz1WnjLd5bSfTCPWyWIFNhF379Fgun4n82GG8UHbS+hJzbRmmF
/z88lckRhDUDi0nVr0fhvuZhiKamF7B/ZTHTOI2tc9Fi+6mrCaB+e7C7X4vbLGZ0VPCwQNaDqVZC
MEJ6GWIHMmjeT4cw7OJHF3uyjbd392tB4oASTE/LdFZzsBxxXGC7TEF75+csS3wDVWgXaRZ05HBL
8Xp3j2DH4RCHtIfubPUWu564mqJM0wvuPBbm5o2DYmO6mFhV7GtuSi+D1poHORfaQ9NM4Wcnjmc/
NEf3CV1Y/mDT8Hny8kk7xcXYnMe6rPddadbPhVp8782+fegT43nurajb2N3u7RDQXZa3xHHlrPul
FRaEmpFnTOqmAWnRCMK20wFldNSYYhfpWv/Yo/75+4+zwM4Lm1VdwIVV4dXWJQzqhFU7t1lzmBp6
76hXxIGw5n5X0ZDaqDTuLCW8YinwMHoARFkHXNiRa49dxlKKsdGBVG3GDyNN142nujO7GWVh0xhU
dNhfXc9uY1L1NtG09BIR4ObHoTM/qiScHHLcXTYW0i0ow11/QQwXCA5T5vWyjUozz7CAyy6eouRf
pipWiK7LK/EzwnvuoyQL9GHqvRLxYVXWxHArE1Q/x60Gilu6iP8S+oO3nmPX8p3mZCQimUZcfkhs
+JqlYs3/YpRCNlziesrOKBXnX6syuhfKdlIi/3pLWFI0PLYedjnMTK9fGil3Wocsl5c2zOGzUTXx
3mphCA6D0v18e6g7WwKxx+riJ8eNEoz7eqhkxC0wUd30Min259SIib0jBWpOLYKg9a3JcGdhsR0s
uRGWB6dsTXyRuG6AGBYZyS2E8Fpaoj5rbqYcEkX0j2Uy/NCiqt3Yy+9N88XsdqneKQGd1S5kM7k1
2JUZ2X1h5kfhtGSQxebGKPemObeU5RUCqblrGqyMBjw2ME25xJXxPJqKchJKPe/6SWylKdx7Hgg9
fxpV6JrWF8LS8vCs6M3soswp2iHPmY5THo0bM/DetEDEiTCNPHUkq+vSuSALHFFhdik81CwD7oYP
Q48lG3YZE1KuXN94f3efClUaJJWFF75maRIKh+uUULILQc54Hvc44megVhsb+9Yoq7lAyWBEnWtn
l2kuy+PgpvXB7EDU315S90ZZQKslzxh7bHs1iiN4RCzLsksr4xCSGp1+u6QJ/vYot1/IA3zmsPjD
p6cIu1641lTPMA+wUNDQyp0gTvzbtWSzQyfNnhuuRRv7+J3hOCkIDwHo+POFroezi8LolaTOgtaD
A50pc3aoazyqUd+Ty1RCxnn78e7gEB7WZPTD8AJe9qZVG8it8D0OEb0FuDHVkF2tOX7p47oKTDGG
TxEh9RUiar/S4vwMqYS2iEE0l6LqQzAZ8E3e/jl/Pto1IIGrp0lQFk5SLIq1bURoYx0lQ35OZxMQ
c5SNMDCo0HBOYUnYyBbNEtcUkbX5j1ZB4HAaG0/P9u4w4kOgVV7+uy46D05dFybnLo+x9gvL1BUY
1sSe48deOflt1epwHgjkOCKJY+5gcWgiJR2kfKg1e/xlkPD3TjXqyEO+ZCQVkwvV4hmv4PnVjfvi
S1EpQOkzXgg9No31LoO39JhygNhHgj5nPP6StHT20ShzbVe5uCPsZGfUz7qeiefSCGfL9+JEH/1K
OPo/kzHQS4JfD2u86eEHHMsxHLGAHAv53a4H2PhWVdtoJmQFRyjTOUCPCpwOdABQaZRTZheC9IWi
9/7h1iMTaO2q8VOmqlSPujLR3S/CEjZK1o9NvzFhb1YhXlK4NS4tVewVgOquJ2yfewVBh0US9CMm
kpOjJH7qZZvdymUjvJoXDpmmDsJqWgxchdb5GLhCz6lhJmNQexWWorXWBKpVUO7WYY4hLQwnI7Or
k15YfZBmeXRqpjl+3picN78BfifVPOc4t1r2g+tHjZqyYNOhW4gXmn5WqCcW7hKtYzHYj5bV/nUT
Z2EjLzTkxa6clNrV1tN5tqINmlcHrR5W/uTyHZM81E+WGm0BgbdfkeJ0aYzj1sL2sw7JKUujyefZ
rgMcOn60Vmr6ECY3XXNuTm8eiAIBSMQh8gJW7vULTPOowhNsroPGDd3LnMmw21cz2w/na4jJiA63
D0kskPjH1opsFvRs4TzralX6IzTx2fQHitzfYOMQQYWujj9qZSo+vf2Vb5vC/ErL1DAQ41CBy7k6
kystaaRjT02Qy7J8zod+OAAU+k3xQxscFHkNUQha1kUoDDtHnArs4f9JYC8eUyoyv5Riq+C+ORMo
Q6Bna/Q/sWW6aXZN3NJNLLObIIy61z41u5ewa75Y0jUe1STKNk6E5f5zvdK4HwPoQUdQNdiPq1k+
zE1oKnHcBkpZ2w+FkcyPc0uozL5KSnKF4jLHCLyiKor2pje2p7x2560Mr1tI0TFZYSZ+IksCBtj0
9Uxpu9pSFSjwgZlZTu+HhTn8HtAyvQ6YLGS+Q6LkRzQZWnvErXx6x7UtfvGcls5EnFtf3p4Qtxfs
5ccsgB/uKng+r2FFhElV0ibhGDQzTEH24lSv98lUpChzWTZfl9YQFsewfYydJXtZ7XBonj47pEj6
KDXbeSfwhzfeNZXafqpUQ2pEHuDthv1JVvxQU9WaAUcbW91X5GJ9wTMg3uO4hWnj2w9y08xf/CBw
48AcBLIwOqHrl1oY9qQNo90HkYksnGzgf6O4dR6UvtP9qMbE1lRncbExKttonN5OKei0HBLYQEHk
ppF3PfASH1yJMB0CRyfZxsCFdWqNs5bCsUsi9C5VVqqHUmpzMLobz3zr1AVrgeIa+aEKuchb92wB
hBX8RzgV2qEDCrbKMjxGE7yBMazVV92No7PdD9oJd4o43zlJr3zGrcd4GLF/1Xx3bOPHjKZyeC4x
A73Ug8oOhZdDlp4BroaNvef2C0FPIqWSxcfPZrJdv6iuw88qK6cpwFSfwGuzS+1mP+RLSImuDK7w
4Q0V1c4xXRe3SMgZ/Ub9dbtDY2q9mGfTEXGWmXL9AzxCyQepNXMg0r70RUf/z1NDUomtamNV3RuJ
Y4BdlovcIji9HknMIx6oraYGRWzZD9NcNQcWhjhp1Wie3573d3YTHAzBz5n9bCfW2gEW1wqTdCCp
BU5mhb6iyXbvQNI99kjznsy4tU5wSJKTkw6XtFX7J0Pri+dB0aKNyXi7Dvgd+BItYgYasDd0IzIU
cJP11MAbCKCTdSSCXrS935R9R3EPbbmWBEJx9wX+Knt1YxnefQ84IgF6LRs7fLvrd+4kgpuFtPQg
jSL5EVK+xGEBpU8xK5ZKBq2s2qMEHyO3VFRqxfenfvZtLR++iaHUtqD6m9kOFMvdlyodBhqOpOv6
xiQwsSebDcNzLTzErSF3NKZ/e1XqfXKMyfOtMjTfiwJSxd9OCAhNpP4CPZOEjUvLavLNnTVW0MHH
wC408wEnMnFEVaLuLRJffKWfnKMbiualrZzKp4jGm6+d3M+DozYbC/6m7mI3pEcBQ3uJfoP8eP1F
UMUSPmh2ZqCAVR4QrbxmRR5vLOrbigYxCjxbpNHgM7QhVxWNsKdExdfAZf7DhzoYGfjqfjbnxsT1
IXPfG/FUfK+iMPzimj0OpH1OHw8mfHPUJku+17oJWyulqNSthKRlwl3VGssP85ZXAJGHw3X1HUq3
NBTAUTcYTRc4XqjZpffq5glDD7RhXtT5f/3hKZbgjyxCVRWrnNX+Ngw4nsPldAOsn3/DOH1xBw+/
umpmxQ10Jf2aqJiLqsbuRUpukOgVwne65sj3b/+Q2++OQyVyO+5OC1i7zgRXZSvVCJemoMeBGNW1
Lf2xIAHo7VFuPzxZgoxBqb10V6w14xWrO0uI3NCDqp3sg1VFxclCz/Ue0VyxzwrhBFLRKn80B4xU
LU02RCBm6rseKdgu7Tvnc2Wbzl9/AwwhudRAS0O4xLxcfXS0A30Y5qUVTCmYRjno+o/MsMApeQ0n
V8VYKo+T7gJnrd4JgHJkONquRaj47u23c8uHWdolXFmhHi/13RqZn6yyj/rYNYIsFfbvqBjLQ+VJ
fI4sWZzLXveIPTAJ2DAIqlHjCSTL7iWFga0dXDP+N9IIzvFC/FM8p0weowRFRldgMOW0ReTPne0d
HDGpGzPnthrFmcFSXRRf1FJ4ha4WszIs4FHeWYEqKsJYDGxaMeJNiex+CYvO+c77bX9MuNZ8YENP
+j2hBGQJLrclxA1K3id7zBjpUua2EL/GetT/Gacm+93q9RyfvdjpPiDPnMcdHEWBp0ij1oCFmvH6
9su/NzUxDVxEz8tdEGnf9c7n1iKtgaWswB3t4YBNcvSEI/b8kCtF67u9jaeSi40C/i0ZNmYThjPY
5B+xe8apJp/6bxXC1Ld/0r35AOF2UUhTf9HjX51HI3CiIA3RDvA8dk7laIh3+iSQYeqhiq1ZhKJ/
x1fxdpVOy6yyi/nACeb6RaIrX9O6z58kNpmf0joms0OWxiXOZPy982T4NM5EAKmK871OrHijqrip
pDg5qSqw6ANDRhu6Xk9JmkKgrzAtr5X01GKhv2taXICgGG2hhTeNBSxPoQkhjeO4hgOxuht2VuzW
WpiQq4Halp5PoZ+TurH3oh5y7Nw81Z+9dlO7v8zoq1OCUWkrYGdCQjXgxGrT9vKuaQtHegEfP0MJ
HWk7zUxyv+sc9xQVrXuU7tD4chblu8nr9aOdbjHF9ZvSbXFYWSpVDBYgfaz5Ql3bxtWEiURgqGO2
N0A+X1o1nt8lZE9id7pgtVqPZiyMhkMXDnjaQ6A7TTXT1U5y5aBYSbRT+xEH5HBydnbhli+NXWNv
NDgKFm2O+ojnakZPwzDOik0XMkIDcLCBCndN4gB0YeS7j9no90TvERXKkD/fnv+35eHyjPCG/hzF
ENNWXxcDmaYgn9sLsHSvXlvyPh6MuM73eT5AxBpF84x79c/RxLXR6XXjgKope6zIKtqo128Oxz+/
AzofrgBw09bMkVwOidB60wvCNNQPSP2MA87cxv8yCicvABvz5oaWpc0OL7LBcCsHAd8NSmjiHG5v
VRw3FQ7PwqQxkHUs4tY1UXlU+zZVQKqDUce9l4um67eKaft6oyu0K0Dc3/6I98aD2onPHQw6jee6
3ladavTgQEP+avJE+xmFqrG3Qo0dlZj5Z13gq/f2eLeiGh4QowK2cehJcEtXxxGyNwAOj8Wpx6mY
jpkovD1+cclnZBtJhTVw2L7UmJG9NmSzejvXqNXCV8cYOVI2IXfdj8Uw1aD7JtokE60BYQSItH+8
/TPvTSnQTZbuUnFy6Fy/lqkqoU51wgtwrY/3TT6MB3Xuxo0T5M+NZbVTmWxW5HcxCAm7K4QF3zDC
HRXTDZDrhvGuKxLzO6rSBvpROsOf6DIV7/tYmNpPkrwspLhF3cw+DoLikYMd3rdepfgFv/3wt94s
bNbccal5wc7RIazOWm47JX10JmGFxuL7wm5G5tONxQtmPfjMR+bgXYymIyU+S/R59rvKtPE8mUcF
3wADz/0cTz8dJRn2g0IY2sZru/NxLH4gDF9gD4vb7fXH0ZSSBmzXeIE3xcWBPMjqILxiK4/izspg
66bgBARC0GKtdjcldIZKx1IPMiuGp0lIGkOoxTvNKL9pyI63Su87hxbDcWAhI+HoWuc+QoPHDQEn
lsBtMECaksw+Q2EQD1Gaf8ck/6lqmwlr0yHe9wacHJPLxttf/d7zAumDsCw+wd6a71SliDt1KwmD
vqAxk0audUmGGGWB0qMlxel1ayf4s9RXs//PPQNaM4gt8T/X31GMKorKIo4uzejODaob18QzrwhD
WllpYbyPaoTmO0GsU7+z8bL6l+CVSj/zWaJXMmzdeKc0WvY6qU4Xobh2rIPplb8iw24Et/AQmkRe
qwNOlwDz+q7A/rdiypQmNBHRKcfIcnhQhdDZx05L6nRHTuBYYW9pdSfPS7WTg1/ypxnDtXQX1Y2o
92hXzF9eM0a4ii4qsZ0cxEhw6+iVF9nkOmaVzvgDbSJGnRPxj2cuWnTX8NnrEr8ws8L15VQ7P+Ws
up8j7vH5jhzJ6mNKxtbisOqBlOtwffdgwvWwXyyoJf9aihFHVduK9pnoiiU2Pes/ulE38/fqFtsQ
RZgY284YdbrdJPCOcGTkG4kjuKphOJbt56GtVV8jZ2jaT3Bkvla0VsiuwOz7fQ3CStCc15FmG/WT
9aEu5sHey0gk56EZi18CxVSxc6Pi65CXD16iDxgOauU3TzbjObRS990S0vDdyQW8MEWzwLdnvAAs
Jf5ld9b0ryNT8Y8KBxxTx4jveEhDyL5DZRSvkYpOUXq26HaAcRx4WjqPE3Y6Thfvib5MMWbNDO3T
2zP9zl2CTvESpqPRlwNKXy1tinnIQxVLOyQ+ChuAJtmRhIyBZuFaSFrxTzAQFPO+tEBTCSLqSEc+
pK4xv5vCQnnOy1bZWgx39jTYFfwUGOYWZ85qLaSDNN0hIsQltPL0yLwtSSHUBoQzQzO/N3LT/lLY
juJ7oTp86zpcpbB3y35llaDdrAvBhtS0rveQkq+2BQPe2RlA3RDUQQSh0b6mNEhZDZFW9+KCCk5+
yMkOi301UeeXjMa/wLDBY4FGGsXDjvCZJvST3rbFnnxBDWfXxDKIHGjCEvdMQl0PDaeF2OMTa3t7
RSM2bON0uHO9ASdBEYAJFgiRvTodbOT2PbLHMLC7LvmCmt88ON5Q+mpuiePbE+nOR4PRrTEQsDTc
wNVFY0xtuzbZsIJhMsUhjkb6MGazlRyh3Tka4HIvDRGqW0C/1RN5nqT31WhhUBIf+V6d9eJceB65
a6I8LnvLUR9KrOnUrvikmR2KDGw8Nl7qcuJfb9VcGXlMXK7QflAVXG/VS7IQBiu5uMy5Yh+cXMek
Indtvx9ZGch8ojN5hDJwE8THGfETD3/7orHJwfcL1gBFKs4+18NTWXhZ2bvionG/x/K3FpTGcoss
tiz71UNqdH0WgHWRVa/BPiyB7LqPbHFhVmvnBtXTCda54+NpNGC4kE/nWmmbv5VDsqKwsEGsxCOS
Hbuqtfo5EQ3Ue/j36bwv7faXNSnNHtv7sw2C6rvKhqrrdjEzHk0b/NOoNLhpXL/K2M1YqGEaXSj/
lFNbWO2jyOLliqqbX4AetiS598ZjcXDHWJDLG480kZLVIWspLlbrNDtlHr8mUvsd2iqpbs3Yb5RR
t5ntywZlo/lD/AViui6jRgdhYlWHhGEhvw5QiMtvmLERjxxz6zraOD6pu67rSYxX7WqJNcV6Vz2K
1o1PU8tm9NiEWC1GQ0hWZhEbzSuGN/luIDwBLW44eiqxT/q4UMgsrvB13B8IQMLCs2vqdzVRbOeu
cscf7MrjBwzxys8hnXjNbwc8X/y+bEmrqwl66c4Z2UxI4gaiWTuC7bbKydtNELSPNibHHHjuTefG
ztME50hpB44RDoEV97+TznIeYz378fbK/IM8rxbN4kKILQmTCvHQamlOHmc1wU92UKZwipzJUL5H
ruHuKmyQoixTzqL2QC0UvcFEsCk/tGYjjl6+3GKmRJzR7GaHvk5RbENT2UtW4AmNbkzqo7YF4N7Z
SOlpEFi1wOjIfW64R7WKURJ+gYEr1MsAJrHPWxcUjoixS6413T5uAQqTrHqcs5lYYi3ZChy+PTF0
/GZhzFg0bPlE68rDzFN7HCo3yActPiatraID8byNVXDvQQk0Y9VBTIFmtYb4Zhq9vURFim1J417i
8CMByzTRByyIwP2fCBIjNFV23QtoaX2eRmPeqGfuPSezAQES12cyLpY//4+YR2Ibybu2HaDRqTiI
omgeK8PdOhnvjgL4ysm7BG67q4NRJhDeijFyg6pLYAZNAzFKlRlunH13djBgMgAf+gYIuc3VDt0Y
sB2prZygjIfveOa9J3qPewpLHld9bJfeXlD3non1xJbJTgYwsCoEo6RKrFn0boBNr/vQlYlxqAhN
P7w9ylKZrFYt6k2a2wvHgiRO/fr7VL2e49Ag3SDEQWSgyA28Ufs0WRw4IDALE9sih94a3r097J3K
G0hlEY4uD8gevRrXQ79ul4ruBrAr7NdJmYsvhgrz3MfDsj0XltMJ36jT4SvtFJzHuGMl5bEULUx7
VVPGI1FZmL47sDy/v/3L7r52alyUZ2AxQDHXL2QgLrjNutkNIkXRgBPEtEe57G7UMXe2ZQB33vqi
JuGev55KdeR0ZWy7gdkn/U5Bk0fwcdHtnHnYus7fqdhA2OCl0ZlYGsarFZiExlhxxfICDGKf+DvO
O5IM2qBEn7sLO/l/7J1Jc9tIm+e/Skfd4ca+TPTbBwAkRYmSZUvl7YKQN+w7Egng088Prqppk2KL
oz7NYSLqUmFJiSXx5LP8l/pAlNV9xG3njYPow4X9dTYC0SylajNXEsMphEfos7SKoqGdASvsRmhd
tGuNOA1AXLdX9aL1KDW733twWYfcRl4Zw51h9/IrPffdoodKM+XXvPgUfpn2Wq3hGOLe2G5W4pAq
lFuJhfNmVJlTTqJ9//Jy53aQC5KTySBHDK3/kx0ENyxKIj7cZZRy1XB0gn5p3PD1q6w+pWzUtTF1
Sg5u0ziRVsc+RWdQXitYiW9gJl/Kt8++PszIEL1aGxnPdk+MckvcIDF804x8DkMcS4TAYTOoWDT4
gKZus9a1g8lRqyuMusvrJJ2y/8Hr4xNZtQc8WtOnxVWjtx6dD0JFRiZ7ZQz6t1EVy+2sIupgJ6ax
ffnB/kq0T0IiDU8AtL/m/SZS9kdHVuIqVhMtKtOM1q1/1nWTfOayinvhDQYuLQsN5wBnPlFiPV7j
fu4qBnLfetsuuFrj0HCvq43xYdZG4YVLEk9ofOR58ehZWfEhNq35UwMJ5hPA6vnetIf4sycc6wtE
fuMdUlkfGQrgehxlychUQTa7SNEdIJTQOkaoUHb5VvUq+q1NNeVlIPJicTZ8RNon3OM7yezd1N9O
ak2LzHRrumVpSfdYy0vzUph8XotCLaZgwawO/wAEmI6fkhPDFBPRWotaosMXvJ/VDzJTrI3ujQGy
6HoXLr8g8JbWtw9FManC5x4BuqP4V9S7Upa4Qjkovuco3VZZvu1UdyBtNhs53tr6IN+pnap+MEXt
GmGDdUwxOoFtjKnjw5/WawQRR6QmzWTCKTWWiF1euV0HMMDABuh9XeT9W3qjyycVjs+V1pcN4lR0
tJptDu4W6xxhq9t5WPQP41iAvseXtgatAwHeNwul+PnypjrTSQc5SRSk5GIQx6D9+HHpiVPlWUzA
TwdXvzf0UbsVeqz5DiSXra3VHLUI8O1jVIcCzcLIuUmlu0fGIQ4FRQgGXLFzbyHz8Oowgm4q1SZo
ZUIJr/P4ulTFdJaG2c+NW6eLj60VLdfKu5Q5PQdTrto3zGFBryEVTV19vEyeW/goTnBonaFUD60x
5ldJZYFyHXI7LIfFCG1Pau8mZy6u437G6g9jlutYjbE8spUGv0sUcbIqbe7xTtW+9JoVXynDkF3o
cD0/lsmEVMADqBFBbDkVJHCcsluqKYZV1dN3xGM+3WUYCfhTU10iIT3vMXDUElDBVsFQgEhz/ERU
pYpLetLlITMN3KGUucfbOhJ7F/gALeJB28pO5hfSjudHEwBtmAjME3npZHzHi8ZxZHr9zGuYiglB
aMYMCNTXl6Czz89b9JwYHTAapEf1DKdTa7Oaz3VSHKw8xTOnM3dzAVlmKqOt4k7OhTz53GqAI5Eu
BJMDwuDkQUpS/trT0ZYZtVwg9orIl15paK9pcGBKq9u+/CX/qsyOjwckIIEGu+xmvpnTF5dP1L9t
KsuD2xvIYWMZ5NTMRprmvtHySfEj6Kr3rVG0V1GNVeWWjx4u29RnQGOaBr8rIEwgD2xZd7d52+8L
WVvSlxlEFT8pWuUuz2w0uRer7WiLZ+ZTD9rW3Ui17ouNvXT4Bjnd3N2NBQRxH1oeRxAS4PJrrRow
sCWsLxpjkZ359ThLxqTLotAuq9/Vsa48qvOA/UThYfvh48LXf5xXL7XQlaJ/MhtmMH6mCefR0jhy
Q9g5HjIzvT3vzKXVnqzF656GCCMxphpGczsjpl9tSO7mLmxrmaubohDYaed1g+6vyUZgJBuL96Kz
NUgPctY7v5y46cBop+V7zPc2+ss4uPe24ji4fejt+ChMk6OuZqBT+426DDbTbgiUr457pDM6hRzF
D84Tpx2ASUn0xRR2eWC0mASaseByXJfLhez3zEdOHoGuO2+IJpSxHqK/Vb8aWL1GAArDSNKyHuPE
yYNSL9obkWpVAGEiPQxmeonEe+YjXyGR/LcyUUjajhfVvYmEHs+ygxqjzARtPNtYg7pc+OzOhEpS
erRQMc5ZnXFPVgHu5RUgfqvDjJrTFsXUdFMJE1F6kfwP4slK0l7JP0inQLI5viFFwXFuhNt9SFJ8
YnPRXhW6kAeTedKugQF14aWde34W0AR0UBkKges6Xi6pvFJJFKM61Fkntp3tRlsTVegLG3ANSydh
hF7Cf62ybp3ftgajFKwhyombgqOzifhIr4UEltePjrajxdFvEJNOtumCG/TLEezcm6PLTNcLmR+q
wpMjv08rcECew/7oh/f9nImNN8QJhMUxDl5e6UxoprqHT06BS0/7lHSdY/+B71hcH6ZSeAGOOQXk
fTXFAVqPQOZYl3hiZ+/st/VOjrcO5Yy2x27s0Bh2+ihT7C/cfFkOMs+H15+kdO7oqdII4jA9zedi
I1FBwOar02mGTxIy2IGtpJds2M9tRRYAerzKWDL0ONkk45jZAKbqQ1HYEVAwx9x0QxW9fkOwC7gN
3hDjslOAA30hTA0rrTqUTG39wlDkVel271s8tl+fX63cOFDbGlAjBjjH9xMl7uBavVodRrv4rmWO
fkWtJH3HyK0LH/GZrXe00rpVfvu8Eo124yBcwlNc1Hfx2CsYLTk1g3Mj3cW5cK9f3upnCmVinEqR
CpqJtvbptBFNwLqbhVIdMpG6W7bdfKBY7oLKQb6I7Fds8S2x7mtHrYPScr40Wb58e/kaztzzL2o+
YBhQjwiUHd8zI5cU6LPdHHS3GHdI5HtbRy7GdsKlfde0KGa/vN6ZEAY2CL2k9Qxli56EMJpvXua1
SXtYpRWCqZ60t4pQI78kfwHfkGuBXqbWoXDRHH955TPtQ9B9sBqZ3TNq0E9vta5bB4f6oT2YhZG8
jVBfvZnmGpFzt9SDnHn9VsfNxLctOop5M1pfSyNeDlkDMDl32nKP3XJ6Idg977OZroeu6FrgrN1U
/fjpFzWd4262K6LNdI+9wY3dqU95U99kWnad1ZDX4nl+KFX3w8vP4kyMgODM3qMbtBKETr4pt1fm
KYv6+kCrtfzYziK9R124uvA9/Zp5Hp9X5EvAA8liGJA9P+/tRRYJceLQ1qnhbkZDkAq69PZ8vVoY
8jfw66eN1s1TGWRK3aY0F1NR+FJnPzaN+jXTWudrYjD18YF8YPItLHyD/cGEyRS4A1PBcIopfQOU
3pQhlIWlp2EPw4cGh2JsOiBTn6H/5YEEmFFsESSjL5zEna1eR4mRf4vgqNzleg6YZBzK2AcilBv+
EiHr5SeWUX60Szt5541i/ICmVPtttdI1MV5Q2ptl0cpbR0ztu8hqnC1mE+JW0ga6ziGOS3axZj3l
ALPw5BHR0vldD44818r+p2pNYHJmOqzfvBavD781bFkEVPs1BKAqW/CVlj31tOTD+ALSp7R91Z3j
H844oVddO/hvhDGbsaYDgXg4aKy70Yur2h9bRX0Ug5qga28q73kaZhoYmHH/9NomGUM7yvRPhZ7g
NFVDGfim49Hymdy//AF8yv782j3GywcUiq70inA/HSMlxdINOOfVhwRfwM0wRsMGzWbtwlf9/Pg+
XuXkC1LSQYKMKerDXEA/cIQ9BFQT+RbnlvpC6Hr+0bAU8o0rxhY+l3fy0bTThNYhBJ5Dg9cybA3D
CBpkay/c0BmMK3KC1IkreBKG/KkKtTBFktpJ2aITVHwGadnemuWC2GnRug/RUKYc6WO2iydjvFq6
TgstNbOxgKrqHf6E3c5IWnuvN/aCQ6uXXZj/P49XwEJJXzgm6XWQwhzHq4mBWWR1fNBR3mpAzCaA
8JOs4SsondjjiZFd96rRfCylVeFSIvoLVl7PTw/WpykE3pVxC1H8eP3eLdJxoLtyMJPB/V4V2ldb
Zsvd0lk6iqX4SQPYSa8sxngX3spzqRDWoz2xejmQfxPTjld2vCTHn75rD6NsLXzEOSkWhJcRwQAU
ghjD5DbJvMUSpftkA/gtQlW0lb3DSS6+TjonLv1qpEXoY8Oj0ouGW4CWolI/WpGbfsRr0vpkCejm
vm5PxJ7GGYe9W7WZB2fOXqZwWrrkcwG/G7xzSyaCtLjQjZAR7rizV3v7mI04qWX1UWTudDvgSq76
aKebhwUVGTW0TXyOfNysLHebLPDw8GlpzPx60brqs9p03RWnZk7JnqatHjBjtt8DhcplYBlLc2MN
OFD6Jk7m5m6IbVw/cQjHxUZWDfYtcaM5s2+JVK/DLrJ7KN8arjCBtJg3+Aj5yWozCUbyIZi/6afe
GNNbGtmN6Y/diuMSTm5fSjOeF9H0/in7yLbRMUSB8/h1yTKPPbOIukNFB2nftcsIBjky90JpujCt
ChEU9cX2nM0fPTnufhG/V59WKvdT/fp81br2rIXdmaZ4u7eessk9CDKg32To8DwvBKQzNwmwakUk
0FNaEU7HN1ljim0Pjdke6PNPN0U/1lddb4zMsldFbUfPdiLtvPDlsH4maUWgyGIot/LCAAGtT+G3
LNmJ9cQ1y6k9rHnieztnvlHNYnyHd3Xt0y9qriYNN0sckCSKaw1u3F5mzRdS5zOxmPumEqUTvRIP
TgJR2rqD3aATAXty6QONoBA4SXQJK37+Xh1YIUCdAK+ddro9up1IFajtYWLC+94yR5diQI57+gky
5DTI4XHGy601TdMmr3J3Z87i/cvP+8wBt7acHHLzX/3Kk5BnyCXX0pRLsIpJ90eVrZt37nezlJdg
F2cIBTSe1o0LI59u7+l8vfLaKarxFzrMuKNjeAsq6+1As0j1Gap0S9CPYEw3eZOqeRjRtQ+WTG13
aVSM3xW9gIIwlXNyAeF29vaBSXLockFYLR/vNhrNWabqSntYVBltltj6iJNTfKd5i3UhFz97+4y7
Hd406TgTquOlPFj54Geb7jCCNk53TYnFBZRAM79D9q3HwVUzpF/0aY9LWSNAHfdJ9q6xATpsHC7e
3Shk+pcQcL+22GlQ4VNbvzSYxLS0jq8q1xYbgp3DVelj9WWVTOg2uWPFn/ROK27dolTvM2vMsYFP
VSA5GaeMr8S1lvuN0k7tBqcZcWtBxdyNi5CQAJTqSyHmAkYZ1jcAPyPIMQPd7/9BcEKKl8xPxWwH
++/j6+50rU7GvugOiOqY21TYbqjUWoWEcaNtkz7GkWxJu/3LH8uZmdGqaUH7FA4foyPrZLsMad3U
tTd1h2gs5C0WJebn3sjajytXI+jaiHmo7c07u12lGYaR16oiLMZuntAmtmvMxeys2TtuO4cl/UJc
LnXlgCqPcSF+naG/URXBaQTPtYpSnII5uhXUICyrO3hpkl83vVX6qqXEV2PpDH/G6LogCW8+9A2W
SFGf2f6ceGJbSXS1Xn5iZ84sBKaArqxBDhzUSVJrIywGMbZvV5V9kKNG+tVLqhwTsDxlQmBfyN/O
rUZPatXwQr+L7PZ4U1hRLMktOCFrxWjfJXkr8DnCPp3OvQyEOYmrl+/uzDGxnoygHVapUriGx+s1
WWnMuiR45rKFb4Slmj9Vo7l5eZUzWTHykBzEINZI2U9ZaWWRahJgBecwudlDj7HcBgKjdZfmy3QN
DQRC91KOgamOS9io8pKMypmk+Gj5kwixgC7zcFFuD0OtFcyAkne4yD0sMK5gON2CEf7Zeta7198y
lf06nkBQA73w4wcr0ooH6jjtwSuByNc0ba+F3lqHKOmK3RINg99T5V5N9jJuvcTSXt9+pK3PcQAS
Ew4GfOTj9TUjSitMitHI8eomiJqBGVq7zkdmyCsv3+q5x8sJvI4nib60rY6XUtJZ6aKp7A6apyxX
Q43Wn++qcj54UZ7uy2bGlzDTh02pRpeAdmcSPLJYWLK0WekTnZaCTmQ5UTYl/aGanfhK5L22jU05
bIVuioM59u2VLcuLQNdzNwwzAQQhYRTA/sl+wnwwAxxc94dO7ykG3NIY3iKY1uw97JtxErIwaJuy
6Qq5xOpKqvJrATBqB4Dh0bKLKsx6xbyOx8q6lq6dH4zEUEI6DtmDa1XzhTP7THYAQmy1v13FCUgE
j99NFkPepM/VH8bK/kiTbgrJV9wAE8hL2Nsz3zjqvagkQX1HyeP0GI7Gpeik1PoDo1PtXZc0qZ8a
avwFI7Xmukq07H4uxoIhaSKv46GOdy9vwjM7gSk8GBAkrNnzpzJxZjuS/pj1cBAJ2KA4Guft2OSN
r9aNQrvYRtBcR2/j5UXPdEzpagFpWNuTiBaf3rTuyZJoyeO1oZRhiqkV+Bx0Nm5LeBliXZQFfVcs
YZGnwzUQCM7MoZhDvYBVMpQCHaliVTH4dVH//m36X/GP+v6v1Kf/z//g/7/VDRaRcTKc/O9/vm1+
VA9D9+PHcPvU/Mf6q//nR49/8T9v029d3dc/h9OfOvol/v7f64dPw9PR/2yqIR3md+JHN7//0Yti
+LUAV7r+5P/tP/7bj19/5XFufvzrj6fvZVqFSN906bfhj7//af/9X3+Ah+JMJJL+++9r/P0Dd08l
v3t4IrOs4rO/9eOpH/71B1ihN5CkGSdw5rFlVqkr+eOvfzHeAPoD78xoCIL4SsyFZT8k//pDMd4g
MLmyso01whFv+Le+Fr/+zX7DT4PIUOFEUGlCCPjjn+s7elv/9fb+rRLlfU0A7v/1x+mJDEMUUTt2
MpNEcu1T7UcTvr1iiNjceWIB1jA46k66Rn4hZj9bBRSlA2qKm6WkIQM9jgsAOgqh1FLZAXjQt0qq
RGjNNtqFc//0o+RlUYRSliGaCRP7lA0jYzOv7MKLdqWL0paP8omeX9XCljvTjcavjtoQJfSkwTf2
t5f+90P9/SGeW5g3idoOkyPiwcnpawFvVJ1OVXatWqoQzDEJ00Y6Sn2dih2sY0S+1EK9cOSf5m7r
3a5jCqZ9a8J4SjJUSpnBQjKUXT9ryYNCuriZcYbdN8Y83lo4R154h6cRl/VW3TDqexQiV7728TuE
QzMv2MQiuo3xuz82/Y9K1z4UUGWwp38oI63ZlpncQ4q4lJuvp8bvJde6MpyqVRd4dZk5PVWido7M
GBrqVa6o+VcVzccwatDbkYNlMiOChDpV8IFUI2591IJVdIxq72ky2z9HeDlPdOzwYX/5jZ95+FzS
Kh60Au6ecf1bYUbwIWF0a7HEqs2tZuys++G6jvNpK0dvni4sePoF/XoGRKT1gwercSouYDtJonQV
C8btatPsdugSF6+22/prFagm7GR6Ob/6L7/1ktCEq8oJ88Arc07igL57F5oqJnWvfng8NGiOIK/A
tJ92rTWjIRuvkvTKLiPMATIsEG+6pIaSalvMVuLcsl7/9FY3XvAnNC0YfK1P97f7Ume8RFuzZ8Vh
KN8OgMyu81RzHl++r9Psh6dH6OGLNGHCIyZ0EgaK1JvcOWvSK6XI642aUHLMCn7Musgv+ViciTj0
IBgSI4YPsUQ/ybeVTgNzmqvpVdY27fsEad2rxlMxZ8curfDn3rJ2YJasC82fv3Azx58ik/FVLQtH
Ing6p+YCQp8MszXKiIyzqpC0Nkb9NqOOLQIVAaLvWt9X1kZaYNc2jaZWPxTg/MrN0NbZPoUZgOeu
Gw/vOy/Ni3CZW731DTOPvBAPb4hlCFCg7+15Sv0wLLbogqSn8x6K0VDn0LCx+mySdRRfuKY0bzKj
svZVh2jNNqPP+x5tTWqPFBqvvaFLZv4pmlVlo+uG+GG97GYzWKLpfVyYHZha0+h9G+taHQO9amTr
e6J1253ed5jqkB9HP2XEs/UtZLzGO70xM4JLNOhmKNpe6cMpV0jwksp0D+aiZ+9UK3EeyyHl8mL6
y0tYjYDuabfjRBTS+kbegy781Ppm3Rst3YxmaOCMObIMAQo17x1UCdLAmSsq07iKmsyPhamtjueD
6JNQHSieA91YnOSDifoAWo18X/EuQx903qFUppt0PKPS2pRmo7x1FLT10KOF8O4nMkfzQnJELb6l
SfjahLYmCyfPiw6WR5wMnHGcvpSDOQD1XMDQBfkC3mZrmAVtGnVOkj2YT5sWkS719y4qvJ88HZFz
v3es/puIFSH83DSVzDdEim+5xdwVBHZb9iSk3VAGk5t1jw3gxi8QNVEvlYunPdrOnE9+5OnKfd5l
9ZNQYqX2QcrMj8KO8/tIGbEUhW353RkXxrJNhOSyH1lSG4FS22a1sczUuWszkoEgSfC1KvukAKk/
VYAxE3QM8DeYNPUtVMVkwf7dKhq0dxExYAQfAda2Fl3482J4X9BH6+80o23FjnehoJs2UjMEktH4
N1gGzUKef4irxdzgT67NW1FGxR4iUyT9OsEf0B/RcsHrFNELzVfLNrmfrPoB5+TFz/uuvfIG0Exb
tTeUtxkS9XlQiLz9TuutewBw6uLLXZbmk0Dz/dFKwWJCtFeZkoMByOogBVif+UOrtfm2SiXFnGrI
LHTzbE435DT5fdfg7wqiNLXqnTuK6VBlcVduum4cwPGLzgbbr8fOu740jLdzEYk/h9ZSsoBOiQkS
1ckWnka2jqj6aviklOqUbyaoa9+MqILQhJJm4QZKYgC/B50yXRXD4Iw+KH5IR5Wi1Tn2gDbjGz1f
DGUzL5H9CW6B+jGzVPUuBskR+YqTtvFGGTK+yMkYhtsJaRTJDq0qNUTN3vrauGpUbVNNcVPg8vmY
BEZm2h3OUFyIGdUlEuHwyotDbw75B4UpP9M7K5si3ygb7cZ1uwTvRncq7pJ2iG7cjuYQVdg8Jn5k
zml/k/Wqe9uhbaZsZFb0TWilmf1Tk5n2mODH2l0hAmoi6DZ2DHVnTU+zn3ay2B+SXOqZD4yWv//a
A2ON3Yzk2RcUkc4a5X87llqljaxUY0KqAnm7qRidBlFd6XdpVDmv7LzRsafHB9EIoBu4ltMGTZ8I
dah1B/uhavrOl9GGq+r77uX7eZ6kYCJLjmitMLc1gTi+H9UaMqWLuR8XCP49okO6vwrlPb28yrMy
eL0XFcDSmnJDQj/tkbZjquplbSZXU2kWX5CPkAQH2HFbly7ntjCnji3RoTatLLbvdU6yjaJMCRen
Xq4Kw+2uVBtF85cv6nl2TDkOcB1IAs4jVG/Ht64bQ2sscwR/hSTtJqbv9im1jfiRQ0v8mSADdgX5
Kg6thiRx5DP8K0d+VRX+39bWR/X4i7X6/5tVOIgs/be3sVb6R1X4w1oZ/9vNU5GWT9XwVJ2U43/9
+t/luOa8IW9nHwCFAdKx4gb+Lsc18w1sUcZsMKzBFaz/8k85rr0hc7RQ4Ed4cyX+rEjRf8px8w1f
LywCqjH6MqpNKvaKcpyRCBvl9wyLi1obS2xw0LYQFE6+IX0ooFB6brzvYuQP/JYPt+w31aK5I2a9
0oBrxRnYI/zgU3IDl8Osr/6UCMLzZlAcEQViMGZISS2KAdd2m1SMYh3U+vyFuhsUgKzzn/Daxnrv
JVq0zUaz0naqKXu5V2fHerSsIrfQ/JZeHNrwVzBZL2hN3kaiSiZOgQw5zFmaZhty0DqfLGRMFl90
I1ZeYKN09BUmhUR70qY8yFxrRvgMaHK7mbzGE5s6MxWTNKFBib0fCiNCW4CvOBiLoVACNRF976Oe
VvTXacd6iHQkGpgJ6K6B5mQtglk6NmK4jKjwxrrJVdwwg/IO4qW0qi4Y9MYtA+j6EwSJ2pm5JkeJ
30VFYkyH2pp07WOfeXYWqIsB69BqqnHwpVp4b9uomI3A7FSaHyDt7dYfHNEuV9JasgeNZKvdpGqa
dn5dttNO02MRB0ypKwX/F2f8MCRR9XmhUMSrBrWtn7EmqZJV1Y21a6f3UPdGxpRx12xHhhtQ70I3
jOBMaQEnVkeWZ9fGGBpt5yxhJk0N5kfvtt+mWCr3mCmlH9OkMXsccMi7/XR9RcEg4TYGZmzHH6K2
L4pAa0uUp4xsjJ+W1mkrHxdjvHpz5O8y3+wj1QpNkSlqgLMzJgaMlsUY5qkplwC0Vi39Hgii55em
UkKnWGq0oVKrEoovpj75iBwXiC7TTlKSycZcDku9WDKwF7gviNLXctqRdlRjOKFjLvzCIn3bwNEY
zaDXrFCv5wUigzSmrR51vbsFYzuR1sSqcw8OjdyjQiIsJaswyqvC6ZJbvmPxvfMSLw/geqnXaYzR
rF+obIKhsZy7QSniw8iAEMVyBoixP3l981BrfRJTAuWtnW3mskZGekJgXn0/TrqSh04blXdoCWl4
qutK0W2WptcbdD9ykIG2AscF0FqafJwtu/6YdeP0sZekM3B2WitgVi13RTFkcgO5vbuZm6qFhdji
yVpHibn4pUKyl7ktJl7TjOh80JS599YhBUt37O2adDPT24OcZMrllmXh3iPHneLMa3WGzX4WC/4R
Zq2qO1suFah+YInSV6tVywzZRP1hqKh9bhKa7LXvjWAww3JWLFrAMrGiTQKvvg6s1NMA7y5V5+EU
NGeJ9JdOTgec98SEAIEO57aqvddqNbnAeVcYHhxJ8HLYnRwfgQgOpRQvU7lPBVdexVEUNO78J52d
fv9beD/Tb3seI1ciOBYF4EVJZ05500bqqoK+WLmXDLVvEUv7jJ4nztnd/PH1C636XWu7HQmqZ7AW
+LcaSsvVnvRVBlGkukRiPCtQm7vESVsThOO4T/+Q9j5pEyv+OvF+zwWnKVebuCqIypVn3VoqHNK8
6D94zTDtR9SSN4Vp/Xz57k7TNRjhzEgRAqMzCyrudOatUlqhsW+U+yiSTijQ0dtrznhJavX5y+KA
pBlCX5bpJI2R422Rq4ooEbGt9ktbpGkwy6G4xnJRoaJv4ktsldM0jFta9agxjyE3BNB+0qSMrU4g
QrrU+wYmGwgHmyDnd5ror/rCQ31TL2bVNzpLK3ZVNVtlYC7itaIfXAM9IGZSqCDS+j/lnpsdt5hP
ot47dQGDr+zQPKR8cy86PT5/siTBuFHBST6nfDe1SBXit5iCjxDDTd7rrb0FltB9cUsXauDLm+XM
Yg4oDsC7oCSYE5x83WYzYznUldl+qDwwhklPBaoXOaqMF1H4p81ViiGXL4ABB5/3KlN3vGOaiHm1
hoj1XilXOoDpiUdNa/twtFPjQ+S5l5jNZ24NBgSD6zWFt8BPHa832DPys7HI9iAp5aZYpKz8yK7U
w1BWyudXP0aXgc6KHyLbhHdxvFYyJbYX2Vq2h/4Z9z7WUXR1bF19TMbEenjtWsBZmLlwGIAPJnM9
XstyRWmXjVnsAasY1z3No7tUtsoNeuHyQvnzrCYj+BvgGmz6auu061TgIUciJGdjFPuu6Tirsswo
76a6rc17vegX3U/bKMJ2Qo+c+6zM6J+ZvQcWUh+jPAPgVRfvxdBpjq9Ffeq+euvS9cV2FddaUmLw
LsfPYYGpPsf0tfZG3yQbwNzigzZkpfQzK9E3Lz/z5zEVeSHojbxkxnS0m4/XUsB9D2MSV/tmwVdk
6m0rdKbU3l5Y5dwymDaukB2mD89HIlyCrZd6ua+JpE6o2mJ+yEd4bMFcqqj8D87gPpbmaNJEcnqV
jhudORxWHL36ismzk+84MAHFQhcZ0pDUNzP9QUnLIqxUDajRMrv2n6BoBqyRM45aP2+q+DCoDT+t
KYpZbYem6f/s29qLrsCfdlUYwfO9V9whNp66wtRuyjj38nBBHMLYQXaaW+DZsbD9ZOka/CZauD5X
c6mQUUvkXLpNw4SnJz9OjC7MKgH7uwcjbWETn9mfEfi0OOAXaBgbk+v/66v8/+UzQ2ydMSFD5/9+
iH39VH5Nj2vmv3/nnxG2+cYEZ8EkmuoWJAox658RtvaGmLlaUTANYNjIOv/UzOobwBlA/hhSIEDN
EbWS7P8pmvU3Dl0iSBWckmh70jR5TdGM1Tlf1e/JEzkk4XR1EaKkJ7aeRLp4pKG1eG61q5qp/Wov
s/00uShibUZYn3eDhm1nMEUzDepanwfXp38bJcEc11WL/rapTUHSRg1GaIYt0BFZJln6brTQuZYi
Nx8RJq2kP+v4J7d6bu/7oR3fdgpdrtAYlykJe6/SP8XuhORgquu47NjzVGtoa2uq5lvNZDwtGUIq
AfL/pRUoSkYlKI1Uv+vMXi/DChFDwx8nBFRDa0RjJsQhbgBHhRACysGW0ii+XpfjRy5heujqtvsA
j0FOoaWX5gHatpsEXjZHbwvHLR0KEsXqQ6hm69kSK83XWPbdT1NXejUsE5NhaNyYDSUKgL8xLPBk
m/xUrTwtzJncfPfQXbmjS421shyZUvhGUZnX8MQEPpQ1Ms5XsWtPYzDGxHffHXWn2RtZnnxr1GLV
KiirnjECLe/hXV/M3Y7cEJEUenGTsgRohkkzbNGbcQJUiDvDT4VUECEuzcS9re3ZQZcoHsy7Dnts
Gcq5XJoHGBIAn0zcM8xtm+jFtJ0EiYNv5dlUB4paFO6GpKx/20WVpoYZ+UO1jeZ4ivF0z6P5Lpus
bt4OrTcAOO1EY/kGmuw4SYyFVQQTDL/+nWjilHvF4ZDJ54jK3QZzbmrdQVrowg1Z4gz+HNWuuxW1
rinUesZCMGrMsqRVwHx+N2FUDOS+1JRqU5NGuH96RQInXOVPJzsDw5mCjNRTH1XmKugvJ+j8ukbv
/alnZjz67tTi95BHKD1AyXxECKxr/D6O3Cy06ZQsu0GM5TaLamY3XiQpewu1qfdlF9NLyDWoq34/
T8OPFQvt+qaKOgKdoqHQgxmK260c9PQe0LLyM1YU9zafE/G5Ma0+2Wpemt5XWlamgVCN8p0qJpkH
DfvwFlCTA+kR+uhPoxlsJaxtr3gAvdwi9GhrDdrZ0cyVZHan3xmTI74ObUTTX5ZTYexoLVQ2k6FV
QiS1yvQJZguWnkWlL1erdUTv13WRfMiTwWkI61mI26Ux8W7SyNwQWMYsrNMauo2La26/t8oE8SjH
EO2hlw58FXeZ+XNeZMzfMzSu/lyEYid+a0r0KzImZbwMg0FeoYA3ifR5eh/hwfsx0s3uBx0IJL+r
fFL7wGmHSaU+/9/sndly3Ea2rl/lvAAcmIdboAayKJGUSImSbhAaMc/IBBJPfz6U7TarSJNHO/ZF
X5yI3W73drdQABKZa/3rH0oRXCTVZJmfwYgqYhOopW9gHHOTGHRvqrbwxf0yjh3Rj2BLI0HDsvlK
EIq8BScjRQcHLzsPZZ41uLPEXnM1GCK7qbzaT8HGMg1qGG/oxsiTxf5a1tJ0o6Vr5a5AJVXjxCWN
n9A0xzgMhqly9gtgiR/VssM++tEG/0wDfV5hryQywHBvtfKhN7PO0OpiSNp2Kud2vzAZ2dtMSaK+
k4BJS4Wr5GK1H1++3nm5cn69sx6wWqhAVYsTVkExcklBZoTSM81XitDzOn69ClU8dd7KnGI+cFp7
Cd/PsnxS7b7uugDdaV+igxqZOm7AP7398Zb+f8kAZc1YiWCsiX+vGSIYdP3X8l9A93/+hL9Rd+cP
GhGqYjwMV9IS7/9v1H2tE2CMrmxR0NG1r/irguAf0P+BI9EKgk1QZPxTP8Ccw3AVMaanQ4bBlir4
nfrhT7rO4/oBHh37LoLCFbiycRs+XTn90tXonAd1EeOOV4ZGaS78m9snvfmw4HjQ7lJfT4LtnDVz
eSkGjswdAF+Pr70JLWrr4Ft6sGZo37tyyW25nRWazQ6uLrngH8omnr9Ivu5fnUGgDcPixnE3uUt6
QaiPnetu9N7QNq0IZlwy82n2IttanHo/GCaJBLGBz+L7ysy69J0oDUGirCPRViWTy0FrctinIcnx
Wb6xtFhWlwixjCUq7XbAfD/uHI+4Wqhx26JoPbFZ5tGaolmNconYBwx7ayxJ4OKLnc3DpSprplTZ
oFX95Vwrv8LXubYhWAlvIhTEBc1BODnn3bZJ9P59P2jNWt3Xbh+hXjHvSNcgqDo+opZdYzRi6yTK
0Pe1k+ggm0eUE/1jnnKCkaBwi3ERSGinIygyjvioFRtDtu9W2LRMAhDU7IimVvrSXbRHjLXwgnaH
mRfIa6lZ/VV1xGP9TJv2XV/1TjR0g7cmcs0PLiZGD+4K52ZiMbuILJ5V/y1Hq90uGdXHVgwJKklt
aerrXMNmYkNz2+vvMdbOxMYFRc+3NhQOFsO0gssUAeDMpLYUyJpX+Bn02b+eTYzGGJKATsOc0w8W
wUKM+B2Hkgi9ytvFiCuOLQ902yqIJgxdq1puNZF7eYj7X+/v2iMuDvNhYWTAu1A+qHnapfOwLVUA
mt4ckXWN5TDv3aSigKnNwZ0iuQLx00SoG1lwKz4vXIe7JVtbC50k401XOMynEa4SsArmP1H+YJ6X
KDGNNt4ZGGxAGZmk/aOJ+T1bGxeu9zj15TAJspSqxB4b24maUeuxgQblS0IBl7GKxrxevsz9mqPj
CUb5N4Y3mQnfQ66s7cQZ8rUncfTGrGbvtu+y/pusswbu55iQM+EplYaVWeQ3AacQzqWDvRz0Akfp
YCpxFockIiByLFNFPVFCApj7RJsjnxibemOlmfNOK2vvhmKie+eljv0QT4Mpowo75retp5ftlagc
F96JNVXfR91QHnMD0/imZDxB66Ccb3YaFMl5S0klP7Sc5t+GbjYvEqPPaRJq34W5QU11yyrByKDA
K3KlOqT2uNN72YCfj+6ypWBU1xoszx9NHxA/ktB9/Mhcv0ui2UQzHnZVX33Amk+faTxAYjbVNBrd
Po697pZJF0Ut7a7nUvTrw4VYtFJcZn1B2aoyKGqVM+nWdtBE8NFMfDVfjJKUghD/sfTe62vz57TY
yad4cHIt7IyW87vLixbOTNXGYwhAsKgtLAthR1ZPwCyzO22Y9obdBmgnAry5YU3C8gGZybtbd3ZM
sR0rw3sYrToVEScpPLy6xA5j1xhZNWwyR8cXATqUfK9ngVp2ZREkPJZK6JTJpkCnxEZAvTinYgJI
I9453TSOYn8aek8Zm0Y57A699FkovrK1KZzxkSX4VjXsakWVGPdjV9MKzV6h66tUWX0qF5kOGwQW
wHMqoXeZybaBz5IM1tu4mWtcK3qC0iIMarOfzjBNXrg0TW1FXkGEA8M4vbIjPiLrYKW+mV2j70qm
0HXL/AptN/2HaBV2Luw7jAx16SCaFQxbKdRhx9xhAUMbZPtoiUOSUF2Mt32rVFsWmemS6RFoN1Nv
lkjebb+6H1rQMfq4Xtz1qa3/gA5B8agPA6aXdbK00ZgtuMhLR6N6TvOhPpTIVfWdrGyniHqcE5pN
11qtt+2YcBH+XJf9Z6X7GHHklnCvDcUkej8b04I9vTerCw2Hns9L4EzlfhLD8qXDwTN4kwxdGRWq
QMtNV9Di1JZqJDgxilSA4ZrW3Go8aorYVqpfvVN3JrCLTY2aVP6c7oaiwdWRrMjxTVH4xl2dLsW1
ZIbwQS34SmzRxlABF2ZuYSHXYuAS1lT+U+S7k+lsjGmc1FbxkBYOupzBp5RZ8tGh+Wx2i97omOiM
Sb8+Jo3PAiIaH67UlwXSFR4RORbqvtPuyNPJvtkQx6cNLS1fREcIKPcOTe5r3ufkJrd8qeBFRcJB
oHwdmSWefOKtnBLHRtvV65dTlwzajVab2c7MyqlHMmqplHdnJXG4BPbw3V8yCvZC47/MNoRvZuCX
PI2xnnNmZvYoPytrmS9X/eYYaYVuYtBbaoADlRIEb44kmT9U0um1MI177IETq1nSjd0K7MSb2hYX
48RxG6YCCiipR1JeI3msZk79iv1k6cYOkp47+e/m2NS70KN+zTdyTBWyHewyZ9r1fLmqunb6OXcD
AJ6G7VD8hthRewRIc7DXsxgc75Wy2wu9XMptTiDbrVHY/EZmaHrKX4tcpz/TBm2fSQQeMB/Tcdoj
JRm+TfqyLWhGZ16921Z03kZ2t2D4QyYe+ePE+ZBP74SM8SfayhxHFiRQRR/5KNqcKAaJyLcdBsYw
BWZ7TWGYzWGTZuWyql2bnHCgZb7v+rLiRfmT7m1dSpc2aic5e29qIZ0gYkpZa5vcbmrAFkctzmVX
mkyRHb8KnOseUOdaUNb0Q1TluTGFmZkMP4hgR/Ut8TvwI2fEdwLnol64b1McybvNSMfzIckWXLlt
fQTSbw0tb7aa147QCgIBq7M21vPMKBSm1phgkmdZd0i3LspSauW+qhMD8kI5uO227rS+iQZmz9or
UPF5EwYXELU+HxbBHZCYjpLUR+yvrJY6r32xLuqJZRPhQzzcjqon2lSzY4xv/dL6s+37rZ7lRf7P
CVPoX/lE6/X+I/D579DqHDsOur6Xepa7lSa0NiT/506UX+k/TkDPf/6Ev3oW0/4DohlCf5w21hDH
f3oWU/8DGbVNp8lc5U9Jz9+oJ8Cmd1SFwWvGKsZaLcT+Bj3dP5hMAsYyHcezBOaP9TtNC9qHM9AT
YJUmAnv7o7gas7DTpiWvXZyUeq84pDGpLDQFpXblEORr4Mvu5NjESwVDt53n9IrEZ4g5MvHJ4KL9
mZcrPn+hItNbrALgP6i1g4Iv2RHrWqGihJ5CeeOTR/9tigkv3U1TNs0XAvLNoVOJfKASTb2NY9Tw
XajEMQn1nar8ns7a+Gm2l/xr5o1sAiAJfQ8t1uptinXy8IqiysYNpr8J5q7VpLkhIUdJEVZd6dSH
3EGPxF9dgb8UU6r3QKduFzViHrWLpi98B+vNGscUnfJv78ZD1dMJBP29ZhqzGw2qg8iaS+zyNwmS
8Z84UYluUzNR8JnCGB50bGaAX3vdwV+1zUV+rQvVsMuVhY23aQq5FcG5RiHg1UPihvA+Wxk5gbW8
y+LY9SPU+bINVact11Zb6j851bwHS3rGe1Flwtm009iNoTvgsXI5xhjVz7Yp8j3bqvGJndPOwpRh
ox8GaPHvoX7DNfJMob8v504TsLBnd7jooVDUHKx27W2k0ub2soi7YriacV2NoyZpExtGrh+/Sxtz
qaJexLhLClT1uNK4uUOKt4OSnhrMS94EkzYfVEW4EqR3uQbvmbwPfKiHDceu46Lxrgs483PA+YRD
K5MfghMybzMtXUKB4FaaCafKpOmJA5kb0SLRd0UFTb4XmkU3TJGd6fkVBi4w1dnCwUUdTNR+CA5q
jZO2qW+s2Wru2V2N+n3n2vPX1NSzO8/kHA0xAneJ6ungIe3wDXGJb3MFLCertr2fQHwEqgAVtskN
kq3lhpVNLdPog5BR3M1jEZpGZjSRMGO5y/FdxyjAQ4ERae4cf9CHRlL3tvrqBT4NPmC8zy0R+/pm
0qcrmOuTB/LXO/e1Lo0vHRR6wjmHtuEpWZp5Q/cG95oWkAfW1eVADWtN8S92ZgxW5mbgQacsN/6e
mdo7Wdvth3GYW2YLDNa8MDBGCOFQ95JvaVGQpWf3zLhccPKDTic0R0FWzsUF1SW9iU3uvR61a+Gf
zX3/tqEU7qGbaL4Hj0Zr3Q10OQ+rsbgvnR0Jqbj/NDV5SBsDDngTetUoPshMqi84EA9zqEHWf9d0
0/Rd8ypqNwtW0NvZ0pi7kUw9payfZSk2eS76Pf4ZU/qWQq9gjFETqAOjXVKeFaUf/0ig8kmsPsts
wAvYopRRkwp+ZW1CqnFhwI4JXX/s2QQ6V3bOLtExaYgK3XPvp7oRxM8iJAreprjEVVHdx/ltiUaG
sberD++WfjbiaLDjhQzpoNDMLemn9u9Kkhl/Y+zAZ42gElrd+UDWKvK+Mf28PNhlr30o6izeWmoR
W9h49ebRcfIMqrqimI9RpPVSmDboEBcYuTOTOt2Qh7b0YbSI8uA0rX7IyX/dt4TNXKIG6aI1y49B
K7Qe0hb+xCI5Zv/fRJzHCyM9RMh5tFJcf9ijSmIoTch9flUezFwTWwhwU4hBVPyKDu8cXj1ehTE6
xgqMARF0nl7Fo23BcEyWB6Um94e1ykTIA+k+xbBPXvGlOMeL/7zUygNhmAcWeYbk6gJHEcfkUnHQ
mzvqS2vj+8WPl1/Xk/qL13UcXFpAfjhRrv/80VPz0yXHa2/hdbHWb6dZmGQQW94cEfUgM7hrbGSv
4O7P3RdDylVa51BVnttgDYMBZDeV5aGal+rzJMrlysun19bhczcGMspaX90vIAic3hhaeKNr6ox4
bql7OyZgdRQoxV8GPWC0Veib336QrAlqJJjRq7HO2fJTRJv6VZZWB3yR5mhZyo+DVG04FvIyMPJf
L1/smY8MNofOWkf0j1XqGVnHEa4Y9YCIgdjf0Bg2+8Yu78w0qZAA4EgsfRivAbqyl6/6zIuDUwa1
zKReh5l09mmrAAO3Im/LQ6FV/qdWxuqCVTnXr1zmySeGBQ2OT0DaK/YNtfH0zSUjA6UWsOZSOtxQ
42vZNWSy5tLPOuf65Tt6MjOnfERhDtlcd7kSTMDTa2l+PnmdFsSXXk1zFM8mYqzZn8dvbafHl0a2
jG8SsxO3ejpb1+vo/RZydfG1b1JOjlFZlwHQ2b6q9OH9kLbuoUxmfYcdYVaFNqfSA35v9m/aHa4/
GX4WmS6rIzW+D6c/uWztFT8YtEunqJoVJOp2U1yPQPFNv9NKwl2DtEou7AzBXCGW9688sSeLgHME
ZhOW0eiMVkbj6eVrNKQLiVoYCGpdCTpT2NpmNNxkH7dNf22Jutum0PH2acBImE53CIeiv8waq7kO
hq7+WmfkxYVLOb8m7jl+0acnj25TePFFGGgz2TNPf9k8Dfls+nNykJplblPKy5uyM9xL1QzF9ZLW
3l7LcJsnfxewP+zRQoYTSN9GTiMU+ZZ6do2tyqyRUqcVr/S5TxY1tsJQUHh4LvoKdNynPw5dqtsr
d84PFk6pEf5t8wfkAm5EcWtevvyKzPU7PH0QnE0ksxBHhqXwE0/QWFM4cs5FfSAXrHYoUefy/YzW
bscXMKe32M06wFJuWb6dxVBXWwwQve+F3o9qP0A6dA5pWqXOhTG03b0QifnT6ORyJQISg6LOx+4z
sqDh71wZVJ9Hss8m6PYQGDZl32ntK+PMJ8ttrVwgDmBSiO6EhX/63NI+iXvkF8Wh5gVFizYblz27
w+9uOcfthtxkHY8GdoKz/bQzhrzI8EM64N+tX8qu8HZpbRUUyIv9yg0d/6zTtwMNz0RWjsiF+eza
HD8+cRdGaY2uMGjppFPAlocMSaYwGr51cOIB809GS7xFXw63DRjhV7camExPHnYOEXqPXoTSzNQ3
A1PurziTq7u6iNF+eeOQ3uXuTOIOk3QsH+DX+FHXk8wSWUrAJ/OLFexzANhDyhs+24U8PvgDMq7u
vWwspk06mKmDMhGtxaYAP7uk8khRj8wUATsD0L7eJKMs7o1qodrtW5QC7H2rXML3icnVAzwAwryK
vY8oswESJzm09mZwMLiLFjyX1c5Jpri5zAYit7d1m+vvYNyQ/22WbvMmRlFcRZ7VM8fR0EabYWF1
TXJo6jHxIkBkAWnAmsaIJtKkZE+SmRhTN7+n3c/fweEu2h05sYSYJIiq+9B14gVijG/rBmqAgQlT
OjIe2sSOuXr1dX1zRQBj88qR8syCRR/lMZKFuQvn+2zBxv5gc0zm9cGZjeKTAx/qnTWnwSvbiblu
ZmerCAcK6KaQFxyCP85WkcHh65dirA8q4AASVecuFwVUqWFnphg6h/yt/Bx4cS/DXMuhRhXLKp2h
NRnyA0ADLX2mVDJueog5PaIOY2Y0OWjGd1jGKoPiIq2f8A3hHtP9JO99oN0uLERM11UPpr7SEKtf
C+rub1qDJ9Rlx3IbP49ST0egBFIA2GEdYlxe3tuebqNAR9Dm/LX8RvpwtsdXEo2879j1QdMK7VPJ
lyQjd9KNrXI157X8kecuhrEvQkv+tYZlnn6puam5ymBgd8CXARR7zknERnnPxIfT9+X7OuKcp++T
Qg7K7OpqBG5wbg7jDczEwVCqg2kJ+6ZRDTmKnTW8RR6OyE1f6uWSk6/ZxNpUPhi19EGpSnPaEYPK
4fXyj3laOsOXpAQ7onj8qWcP2cuD3PAz6ryFI2qM2rLUNwr8ClpWj6a99Y3hleX89ElTO3M00jXS
h1Cvnz7ppoROVCi3PDRTZkRaAuhgVqIPBe4qr6ygp6UzukI+HP4PiYR57otnTn7VI4WuDgjF+o2p
3tbwt3zpQxMbV8TfR0SusOX9HzxT7sxjY2D90hif3mE56Ci3LLc6JBk69lT6m8wtbdRq9oNcRwcv
v8GnmxDGghRDiGlgRxMOfHq1WmdbrDO/OlCxIo4aLNBP8ItXHuUzb209wLgERzS0vrM9aOkBw4hz
bbEcYF6MV2izzyWuEgGv85VLPXNDsLnRq3owcIEwzrorAc2yNDXRIhue59vMC5KLuNBeizJ7ZuEj
JdFxb1u1sdB1Tx8bdvaGZmdVexja3WhIHlrNCMyeMw1WySsL4pk7wgKafZWHxyM8vxYGeqR5Stke
EnOqd51Ig12qSnX38kJ4KkmAA6/TtNExuLSnwfozHvX3k0UJERMgfpCKahPghCiByiiHrXAaEgpS
c/5o+l6zD7LY/bagf9zRfmjXTT7mG20a6u1ou8XHl3/UM+sGXS8nMSMlRj/HYLJHv2nwyHRywTEP
fdnTLTEqCJ1KCzZYagS7ly/1zFNmO2XQQF3n8E2Yp7dv5To00CFuDmmOG0nrdOMmZ274yup85ob4
qIEaKFNpjc57ogWUuV56k5Dt0UiiCneiu8pcgr0lcve38SfOe4OBh8/Zj2HZ2U4pvYwJttV2B83h
JVK0BVEFbBspQ6nty89ubUnOjiTEIitlDaslqHBnn/fqoSBy2XQHe1jciy4d1VcI8vavdvSh1jp8
fw/K6sTvJhpwY6ukcdXJYSXE2Xv6yuY5k7llTN3ByCZU29pkbjVNe63if2ZhAKqtR+6qaSdF6vQq
ZanAm8egPWS5xBxFW0w/1BQdzSsP8ZmDHbdK9EeMwdb961wI1wyV3wnIUYfAz8R3+H/DvaWCxgVm
LzKsm822HUOSrMwGyFgO75UWQHqjnLbNTeD1xdeXX+rT4w8JIucQ6isgRaygTu97Ih0B4lEjDsMQ
lAeSVUljGnK1rWLVd1GMOcbntvcnPGJEiqPMyxd/+p2sFbFLWPw6633i39WDkg/VrIuDQxDujrGw
CEmWHqJuIQHl5Us9fb9cChsOfHZJMCaa+vQ+B9MVUz254gAVLN9Jy5x3jaf9bnYcsg2aobWUYJwJ
1/bsKrg2MeFrE3kojal6q3kLu+swOdb9YmvZa4f6MwAH4BueyHz2FGiuc/ZlSMvJh14a00ES6Fls
JnMlkHEgdldB5mQPqdcrhohCMcYaAaicbb80zkfYxtb7biCyrDSrEUJRirpVkcd6+/ITf/LzAg5O
dGWwbdjZwYbOtibXL30/hRZD7ukI9Qr/2KoLM6W7O0fJ5WuZz8YXD5aC1C9QX9tXmvIYKzVjkP2S
tg1ZAs7MRdyr7JWsLqBlXvbjnWz9ZYgbeVecgIgOzxZ9C4tfFNrSH2yrC0hulAgJtvznb15SJju/
HCEeZcJ3PqCPs7NNMGTy19L6OTYOMMxg4hUQt9Fp5dZ3Et9KZzvIufuw8Phv+8Q3THyWRgZKk1ci
dyO+JrjLAUv8bQcZEEIRdsS41blKlG/7ok8PJdtq8b4uM5wYO6V0aBrOXKEG8wjKFTSs1wacul/L
qOzvMNihtJWVD4+D1NMZzaRVwmbFlzvXtyCi/bDtG6sot2nqtl0UpEQZkuScIPOx46kjJdhq1j50
1D+MVgqGoLUVqDELbZxDKD7NhHbEx0dirmNyiWtsjYaVhlEeIOzpAMqtNnzJoe9/mIemayOSBwbC
o6cRRhywIwm3gzOpMky6RVBQKKiTG5GPjrFt0gTDqkYO0J+caUzkNscDYIYKpSCBZqZmIUiYTeg5
cyHEuyD2ctyjhKl/JtMk+2XBp0p/1okN6gCHvSguSw2VfwRTD+8OAjyvZOOXMHnSdQiTLE5rMV9K
5Z0xWfhnWG1q36s4ICrNxW/0QgYGXuKlbWHRVKZjC6TSzHq8GeMW5wkIuzkWtsK13+mkkuCbyRxd
vvHa1PowxwEvt8F9A4YPDUwd5ZULR4ulLVTIYNL51Ck91WAuCU5iuMLykz1Y7Q+z0zOH8bUdXHpT
m/3oxhytkCAL+Vtlzng7obyqsQsz6uI6d/rUOlTL6M6gtmr88vLHeb7t8wWsqrA1sYCm50gjf1wG
us0QYEHViYNfBupQFFkZMaA3PnTLiBRBxs1t19MAMx+2Xk2pOf/4MKv0UMWhdePvOHlOd2JhVXMP
x0keRD7E964k23YsF2OvdPzbhqFxL16+1fNDBjQfnBC+Ev0C1z1PVAOVWXqb/fhAaaFdYLWeh5No
091sDD9evtJ5u3C8ElWQtcKtgFhn24rq2gwLEn064GDXbAuXpPMgm8nzxoLvwYaZ8FotcX6oHS+I
zzJxR2smxPmteUJfEq/2pkM84kyZWsFw5VWDHYombt74/lB9Zuk4V9XiYXSjzAANSDntFzbMQ25C
/FBwCt5gI9i88sPOK0V+FzUFnpyM2fC/OB8vp2SoMueGZUGCMIG/8PY3czM217jMotxzc3nnFa9G
XD+5KA6TpmegoORtc92zCo4wJ41I9UJB7Uj6ZqMLYeZU+H5TbPTCqu5BsehwNE2Mr5RQTxbYeuGA
EgZ/A2pUzzpd0GRMZrabpeowTC28Xb+23Sg2CmszZLb++eUl9ty11oE2uCV3iDDj9FqpU8bIJFt1
QMc57tt0Loipa7Xys1Gmcv/ytZ7sEdwXTmJwBKhlqFfPeiVCAFQtW2ehV+oRKdruWIxvJIxFnGFI
dsYlJx+bGqJo2ekR+0jxu00+wnnmtVRRDhNNPCPObnYpl8aWrW8e8NFRD87UTpvcsZrL423+7/H/
/juZfZAqVkXvv6uRQs7CQpTisYgZPt9f/7u/+Hw6ptoej5gd+ej9xUfzj4qZ/5e/9pXMqRgt/0eD
pJl/rBbvK2ePchpge53I/s3nc/5YzQ5ALZm80d4gTfwdPt/5cmesyeG0jsnWXh3c4nS5k6Idj5qy
mr2TjvJmEcratFre/XCL8tujZ3P7Z/H32K36mMr2uCZklwI1Z+egmYZDdQ7I9UYsisXvlr011f3D
OBaLs/W1af5m1Ek2wKfXyhsMmah4RG33nzAEhkpVNcUIJwmDWXSnaUqhjRtW5+3qhRwEqMyxBEEE
c/uO6gch1Vza/kENHnYr8YzSiT+10DZ03PIrERZ8Sy/fE6AGz+f0ptakmdVjfU2hQhV2+vwY97Uw
4Ctz72EdeWNBYXpQI0KgFdzWtjlEMTdiDdVw1qskwAW2Tqw2NIx0+QzsLKD/+d1MXHrjdkY4+nXD
3GUW2RilvdW/bRfGuGhm5vhtQfdK/CtU73rrLQkJMJL/urpkwqje176mupBkzCmGK1eSxVH3SMt3
o+c3PxuZdGh0/d4nLDqeCyBsB9eMqHJm+zMMc4punNiTG7hlQ7YWuAX5vYaj7RBVGMVuAGvxwywW
5g9emW9vtMQbfylp5h9hZk/LDkRCw04ZEbWOqWdRvZGgANY2VnYah50z2XNoehqZWfYMuxrKup0e
/GXw9llSVD/EaPrvAAyq7gJrX4TMnegEtqmKSPAoLsuUhC2jims0RzUOE43hrydcVRe3JjHvTJFV
b3shx575lSRsorgyST9/S40qbFRqFD4MRxp1Q8Rc9r2oagdTCQ2bro2adIQa2JIu31M5BJ+zti1H
Rme58U4sffnOq6dEj4os9w2UzGbjUBNPwdWIs+ywq5q4/qBAEtptaviw6ERb4Mca8wK8yJBmX4ez
hrsXWaQNAdmZhSszI/i14FuCxiwjTQVztScrr0ixpevzra4njMeLoLNvm6P0Vj/KcFOrKp39eJTn
xg5KXV4u0zoZS7lDAYyU1zzKeln8883oVPGaA7EKf/20yG5GXzVXnkR1/kb8qRKeV8Ww0yl5W68q
YoEEadwhzMRdLy0W+wblidpDhXfGy5zcQdZk4/TTlzbL5vpb0C2mgjTrxuJ9BdXL2WaLlf4yERb5
O4r92X7X5WQ93CBfGIgv9OnPIm+c7Y86JnTFj5LOxCZ0dMDR56Mx066GGUN65odtOur+u64yevdi
REx0R7ziaEdm6aVt6DGMQZgdl1iOTEsaf4TrGXyUfcn+MAxEb4VZmwbQQCqym2TEN2PKG1GJuNiW
XuLWEdZsrrwwEEyY+IUg1L7LLIPG0VWLWe3scVYWbq1ZVR8Cp1BBNIxZdYOqEsan7ovke+3GDt+L
dNI+1GTJbK5tFBvKMOF01lnjrZhTvvPfPzX/lQv/mAr/cg7Gf+fZukJhnHf/frY+/DwS5quv6H3P
zte//rd/n6/GH4DaoH1wFkCGVpedP8/XwCfnwoWzBT1M92FLU339R+ML+eNoEoLHkU2lt5Lw/j5f
LVxHYMqTvOqSN76GMf+GseZp/wBmzGHHUb4y9tep9zkoxmzGGZWb6Tsk9d2eNnzajbOVvMJbPIYP
PT6F+NNpN4GMgd7XaNKzU1zmQTEKBRO2G5v4V6EhdQW70O04sm2I6bQhwvMY3ef2GFWiwhAzLvTp
Y22QSXlpaXh5NdkE+92YO/Ul1pts3Ba9Lg/BgHIY66LE/qEFprIjUSrSe2zaahyysDMzNnnv+fkW
qhcKNk/69k+z6rJPZCRlbwQGmpxKnWYjtYw9DeVSnJS/RGYn33xoj2/o4cuPDbYLNbYhFmckQqyE
DNKmXnAucL1ChERb+FdmpeU1GXWjumsRJaebLDbdj0sea0MopqBGe7jgdbtZDB2VEKHQJb7MZI/u
YJM67UWu1bX21qqH7kbPLfOD4ysQJM3UARlMq9KNL0PlyPZBkBfq8aaK6mc64+YdqcYIfsSVhZQy
LEWVDtGanf7z0bp+pi46XSJgmdi2UYPBK2RECpp3BuLl5iIREhrWDqP0+iLlkUXVavHyu1dhLTMD
QjfCeAqXqNM6JbXxLPFM5e2MSi+uGzkah0Zv7VeQgPOGxmaiTH0XmCx6vHvstdp8NGdipmyU3uh5
kMXb6pZ4UG03aYm6JsQj3eALnn6OM9o2W0qxe/n+nrky7s/YbAG6UFKfW/E0OY2wL11/ZxvyAlUY
J3trfXOG+JJ0lus5dsHXIQm+Uv+dvzsw/bXmgzFF/8aQ++y7M2rfnNGeOrup7M3NMs1ql3XGa6kf
T2p0hvQ+FT+9GiX6kzYxYZqSZGhEd0YPv1VLMv/byEe8QzCXvjLseuaG6ALdY3/BX1bzg8cvULU9
am59dnZ60YrIKmf5SeX+8go2xu56WjSjJidDW1+jTHAhP6deJKK2espxZwe6vqpBlqW/j5upmMJu
mIOvCDEhmby8Pp55hutcfjWdZHnSiZ3eGPLuwIfu4O5iZ5kQS/T5Dh602pajKra/fylzdTsHnAEx
Oh/SS7fuSULmUtKzBIYwCE1zDHmxukf88PKlnnuQ69JbR/QQK84tBB2CcQwXBHPHflVGpDWaX5J2
wEMYKcrttNBM/Pb1mBWyg9DPMtQKzvC3pS4dRI2Gt0PpmURJhxzURc24X4WSGyvxXqOOPHN/x5kZ
nzQ9HKf86VszJ7LGYgCwXZdnHmGefb1bnZmwfhAM0DA8un/5/p5ZJcyXIMqbeLrAslj/+aP9y87d
nL2N62G0Vz80HcL4wajVZ6jm+Stb5RM+2ToPROEHwZBBJeTRs33fmHpCzLsy3nmz7D8lpcvIooVZ
mETl0DginHB9QjFqrjZZMSMQEkrmedCIAG2ydFuUUlQXXY2ncTTafu+EPkGIbeQvjPmj1BjIhwva
SRObvhXYgTpGoq4azhlJS+Mud4FrDDLqO6NZODYr+J1eYSEEmhut+M7mAsyfV6l1mel988qdP91j
eJU6C9NdKyO0K2cPGZ1Z29mat8ucpcQaWo34Eww/X36Tz10EfxeElNi88TrPni6TYcDTBL9nOycH
q2yIxlMu3mYvX2Xt7h/XXWue0Gpx6fvUXDbn6+mtYAxQkoRiBbtSTcPlVA4a0xqhb2dHyFvVxMml
vXj61hNmcufJV0lcfOpPfgAIEtgoADwTb07d0x+gWU3As/Oy/Zx1YvpiZdS2mKoV3niJ1EztAy2w
b4zUdz9Bd+u+1UcvKW+1lUp6PAJwQe1vOlczpAiNoxEVOcBK31fFalAlR8WMng+i/8mWWj5UKp7f
z1grIjivtV/Z0epKVSkNWB1IjzZsdcNq+3r54R0tsnRr6mx0bThnlWqMjYshx33rMqkZz23+L3tn
thw3kmXbX7l235GGeXgFEBEMTqIokRL1ApMoCfPscAxf3wvMrCpGBIth6sdr16ytrburM50BOHw4
Z++1LZSlWYi5QTE3ywuAK6aQ7FaD2wBlhM8Fokbt/XKldrktjAK4mSvLyzTBetltSUO/1u3S2FkC
WdZt1rfyR27DA0PuTv1kfMGEZS7XRBA0ivZY9U0E0lttaDLldVIFSx73S5jWrX2nW20PFZQzusQd
KMxiowxl1m9BdC0Ce1OENNYVSvMA3M375g7TEEOE6+xHwxEeN2KhZ9djXLhGUHYpxIsiah91SrcF
594BBIauqcVX8kPHOXQKxS5A0lRzuSXuxgAnR2XierLobfmSzpoTTNBtVoi9rrgbp5HeDchSawps
Ex05r6OdPpjL2IgAmp3xVVSmXn0QkVoCGgDGXfiRouo3wnSEEihl9Utv4uZbRGPgc86+hKSwjIB4
T5k9VGFtauKBeFh7CBYnTn+OPd7xAJkGbPaq8FqSj4exu7XNJDHCkjN1FyKkqAggH2wa20grStsv
06i/GSl4uURhDxKWelZTcMpHywKQMldaWMLLvjXtrkNdYmt1yj0DfPulngwD5zQhvK900ztxNcb9
DCO/05ednQPT26T0GWDT2BhRAuoe/RBIWgBX7txZCyUXFDhQN/B9qnODv3IWBI3EtZ1uWwsCPbwX
wqH8bKiAegAwkrd9kXK7z0vP/tnE/DGF1THloN6VD8vEGcSpWuTL1USX2BO6VfnEasp94RIJpUwc
Wtf/rKKl6TrjpwQ8VA8BVZs/FBHHM78sS9bS2hMTdXst1f04deYybLQSqEsyR2Ppe5VT5IGHwxIQ
BCHpAFNV0P/bpKRgFNR9o98vQ0aVMBMjOc8JZIr7qRm6ZKfJrI02wjEi1OI8MLqgMtc4OnlVZfo9
FA4PgHsypITaKC6BoHlUZoGpNeXvHDSqciuMurMvmbl5edeqk6fclAoypkDjeZlB2woZ77iILeWF
F3WgU2uvx5sclVUqdsiKJ7KZGgiuQO0jDR5Dhty7v5iy2WXnmCQSv48RhOHug/Ai/d6rKXn65BaJ
L640teeoivKYZm2mfY8aZbJ9t5jG6z4eyq9cjpK7Rg5m6Rt1nYwBrNi+Ro2u2l9xW8hHtYt1zu8r
GaetV28neBpIlZE7Q3/RYynSDfYUZl06TfJ3Bsvw11wazrjJ+IwuzWxo8wsAbXrD/zPHzo1sW2O6
85grcjvnpaxDHlVKecmaDHELEhHsQpEipNj145Q/dzx5B8RiHru4jBpVfUqpzipnznGnuxU3JnvN
4Fg3EaQth8s4Fq9GolEgV2skSyyPDW1rN/m5AvzpbsXZZb2X4bngdHpcjGioP66p6PEuN/TuxgSa
fz3NpRP7buSVn7C7R1Byiqr6VDvpDy3qVHM3xKXxbEx6Kq7byc5/YaCIy1AWLBlbg66vhYJdj/Hn
Gu58O3gUO8LMVSswJN0c/0DxxL3PodL4FJXaQjhzp0cYzMAFPRCrkT7XZj/fk2uTf/WcdDlTFTl9
qPS1OIDTMqQPbx8fjpU0ibLBBIHZT6O9MzLQhgOMojPhdG+OwkPF0smhkEbe4atrieM10qVIdolY
F6m+SAJVS871e98chTYDV1sXaeVKvH19MBUoyNCQ1eA83drwcTWRcW3m/ZnjzFujgDBE/sl5BrnY
0WmiHAvWUUtNduUY6fy31g34KKoz6qCTUUiThEsKQx5BKv/z0SFbTl4UmzWLWgkBdNM3CFqyHIvT
+0ezt0YBz0uHlQ4nws2joxnozqTJMiXZKYUdsfB5yrdWzDXFxn8XJd8q3lBePDwB8gPgPlqUHrhZ
MgkOX8yiGDaWrgjYgizt32ldNGLfCADfQC4SeGncb+M7rD6y9kGeuV9j6EG2bzWT8lgA6Rk3wL3q
C3V23MesMd1fs5covznPzjRlbJNkMsr/S3mldkNLIMriOJVfiHRMw9yuy01hG8m9QTVcYyFXPLgF
iEYhLcjBwi2kLXgrCU4TUDo8Lf/UEGxWBrJ05E22aN33vCW4g+xGEsD8xSIxficTYZCV0GQgsSnI
pZpPW2L4GIu4qPyloRC4ef/5re/64ADN48MgvzocLZDMx6nqsysceBoaMSWS/ldlmvVVXmXLpVLn
+plazVtDubwlg3eFMvT4E1LzTGuwrKQ7q7AJ7iohDKc6UIyMVMgzc2+9wRz9KlRvTHKmH5D0Y0dS
lTn2OPZeupNteSESG+64tH5wC7ifK/tuMKwzK/sbPw2YDw4y7gJoPI+Le0qbaI1r9tnOyggQQim2
3PRF5ILe+mN5NzEFa9AFtFPqKFRUjMP5nnlx0gG9zXZNrhc7bwVlWblRfXx/Wrzx8a4VFFqrGDe5
Xq1f3at7eGealId1ke0UPHGBUZUVJJH+HFngzVFWt6OHIhkh/nq5ejWKMYlZKtmU7VIuFZtx1Dh9
2OhL3v8t66J5NBno0qMfXfGmqLuPFlVrsto2TbVsJx1WupYUzSvIVECIPVPpha9bvfw1a1axN6uy
e3p/7Ld+IeOu7Yf1EztO+qvBXudOx9hU8trQQ78aKtx3/tCAt84JqnkU16hSMtjRGgjxowal6WQ7
mplWCMcjxY3f/6lW5WUUi/s2yeQ2ntGj51iszDpZqtkuLy01cBZHwaSlnrP5vfHEkBUTo8K3iyLi
uCqTd4OQ3ITznb4oyYVXDlST++Lh/ddycmtfZfYY6ly01rSIjgcZU5OwbHJpdqIdIhKTaC8Iwypn
f4hkunWaTvv5MuAfKXD+n+4lMuX+vW2fBPX9ixr8X/lb5rpt/4e/hSALtR8xPmgo17X7H72O5v21
AjswXHhoK1/6l//0EwnqW9ErHDd5pRw2Df6h/7QTkYWsZGjX4nSAkPyP+omHKz0FZaYmTk4OHJxp
6C0eLVlJTzolsAO5H2lhhVy7iPYSPaFqC4LqV8/o7u8V6rVehzCE1wvX32NBVMLLxnkQwuPRIuwS
i6zBdBT7hITYG1Ob0Su0SQ8lVKjZtVeM7Qbw8uAbkZ7sGr2qyH8tnO+AEBEVR8SLnVlIDz/Nv/8e
eCmsoayk65dzuFzXORc3CwvhvgIS/WTSEPXBn+ZnFrPDb/PvUegSrIKt9W29BCW+2hSQWgMP9OJ+
n5MGG8LChdk1gWa6JP61ivzIcKqv7z/oN97pei7xODJgLmYtPfxdS5Q6SZ8A7HEVTXwooWBuZ6PP
n0g41MP3hzp9hKsKbT3eAwRmLzo6FNu1OxajIqt9nVXcyO1Fse6xFk+f3x/m9Bc5bAVrlORq11Ct
o18046OVer0wjKC4QDeh36TDMIewEe3N+0OdvC5EevwSg14jCO2Ty8SMoIx7UL3s23hs/aSRsZ9n
8M0G8l4uPVn/4YaK8JUbGBpUAjxAdx/XW8nFE9qianKfIe/GKmXUOLSL4cxrWmfy6yMDo9DuYEqw
yPC2jtss3eQYZW9Rw2UZiH87RBNSiNPbuEXbArKVEuWkx2Ef6d5H2u7meOZDOx0eNQFdYnrR4CFR
Wx9OSAm7t5ZTMVK8ruffqiGJME+q5UqdtfJiprccA+jMrEeyJpXd+6/zcIK6KNbXoel0csvFrnR8
JBM1tM2lT8kE9ciGK4AF7gG+Nmd+4OH8/GcUJJf0XtBQniR9JXnS6aKUI9RjzYYWaHrXRtuoG69f
sv/FUJzIWbQpgHKzXv+UV8sJarVmJvxq3OuNAXZ9mroNXgwn6Khobd9/dqcUEh4eImnmJdYbPr2j
IgEJGDVpftm0j1VEXfqYI/mXrbOBKFpTF02nC4SX1DuJEtxyHja3Tew0oV4Zcx6MwCICmUlgLbUd
uxuVhvaFlGNzrzmD9b0lk+Ixk7NHOVU4K2qmeyYvpT5TGnhpsB3O/NXMhBVx/QJWXsfh4xId17Rx
Tud9gQBQ8x03as1AzdBh+GzKuPdSVDCfsgy4xLZQ5/J7hs8jI7LQ7L/rg/C6wHHHBeukQ/Hbdjoj
8FIaZWde6luz1MUwiWqWWysv9/CvNESqi0E35N41W8B6Q59eKEPl7N9/n2+OQh/S5ty+PpSjvZ6Y
Wz0aQBTsAehNm7rueFeF+PT+IC+2y+MnjlyCXryFow672+FvcXJvrKgpyX3iJIsANt5P3bbEoXUT
2Srl+bI0RBdy+o8emCnQdvnftTsra2YtyDq1iOir2VWDODJWINRkOgGfTgJf24+KLsOi5enph9ro
vK+eJ7L7RaIdWu1H7dVgRbbYTNEkPqImLc78sLeeHmoUjW+PDutJw5/UYTaG9enxpY33CQS0X+gF
0zPvSHtjrWQdYbnC60YyxPENi2sOLhRuQHvL0hMlwEU6Ae3PvGLXZw06T02DvmJZcWzTFTK0sMGs
VgEJJygS0vvYTtwIl/lZnZXhGVcHsWSO0y/XrtX1aqAbPXX0xKV6Hb7/2t94OgiBOExxSmIRPC4F
a1k7OSKdRjI4AZvmttpeFc3YndmcT6241trmpY+O3A6q3vFGFlNbiUoWnn3rAtXxgeJAu6ylOl9P
XaF7vjIq2BNtCwta2C/oszfIsYy906krXweR7zks41u/m0+J0z1GZHRQRwegPIJ8PEf5tHc8+k1V
Xnz0srL7QxENm9gKaKBoQDmYJZ/Lxes1vzL0eBwzfjXRHu3WTbRygwbOO1PePp153AbWejC9bDz9
xvpTX+0sEaLVIia6YW/hoab9EcXqnUuiauZz44+Q5pKEfTEgmwzdTLd/vj9/TnZQbuDc+RG5aCZ3
8WNjLL0DZHIUkfeAUaqGfg5a23TWTXxSWXoGv+YenvHYrhnMoJLGhWxFXxwX8jl2U7OMDQdFstv8
TlvdrHb4/IhyneU6UUytKy8gEtOLNLLWKi9BAYxkZ9Va/jjMTXExVQZxq26nxSo6eEPclwKxddjG
Vv6UKFbTho5smodeGtH1mn6o+jl5zZwM4L/Qo7Ma92dPELYdzJLOhUTDth+IV4XQWubJfdp0Hlyk
tC+aUMkUaXIkrPTPVQIazVd7YjjCOa9yNyggBRKJGE/jcx1b8beU7NsnuYypG+qWUv4UwxJDFkZT
dlV4RfHFwIwEMQ1zhBJ6k6jUMBUWcTAKZJDblCwSiW46mn55U0sDl9aXXvl20qt2YFpQNW4tkH47
UpmVhg7s2I8+4cuqcbOkVv4racb6V5LQJoaTPOq7pGR12ikkJhFhAKQCTrJqDWgnG7RzlKoascuJ
SCEUWlCqKsuUommrSkhkFQ65Wyy0/RPs/ZrsNFAoP9O2naawYQm6GCKbINopSZBS4nJae3vefNO5
yfzD1NC4+0DZOXa8Pz+PK7DrlFnvOGu7i7y/Y2dVOQxjkqWGtVeE+mCYxNLi0t0peYPOG+pyQI3l
zE5w8jkyIlvNqsJAC0LO1eHnaKWWy97W2ntAPnJfLSQLhG2B8z4lOfyKbjNVMVWJiyvesV2cOfqd
LGssZS+KS6qMK/376EBC4FlXzJO27Au0rRtczkUgyuj5/Wf6xmcIR4+5xQ2cje44a5V9FK8vDaK9
UicOHh2mg982urg286S9U8vcPrPCvfWrUDVzFEVEDe/maLHGAOQ1biJVoGhLdYu3GmV+5J6D9705
Cq0HfVWQU7o5GmVMcq90R0/duzKXd1PtqQ8zWo4/PTLyhjBtonXEHnZ6HOmXOEHUkWv7xNDJalcR
O/fRco4PxE2eaXZwnIOlBweY7YDL6QotOZyG9EJHR1hC2RsdpYCw0IW8X6rGtn1bymK+GJxGJR/e
K9lrmz7DEE4vOPs1TChd/MaapnY/CKYSPPMl9WjVWpPjx4QJoD8ZzAiOZF6Jr84422qg5vlEdkVZ
IqbRp1h4aD6KxQnnuZ6+wwDXHd/C8P1IYAQI8U5d4G1nCZ3HDzo6ExbrpFZWTro3XxAXiNmGbrP2
pOSah85gjFRl0+sT/fBCL1bzOIw5/u9ZB7c9saOx23oyd78mIlM/IbXxvGDUFkMPU2ex0SZKCDG+
WiQdqnNDHwGuoZ54zgfTe1AUWwEibEtkGC4+2et2iAmLkUOaf5d1opHYxJSMAoPsyCwgnTaeg8qd
+It1WXYPNUD1ySdG2RP+BHLuQ0XC5ycdhuAnZWB18AF8qePOTkfDDQSyGgvJCSuHb5BlOZPiOdJy
jyAVLGEVT/UD7EMis+w250k3xDiGS4UVJTApqUGvBgM1BwIA2hDKtjPQXmWu862XHWT9qOlVlCBm
1GUfnFb2e92IYWjriJmWCx3R29oQRMbiLWMWE9GrsDdOUQq6O8UOP+wSY3S/0hVNM7+Y7OU+7az2
YzqZLfGYOAPqYDFVnDB9Ilk3M+zVZJQRV2WEE7EwT3E0TslFGwm1Dk1zNO8LkRTfSgTg3+s+SudA
dsZc7DQgK4/gS9s81IQ5LFsHx5TiNznFRb93DDT8Fs0DZGue1aP+mbT640SuDToia8keO61DFwzV
D66eOc2zBcbFqx9bRcZaiDbZA/egjfAD2iqJP2RiIdjG05Xie2/h7brRYixEGycfibN0lA5bD4Hs
U0j5dPkyA93EyAb5xo9kpENj5C5y2cWZ/UXSGSSQxRbuU9XK+QtSAvPrYivZZ82prcbnGxm0AEU6
IHgjkYXE1OikX5ukd6pA9BaJIdWQyDxk8wVNPtdKvFzrA8eknWF0cNYi6iv0Yjv8AX6XpOyji05+
UBAljtdvvQLJCgGhMYr1Ymky4SMPZ6sWrenOW1mAWC/55z+Zmel8ghsjn62ENwY9HbLAVhk9Tdla
TTzzBTje8DVaqj4NIoIZHnNXzB9jopv0sKu8+Cpt7aIMowV/AISKpPyW4kFkp5oNdQ5yu3FFwOIb
X2toBkl6y/X+C86I+ZrgVmi3c1O6eYDRhGS2VG04AEkp8WX27ax1m8JTzGzL7tzHQZrHNMmrtSb5
02wn9csCIYAfl+TTU0Of8qFUOj7b0lXIdIaFUW8tORTbIu74WAYUJJA1y9m9sRuF0IcCQ6BPKFyC
ZFYdkGsNtlTdHahC65qT4RCYcik+qv3Y577sRj0Jionvbq/mWE3JrJV94WNcSSkPYNxb38Do6Nc5
BhDinw2PRDqiBQBu0qcTpY8nEMnhJIcBwL4D5pMC3Kp7srwOX3akW9NjhLDR9qXbVcU+1yN1+mgV
bXxrJ2ZrbSqEAMK3qoryiU0zE/2blKi8aLZP+tb1Kusec/kAbmNQ0x4siC4f6FZ2JNp5fUcEX9Xf
prUyEPfjOvJJlFOUcQ3Ps9tyQMXpZ7lpsuLVa5QUaTMYjaIhi8pwQD7XX2LCA7Un2tlSQk2NGmvD
B5jYoTO69mOnk3RKQgcU061uMYZPMLr8NvdY8bYm24aD6xZ/X5BnlStXRJGyjU219OBaVkm5ma3J
w1mhK9p8WVgzssgK6GW6LdsoJyaO6wchQF1p/BpKBDhkpnq9F6RmqT+mUA0qmq5mufI4surjbC7L
sBvaJDH9jMPdvrEHyBVTuljkb4BJR8swdc3Wxok4BAAMNd7bQPYKfzJJ62QzuGIKNO7UP0s1re6m
0kAG2hVTtVdyvSJesLSZDmZcZGwGurdGj0d8xXRRas3yAQyYDXKXcZwDjU9n8t1RIKaFg5K2CFKd
0qIb0KZQC5PCJdEhHmxvY7ajd9O0janfJAvmKX8kAAs1o9S/6IUBhkWZelIsihoaTjh5djL7cV/E
YjNmTOLQ4sv5uNYIk/0YdeOAx7DRAZZkIE2g9ozJ1lzSHOmaK5WLwhgGd0fuOunqxNKhdezwbdoA
Kl39u6U3yeAPWjX8prK5fJpM9nXfG43xjgNvVmzEkBLFxy0rt7irsAqyzQinDcHXDu3WHklP2Sac
GR7GttLkVUIu648CQEyg1mWx/mEC963bd/PtjHoWfW3iwG30WEMKPpB2+hWTLnXHeb7POEekzsPY
dMnnRp/QrC5DRBZZYTr5rzE3jB9SmuJnIhf12nbLOrtIHEEEyqIo3X2vDqYRSAXCE3e0KdvMlPF+
x40d/XKpB6hgZypMxHk/anzU2lR9jGJZPHARWJ4Xx5x+NsXSd5ukU7MvMjbcInSxHT/HVqURM9wn
VfIhbSpksC6rfx8qc2YgBsEGaiB/tMQHJI2etqNETZRbliTcba0qNWEzcLypNoWbIdRUl2x2dgCJ
ljI0MSuTziUE5VO84OUdQBmglvTDO2797cBdyXanKCALILkiQX40AgTG5e9IDiqrSdGoCO3zWvnZ
mUJ7pMo0VxdRbdrKDploq2+6Ki9vplp6zsVg6+qzq0iv9YnspKipLlFd+kXj6R9Ksms4jXiD8o1t
PtH9AvzNrq0MZa/xhaJApnQ83hMGrphhMzTDtI1t0X9K4km7yxTMRewUilNtHTLLHzvXrJ0NOpAU
Hx02cb9gDSWTEwEyGDrh1sk+y0vtusiT0fWNcUov9Mqt2sBotI6EUCpvt7boEs83BOmZwQKGlCKB
0yxPvaoYn+dKEKs4yGV5VKFANYGa1AAsvaguvk4cpG443KQq37g7/F5cK1K3Nvdnh9qz1380Ck3m
m8F0M/aZZdWFJiSdehcEoKpFWDeLvEK9pjzlYxXH255lG9qbsjifmzKr68CKI8JGMBCycec4MK7U
cu4/pPXQEF6nCveqbTiw+AVIajyUBINQwpQNqMisKn6jtG+2WpOz/kDoAwjrqiMuxgrNtkMVhuR0
j2+kluM2Gy2phQjMcRabCIaxxqeo3EJC1YdvS+4q14oWIf9KY3O+FWIuHrR84S1A8kSqalUdWmeU
0rnB2tF2IzmDZavuyUsxmcYmP/KyNA3nvq9V1k+pi6QOojHS7G98PxnoaCoOLKNem/7AxT7cxZwc
4Vz3YMBYykfvC4lfThLYZdN86GkSVFgv8/ihG2Oj3XAU1yz+Unt6NBRgtdtJyadlS/mkGS+0TM/j
EApb8bnKMgLuTS/HvBhzLAfqxOEoZz3OsYaz0hR0PNpc/IA/wOnK7gz9nnJv3QY9ltg+GEq2zWCY
FvBWEi5RdLHSEb+zrYtkQ+6Rkl06egE9SiE0CX30QD06IIY1iwInjYWxJX01ehYG55wNKYDTB2+i
tRSQPa18RwPrXedjLz8gy6++J4a0P9d9r3+EhzGnPji3+fuA3RPBtKilsdXXuKB6DQ4SLxlC5ior
Hylvku/3kjIUE/93pb1kD7m42R1f2tw2Au8ln6inzRT7JAmRWxSnptL6/UueESJ/so3moYdb0Y8G
+lqv0PAm5ioMV1ha3l2TFdTDndGqP4nUlf0fXzvh0SNlgERq6at05vA6SNKubNpxcve2zTXEoZS4
tWNsF+9XBk6rgWs7HnAznpo3AhIGInQRnPcemxibkKZm5BriRbsoE76994c6LezgGNRhWuGrw9G6
2r1fVz3XQqBZLLO3t8ys3LnUWdEleupl2iEHV2JL/WWkfOXvD3paIsAlzsPhSELqGRfsw0HrpqhV
lrdozyIrg0YlVUgdxuZMtfy0voIIfFXWuVSsKBYcXd0TUeHKNaJon6Cqv62psD3TSED1KcvxqvXi
6Uw9541HiWEIiR218JUks/7nrwrIzThFpsUXtBfxQClerYvNSjH+DDd5CT2t06/qUXbnAI5vPUv0
NQbaKuoT9O0PR1WRuyXRmEWcsClVucCOdh7k1j8uiK0lEG7pkJ/J7FaPCmLzalY3yVraG0vxzCFx
3CSt+8cNOhonLypIymIg3o7r0qVKzZkSvLKX1GzDxdSVbVHY+Zny9xsfFwXF1SkIO4eG/1E3IcHp
RHkvUfaEuqVBp1vlFkdJcWEt1Y/3p/lbE+LVSMfqENVqSXmLGMlrjCKkjFJdxRSBBbQzt9w6Q49C
rcBzf2ben5aseIzMePYrup2oFQ9nBMKhtkk0HmMh0+hHNUTjD7NzZh8ThvkFfmG7BNKx28sOns+Z
afLGsyXHEEERDRsQ8Md1U0rE5oQq29ubVOTuDBBCPnZPbk69ap1pbb8x71dWGz+SvjEq3fVPefW1
kXKy2OXgRHui1qJt0bdL2E/2H/f1UJrR+gcmgCINf+7RKKmXoZOdTGWvVI0VkpG3YFEapov3J8ob
jw3HoYFwZ6Xsgj0//C2CDGs7ntP4MjL6IrBy09uUdWdc18Vk3r0/1Dq7D+uZqLAQahiMhjP9+A1F
VYnrL/I8fpAR71KPxIlJ2MbNbLgEnFUdeXMJ6EmFQ5yvRmYXvj/8yZpMkXSdm7T0UIG8aP5evzUV
PJXJcT/a9zFOFkJwW2LBhHlrzoBmBAnfu/fHO/kWGI9XuGruVMRMx0uKZvVlNkUkMRGCwNHdasxn
UdQpZqapD+1aiW4qvZBPmS3OoQ5P3uk68iopBDFAr/Y45CjzSqWvOjPaE9ae42JV5g/os7MgLmb5
9P6PPFln1qFWxoqzZjwgSz6cPj1HlbEa2Xgia56/5oVTbmVnt9tyjqlJCmqzeEeUc6yutx4tRxT2
b0AsyDaONp4u1zjdT6xusZZ/KTyWNYLCr7RheDbqfmOT5OjjqThHRT55rJToHdrfeAGQMznHBzDd
i1m758TaIyUFqx1RKi+4pPt8Xue67acrDJRK7pFgDuC8W8eOFweQiTJWurXvpoVT8CQXP2vOnoVO
P8jVvI3HAMGiTXTG0bfP/NFiXSzuvh2m7lsxJbrlFxm5OhtS3bOUXkFZPCwtDu8watUiuxi1zLx/
fwKd/tI1iI9OG2026HXHLRtp29w5u9bdAwi2vwxpmT4W+XwOu/HmKOjAWXrW5WdlBL3+9quh7Zsm
Gt39oLnDYyuT4UpT0unx/d/yRiAaLSG0I+yB/Bf6rcNh9JF2bh5xovXIo58CvbJLNaDJJ59F7Xo/
ujlrv6YYGHEgo3SkbmfM7i9B3+FbKr3kaaBsToV0nsrrhBLMj4oqRrZ14nLRQsPI7Y8Enru/Kcp1
Z46Pb0wExP7MAtBKVJ+PW6wjbRGXLrm7B2TY/HSqwVGAawHV9WuslGNAHQ+wF9dMJWFq4DfaEbES
/3r/6Z18Xs6aHcF0hKLITecYwNIPBLBTv1f2rSO0DWRhGfaFswITzHMZLW8OxVmA9hrLBz3Qw/c0
ZrqYG2tU9k4TuUSMw76YJYVYiNPnkhRPZt76qzjrAfdn3+FgdDiUTYmvAKOq7PVWNttEArswFrU6
s9e8NQq9YjqFJIKDjVpf8KsTCZCosmIXYkEkcDisFFFQQgDA9/4bemPZRVjGgZ+AxtWOeTSKtjTL
WFVxdqlKwNB50RaXGXT+K/AilO0rkW0oQY33eSLap/dHPn1hK4pzZTMgklmxJYe/zzZK9NSTzC6p
BZqXdGXRBvesu/R1oko5c5I8+RrWvYx7FJrZ9UZ1LMy3ud2rnNTzSyz9+g/YGp3nD5MtriZNgz1B
vb+pdgWpxw0d1H4iBJ6bhXvmWR+/USgMwIANA2fJujgf33qI48pnEj6VvRu34rZxJ3kT1Zlz5qe+
OQpHTM4oq6T1OMhhEeOgNBot5lKZ0tu2nporeO7nvoHjB8pvofqNOwb8Pm7R4zUeVSKm2nyILwcQ
GpmfLzaKOU4oLsiIqNjPMYnLcQ5tHS6XNm3l4p37Pt76C1anAXRe3FP00w/nT88mI5Yyiy8VW5Xf
sqFxnwxZidTP3D7XVo1N213YlK61MF8qKsV4MKJi82eTeH0MvE1eJjpQUjOONiHDTRDa65Gyz92u
oTmFDCn24xKUFuYHLz1jZj4+ma2jcZEFffcSFG8e7UV9ni3etKjxJaLZaptzvIfamUbpUywUvQ7b
Xouf5trT/lDosQ6LWgc9LWI5DMZHPxIuB/KjKIove4+VyNKX/sLFlPrw8ij/vwnq/66ODkPz1tiw
/+6Cuq2B7v+fm+8FXbMDouJ//uF/WaC8vzy0fdQLuQysx9d/W6B08y+O7esdgbTP1R/1b6Si/hdO
a7YRqnKrvGVdFP7lgNL/gvfLgZ9FGFYMgUh/BCw+Cr3gX2GgCVqrOpR3cEE564bzatvysiKpLAN8
CDbl8cpGH7Bra928mkTjbKA1acHEAnWjmJwP6yWdr8pxMUPNIRxV15X8Yirz37Ftyj86Dr38WWCc
sBXzvTo4eY72bBDdcrY7l/RjchRD1HTGZZEvzcaIp+kmRY2y1ZzECZs+HjdjfLZ4eCT8WcfnQMyl
nyIKlw1ss4ePpYQLq2vKsFzmDg3mgSSfkDYVimwv7yCJjP02zXq5H+pJobuRiiiwsjjbAH1ot5xy
K/S/wqGxVBATWdIAQUXb7ZW0KveLlZ4DVjKDXt3q//ljORUQMMpLxLlz+McWws1TCP7LZZfRR29S
ukFJ45GRoVTp5tUkv/u7VHBgY1tLff+pIPw9FrcESsUUVlHrH80XYdISLuZkuYwjO9m00K+2UZT2
n4q+WDZxqtEMSufsVmvNVV0UZ5/5V4w3U1pMZ2TBh4vrP3/IyqP4WxB9HPKXCuI8QNjOVE3mR6Up
vcCyZUNiQA41yo20K8MevTMngtMxSfti+0KuQnkLCfbhg/bSaqTZNEHyVIb8zsyqKnQ73QjIwK0+
EtqhP8WqE50pdZ2+XQblPMk1cS3wWkfLuVcRumHFurw0Vjp32s71RdGJYStIU7h4/+0enkXWZ0ql
AqDfWrmAin58KMewk7ZL2stLB2DThepVwzZWnOjMU3xhcB7OoXWANdocAsd6Fzx8jNAaJkOpJ+1S
shVf5Ui692qX1heYbeIQWNp8LRArXEm91Hb2PKXh+ma/C7Iyw4HG65c+LdydNaDkkrLp927BlUF1
4TK4Uk+2xZCQ+cpxJ/ry/tN540UghNWoesD3J4Zn/c9fLZVOxckochvtMteEFWaK6wRxh/lo8NC8
vD/UGy+CGYZhh1fOhfD4FtuV5UKab6pdGhNGv1kWJdmvxjm04ukoKyNV56S9/iZcK4c/CJHDbCWx
oV5KDNybLiaoUzTzOfvdm6NASmX/4zjNOfdwlCTV1Abej3rp5NGwBau70MfuzlWGXipqh5OKR8Ue
SrlGwx1yfMKdl8XUIjmpl3Y6QPdr5mj5Uco0Y2o1yofENiFwEgRbKxdSi5ERITgZN+3YeTeOV9dX
bkRLbmML1fyVVzCrqFyrowgB74rLuKY77FdxyRTrCfmDCDnAp/dtVyDHqCB8XvdSzIaPNKegG2pU
w9eBSuewMbxEXDZA7d2LOEcAHpbLQNpwp07JEmgzSDKyeHJn2lTF/NA0Rk9Uatn2FiqxMRm2VbfE
47at5ngvU3xc8NDGydi0Zk8hSsFJv7WqpX7o5sFE90CAextYfeOdU9ueLntshWtdYi25Ubk5WoGy
Se+6SaKqXCLt2cia4bM+ePIKAogWDOOoPJpUSYL3v4D133n0OqkQ43dZjRF81EdLbUxrA5joMF86
kVJtSVnuQ5QCblD/D3vntSu5saXpV2mcex7Qm8H0XDDJNNymvNMNUaUq0XsyaJ5+Pu4+Pa1kZm+i
+noEAZIAoSIZDEas+NdvQI4PaS/iy+vj3XlG7HZfAFSwae6c16vUIqc7KXueUSG8wy3qcX4XF7Xi
0krODqKy4EIZ1p4o/M6ngV6SvZB+L5DVtr8AJ5WuDOl1gdwxlfPcqC6mz5H3+qPd7ltr0w4DTkA+
JC7bR0vyORKdmKegr9rmPLdt+DGpizXrqi8+vD7U7Sza5B6C6ZirqhcF3PUsGrrkEKgaNsFUI+iF
7wbnsMGGbLSM7CmFUPBAmSztaMxvn2+VCPGEnCn4B29rNWdOJseatDborGY+42dWHXphDCdcXN69
/njrortelOs2CbjDvQ7s5aZTE1mxmtJCC1QyJAwX8y7JdKVWwFAoc9hDsERbMbsDkR/oaEw13Qsg
vP0qVi0URT94/4tHzfX8kklkG/A2miBJ4DtViSQO4F69T+61hYGxE/72VwhiCypJK5FDCITierzI
1iUdpU4btKVUnDsrd869UmLePxQCPqK8lw56+0GsN3MsQ6j81+bCZv2YKyQ4VHoRxKNTXLq80v1I
Eh9ff4u3k8ggvD4wJooPmojXDzVmRUEm21IE2IBBGy0b5Q19BYj2VEcXNqPRf3282/WJihizCi55
SCJAeq7Hk+CuyMKWiMbup+EQ5w0QfxtGXlnF8f9gKLA5YFUkJTiOrd/n30qUTGsnecQbMRhM45dG
pOs5aszIi+peP73+UC+twutvgYoUZPXFcX1FVK6HctagvEVPmmAEN/xhzQKpk0afFMA6JyovrCai
4Xr4iJqrVqrd+ANL6Af3yAz7TKXYO/9vd561W7NesXHywMVgU2Vg+6DXqWHUgZZb4bm35PEARtl5
KbzVY5TWyR8lGJ/3+5OwXrv4OlarizU86Gq+I6OS5YWHDkYjbs4xnpkQh+vlOSel4Isz5dWpog54
LGnZezh89JeoLbsHUWTy8fVfcmdNU/Koa+GD1fJN+0BMI2qZOG0DDGCLE5fXnCgc5XM4QXRYpnpn
tJfG6eblA2yteyFuTwjDNusMMYZea5QyAZf08TPQHkdjDRniZ0RFVbmFVOJwVo51/U4LF+ezkcaw
q1MK850XcOexdaBEdgzW4u3N1yYsyKnzZAxGzcLjWTXqB4JfoKNCr3+yzPqv355lEqTQJ2Ouxj+3
9gPjTFRD1IdDEFtYgSmEqHmxURMog7UCDie7kaTrTrSZ5pcDm/qcLZheyfXy0svElGGBC0J+O9uN
NGMO0CF0O+fnnU8H+xvbQBUP2IIByPUo1lhWmjpx65tSUlziwukuwrI+Sh0RmHP0ECrDXkVyb/1Q
JLAfAgjz6WzFbyl6FDWRMhGYaUL0xRgu7rQG6crLLDx9ycwTHo2VB42xe4KF5py6MNtrpdysHRaO
vjp5cRnluNl23Eo5Sc2k4rHrvK0e0gEtZdblihtyAp/axvr2+tq5eZcMB5RHlx+GDC2UDaIU4VPR
l7Ekgmge7fOcpqiRsvj3GCvc4NevAaoKbXm61tSz1++yUMlmlsiBDuyMHNO+0JH5OMseg+9mxbyM
Qi+NnvEqv9rwwXr0HZCYFEFEZaSfxnSBhx8n5Sm0mvRNozefnUrTd4622wMHSBs3E1BKTtO1JLl+
tDSWBgTC7Rj0GizvyKgVH2YCFFQRkxg7hGl6op0vc1ueVqmH075po1H+BV1g3rN0ubN0DGxIIMLB
dUJDvZnlXpfGRNXKMSjD0nER0tkXIrkaFMFde2mS+vf0ty9vFbyJWEFGpIrfOmTgSr4aUbJUpTlX
vzdgJc/NNAyXcFSFR0xkcilRHO5gEDdlC93StXOKypKuEbf36/kecE/rAbQnas3U9IwaGxFTnT4U
cd0eX/807o3Elgq2BagC+LQ5RWWlcESvtXKgzDlmdyO3YCj6uV/3pNS+PtSNDRfnIy1M6mf2b8hd
2wopjbRhnpUcmGBeNX9arMVncqvUYwxB4iRQan20s1h9CCtDPrYOue1SkutvgW7hWQ+tcn7991w/
OrxUeox041a3JY0c1i0rIlFGnVTjOEYnZykeRYS1jqL6dW2mO7X8/aHWfvvq38pf1+8TkkmB7CKK
A+jiFlaQeEQ3Yfy96JPk9PpDbbb3fz0VJe96otDVtDZDZYmR6k5VMJQ04AvaLfEXGWNUt5BN1PQY
oXmIe4YgxFumaMP5bM9O+/b133C93f7nTyArElhLpwe2qQeLJU1JgWdiJxQWZy438qnn1N5ZTndG
oeTCjI7zmS3d2NRBehqT94gtZABd45fTqKmPXK3em869UTbbTYmTvgxDkIaeZM7fZoIfT/PS6ccZ
SY1vhJgqpooZPZiRZh6bpNcOjWJmwRzOX81R+mCT+B00djJ6vz3D3KJWtud6WYMCdr2e5E4uxIB4
JUjrzjlizs56gkK4g35fHzUv79GgCU8fTMVT9KbSjAx43GQDxIHCZe1YiWrwmvq90TzrRa1jWmRa
O69UvfOdwFKirQBcAvtzGzhDM27oS0NO6NqSXIBclCwWpekPoHV40TTKcGrjQnGVyVA85HAkOGpl
/i5S6uRpmboM6+Ck8mOe6FOeSdFpGa2ekG1FeIlJCJakDAR6D0hzOV8yP0YLRIbhTEwAxll/oMbb
Izzf+xgRIkB4JlgJrGlb57RTtFS9YyfBnIyLPy6yfRjsVVuaO8VxkFPljNc+5vxVpD8JXe68hcbC
Tif83pwaUMhBaVDuGzfONaXUdEqWEx0/K+N5dYXD5yhCX2lU0e8PBVEdJxXYPvitbY2Jmz6rME1R
ELvQczvJxvTn6int122yxw+581BrWBWcS1YL5bl6/QFgEzygQLfSAKFY85zVpfxHMtlkbDi98F//
1l5O+P+6Cbx8BjATVtocFBEMajYbzdSzz85VmgZ2RaXhTiYJ2n/qhRz+yCWtrR4LvCQOcmInNXH2
dam58AzqlkRnReAI5GgloSKshPzQCT2yEJl1Az+Uu+SnZGzCx1KfGtTSErm6R1WN6jeCGFtsVLuG
2FAsViQU+kaI2xB7ubVe7PI3Xajjqq23AvplWEzF8xIuX8M8zuEPp3ZDfElbjd9kuwhjt1MX7oNK
Mxefo7k23aSMEXMmTZ+8DbMBE7UGOlY49BPq4NrUj5Vchr49ZPnZjmVxEZgsfFryVnu2nUT/ZDdd
R2Rt5+hQMlsp0V07KZZvJCZEqNw7ufpKJmr7ue2sDCWUEnb0KTtt0fx54rhwpaYfzUOq5QgLk3SJ
Gzy7nbF2W6GJR0doQOkYlbX9eUpUOztGIsJPpcwW7YtqpiT+qVpq7BxW1/Xk+nZf8N/VM4x/hbZ4
vZJmRDK2DP86kIRVEDPSzV7XQoabJfk5Qeu7s8XdLlzOOwwJQSxWhH0LO5PuOUdpphRBV1YjfnCZ
7YcpMSroIJWdoW6PLoZCmQK1fQWK1M1NoVjasGlrswgEsplja+TkYlTlz9e/jhufOyYNmBMRDFgM
3+MWYWv1ylzjTAui1O3EVxTmD+154ZvV7OVK+gbhtjdmUxpURaV4QhbJc6V6NjrSLupQ8A0pXUME
Sa//rBej8OuPlu91defHNwc6znYr6vVsbhD7lYGO2kn2YMb3HhHR5ftwSgr4VjHXxOdMae2E/CBt
QFwwZc7jVA3SdKR8TeBGSaX+tcXIKD+ZRmnZXObUVnVLrZbio4IEtXSGuXXjVQfoArnN3QFWBhtE
hTyUJJMaa2S37sceWbumiZOqCxHIEEcLr5IQ8XmEuYTxR6VY8iddnSKf5Eu0pU65bh7FqFY/0XT3
4TGmCdOeykpITy3sLKxic2TkalFkqO2Urv2o62J+rCYbh4/VRWJBl12SWzHWUEfR8tBRc+Wqy74i
dib8h4+8Fac4koq9ttGNayM3YE0z2A11LvdrMtb1p1S3IwWp2bbBJOzmiH1TemxLU7rEdtU/SI0q
+VpoAgtWSCh7rE0eZVEPp3BupIA8j/4yY65Su6Yk9z4YKlkpWYfsPTbEE7eU1K9lkR1I/Mzf62OM
98lY7m31Lxy061VDIwgi6dr64hDbmvgrajbnGp4KwVR1xluEeep7CMvJxcn10HgrpDL2R2JpzPeD
nlBOO+VqUu9IUXZEEZsduSWrCGYH+mS8eSjLHrw+0Xh9rc/+kstEdS74s0uitXh3qC9SVxmy8peF
J4X2xWy6mbAFDT85T4lVUgQEAaB75N/bom4VyMEz4OaDemH7vTqdsJze7oCptbDyozmbz6FMtDSO
EQQuC7k81plh79SrLwq864ldSVjcMEntXHm6m70osQQdvjwtg4opekzFNJ9GGNdenCnxU89+4ZFg
HHlLJSEpnQxPtFn/duia3CcpILoQtWS5ltqVj5JMmHgbKzInm0n41+vbxoZ7tJ4GoLgQn/C9WoG/
rXakbYWqLSG72ZgodUn2eN4SWi7PvtzmJl3jXvP1nOw+ZSr0M2Jwm4oDe95Oq8jLdLA6iLk4H40w
wbCoMpejCB2TKBy1OuNLsJeZeO9VMq20iQBiVzHW9fdmA55NTh+VcI8W+dCPsslha4tjVda2r+b5
6NUh3pY7U3R7YDJFOFkBGqwfyfbuYXJrLFD1F0E7zfWJ1yG9oIZnW2jSSV8M+5LpGH6kI/HWugjl
E4YzyYsdSoQTUN8eiTpSHs1IwdmLjdGzxyo77fzGdafZLDec0HHXhi3ETmRtSraqlbEhyZI6iDmQ
zlLctpBcCQYPjWI5oIduvZ4ELFEcqin5mpl74bF3pmi1/oU6RG7fbXUaNTHRlXZcB/oMZU1R8vlp
zFrrYV7qEAnistcqfDnKt88LpMJ1H80TbI/NSkDorU+o45pAx7ARZ6s01sLDWCtEWy6UP590lQCh
Qxzl4RsFKcbntKvtt70+Vm8lnAmoGutRPFXdsHyP4kX5rihZ2B861hyuzKn8JyBVPB0Mq+tnV2tt
6fPactkD9jbw0Mu3B8OLdg5Yo0VzcPPSiq7LsmXQywATFf2kNxDM+0qbnpfSeoOTR32mkrPeJYXz
CGf7Tx7D6gmYyk1/GLt65+p77w3+/bdsLthGUXRLH7YluySGW9gerDr4wvGUMrJPEJX2UN3bspDV
AiULFRBJDTcXxbmWaMjKPLuhl8qR9BgRqHJB5GVc9TstB+3es3HFBkUFIYJJtzmmCSuR0zBUGKvI
NH+pmupxhoV66KR+PEx1Kp41uxv8vAVxkzry8yAUlIckNnTSEsPxWWuW/FiMYw81BDsWe8H6oKVP
V2HwGAUUFsYTdUp+tvJhPC6cB2eieHS/ny1jjQKya3KztCk/liqxc1gf/ZQxbroIkrI/l2pdH3Qz
mzxMi75FzhweTf7tUI622JmG2+rYgEm4Zn2w1yNR2cyCRJe7UUKrDOoutlyp75iKPtlTb995ryRr
othgObM8t1K9XtLGuGicMli6zDk1qMn8qCHyKtGtZmfTuzcUoSXrm6UMp+i9Pg1W3xtplJoq0KJO
OstltPiMtARDuBsWemcFrVR+bkbgmTKkk+uh5LlcRKybhNINJqwPUyLpLalHF9HA6NlZuadfu/do
0KOBwuH+rZbg1+O1LfzOpW1rHKBWKrRZTN4UUVcNCFD+BxUANq2Oxt86JgYrMfzvbXxnKIYyI6Mw
KMsyDKpO6Y74Ko5vhGyK4zDkyrEaB+epbLrl0Gcg2Dr+zCtVuXwI26olbxEfRrcvOyjBkWV6ojZ7
3N0KgWSSpu3rB92diUGow0USVszaeN8sYpMui2pkRhMQS954otEMf0LUeFRDVeyI9+/AIGBD2MCx
D9E7pAN7PTF6HWKtZUpdUMxqOh21prFSsOS4/2aLVHk/myRx4Ytn5OFBjSajOjTWgoWfJKoaXzzs
ih+MHuO1JTasyzKa0kHRm/ZHWHXTX2EyWN+GTKnesEl+Hqdm+pHq49LCpzasryM3Fs2vLPIB/NYm
DJQkalnBimrqzIdI4l43CozsCElTAiJClT/ZrRUkbbOdNod0mJOvkhjtX5JIuInqy/St5Yvn/O8t
lZq7lzhFJnv2dEDb1BMRcnN3dOLoQchq9x76FrZQOGoRZi8nYfgrwaSpcpW5SqCSEAlP4GnclEeB
GivBW0kUD4NiNpiLUz8+qpGjf1iSpTDcZUpq38JZmATjrmmUo4Gh46VNZiiNcThX8snOGmPG9jZ+
147J8raLFOuDLPUgPRaoTuJVmEgXO/dkepO8tk3pgAMJJqj0Rs01Jub6tdL+scIi6sd128hsV1Yw
F6OPt4wKuke1TNyWjM4TxqhOju8ilDkf4yPzGYonRE5qKudSC8dsn7VYqmWX9k5oXJiR4jGvRvbU
ajSnj6FVF9z5CxmPZ7WjwvBVvMCcpx5q3HlsLeODGPtudbY1p78kXQ8fyjltkw9Jl9o/55n5dWv+
WlyzWFh+ffVhbsM+Qz3UTz/UVNF/DbNujF5rOCFQlyoE7nFz+ymtjG46OazJD3SY4IsWWa1BmeBG
J03od9iwLOlLy4LvsTosP6ppJisHbcA+4rDWUB9lPQfPm1VzWtyqRJ1KSWTN/qib3Y+ltdP0yJ1V
Lk6lmujDscKz8ux0uZy6K1muAbdr1I6r7myYZ9msOsuVjTjr3AXd9PvKUIaPYRS5vdqFnt1HyzFe
KIbdSpLB6XLMtsiR6+0REg8gw5ue0HXs5CTzQUuJh3WLxYkIDg5x6sHFEnUcFGxz7H0yKJPoiIDL
wGuxJqQSqiNuY9lELi236UI9W/j9jO5I8rDu0iHrH0SEr6kbY3H+uW1xn3IlQjB/KHkq47XJuj6K
DOu9Aw4h1WNsl/ni6loTrhBDOn2UCIcWR1D66GNrF4hme0F89CUDTPwU5dX8XcLBnviGWGZL0GOY
BlVtIuuOW6N6n6bt6mEl5TKujuEaFkwFqyYukSv9M/7L0s8RA0Qbgks5fhlyvX3rRFX4ccbn748i
zBV4v7kgfdYJhzdmG4MISFKMp12NCiF21UHgidaDg+DfpWBf96xwIRgOeFKZkYt3X+Ob2EvLfmFl
0qM+hPJDNU/igr/ckvhJFZFjanPp/yDAI/mDxsmsDlGvJ6WbDJUpDnnTlhHe70NmHcpl1O2j2tql
5Zq16oiDXFR4mxl9dExiTCFdYAH5jwGWCysAy3peVVcTuBDRte4PFFQFDtYK27kbwajHAg/i36+p
HbVPFW8pwSRtqOiHpMqouFaK5tWPQjytD1JTql/sanR+wWIJVc+U2hbVfGeHpodltwb6Fc1Oep5D
qTlMhJIEUQKH2MWXQWs97AgrPi/JkJ/M0Y7cCh7I+6QDqAya0SrCg92Y9TfahfjedVmT4HdaRSUZ
5MDP33Uyp910tqRn0YYqmOlQ12Bt5D2609gK3KlXCykSO6RJJQo4k39C0IC5Y80YPeNJZvVvozo1
1dMgLTG/cC7bp4lwW8LkLI3UDHmIos/t2OTeQGhMfyKkofqaajBSDuWs9PQ3l8lsv1s5m9ahtuRI
Y/00auHXgMiGn2Fhd7DwZYzc1YfJV82KmIIO69UKYzLs0txO5NbHYVgcgzi5NqTSbPU8mJSyE+6A
5Zvum0q0jK5NxsrTUjQ1Zp1qJCVHJ5Qb9ZSo3Jb6buG0w3UQ985OM7OMi5a+fJBXOz1HmKxse1QH
mgB43weGHaML7Kv6p4PX65HQ+qk5Dk06jPi5z+EXYaRNfrTrOf2cK/X8fsJl66CZffowjdxbXQoJ
J3I1Kyavx+zSUfNSqMXvy8hi8eSkH3gibLJ3pRJybgg9Fu/muWUtRqsn69mxwuVtwruFOs8mx/9g
JH8oI7adiRwvD0a7FPA3Gii2bA+lOR3W2LDoScnH8G3GXBXshWxdTteL79VY4eRhzQqwcmxOjo93
oqa7jhx3+UleiNs94IuaP2IZsahngsQrYppkqyu9wogddLCAZ87FlLP62Uknqzs4k90WXiuM+Lsk
9VHtTfirE76Mg73hWYAyHyeFsyZ2+YAyh6iHGGSz7lPMGzXgmvE44H74MzJzYq5CKiDXXuaGGcP2
ffBfr7vuFMBctFG0I3fQQL03ddc0lKGipDAehzh8grRffsXF75fGbfSi43W7U5PeVnmoZQF5ECPS
7qWZeH1E22mdZvlsdYEga+KCZbMBvzpOj5Pa7aVK3CkH1oYlvTVCdxDPbhVPTaSXkzCiPnC6MTxh
nx2d55oyNi718Cy3HKecGuIiQ909kqRDwvTc9SfMOOVjJoBHh6ZxfmihM/zx+ozf6TNwz+AjXW2w
QGe3uKXAzUjQRxiCusiGDxiAlzbR73TB/SlG+S+isPuKyhmvQIGVVeTWgzP8KuaGt1FxJBJOT17C
wOEOP8rHPFJmYwv1vRTYOx1fuoRMHRcwFF03Yu9WVmc5kts+EGU6XkajDf2Sds9Bl0f1IGqNrHjd
TE+TYAXHPQpKaQw/7UzVivZcl3Srrf2qGIGdufa3rtdL5KgijAalD5pIKT4XMGMx2OZI/9FFCPib
lJ3JDRfV/Ix4M/mULq1l+5D/4hNWmPWeF9ydF4c1Lu+MJhGyWfr6179G6RWnNfW5AdqoVTfEtBZj
nsgOMFhML43EmzGxLHbnaNKOShmy9S9L5psCV2ph2OGxTsSDVmjzGZm6+fP1qbqHhazhmHCpAHzX
QOrrH2eEBqQ92pZBNHGv9iYorW/CTsLgVxk1IzAWmWhLO8meYd0NYHcFlOp4UjxnWJCrlKb6FDad
9Gdjs+foEIFd4kSqJ2r/gbKvoY0owqI+DW3ERjSV5vsqKybkTOxPlT/SHvwUR1GZHrpysb+XUg3L
Abva0oWIZz62hNz91Jc2+7ioRhOfhrBN/hiaaXlT5gnZPEM3sIW/PiF3NrZVQ8JbQoVIrMxmPnK5
sedRgFxOCnmITSX4eDTzEHXtY5E2xg5kseIE1wt1tUQAczctGqLwPa5nPxswSy8quwpKroouXFNU
xXPmg5K8xUL5AVre29cfb/0DbwYEkEHUhF8IQu7rAUEw4yoZsjoIMdl5UrWh9FKl64+4gBXeYlqN
ryAYCOZsAdhfevPy+vB37lrQNldRFfcsAhTWjf5vEgFJmFEiSXnN846dB8AWe5jOtzsI/e1xQQuO
9Ac0I5Db5K0HAVa5kzxIIXT8qhQHqZt1fylB6W05nXaWyzpf2/lE9QxdR8fSjEjR6wfqBj2CFsRQ
5RISypI55tFGH+ZqM3IOetJ/tBKS2TLTxc6LvLdy1jwiRCTwJEElrgdGQxLioSzVgQOj7USU8xx0
i5D9frQd6obFea7l3fbgS1zg9ePSTl6FulDQMQnY8ogbROtDhkYtiJxl+mSUPWPV7fTB0aAWuXGi
96tblZZwAdAWHa5FJ2fyifS6efSqqlGDcSyhIBnqAGs+6x1uvIlu/jVrNZUneEdvQN9nCNceSpo5
IanmuStlsdzTVEbx9FEfBgJRZFNPMm9W5Z7biWGvjrez7U02ID5EdXtyNa2o/5A7PUfCR7jJQ1LS
n8IavurfYjaO74cqtIe2gwLNfqUmi488sv6aJbb6rdaMqfdaTa4/Al3qf8hhD7NjaOZMUAzm0+dm
GKzOVYlWwEi+qM3B7eFQcX/Olqg7t22n/pTCOWnPr386ty+cc99BIk01BeK1FZqFjeQsosqGAJJ3
e9Ho7B81ATRfycm7RpIzd+z1b68PuWE9rw2JtYGDKxN6KA70rT1Mr0F7K5dhCJoEEgO2QjN5I0U6
nvBNJT5hwSYZyHV5MgrQ7MjO7Ye5FJlrxaX89fWfcrtx8EsAafBfo5/lKBtQcr3XD5PUDcGStNKp
pFPiYtcidjaO282f/jwaqZWiCia0ZR0viQSjJ2YUM5f0IKmm1nOKFCVCpsPmqgd9B1K8O55JYB9t
D7RZW52pTThtBRtpCMrOmDxJn5YzZmHTU6ok6pkVu2cMeG8WKaRX8SAEWfas600DEjuk7U4fAgH/
mOuGkxwaLVePv/+u0OrSHWWvgDO/GaWzYEwWJGkE84igIqqBWrgf7uHUt5s87+pFBbByxIHhr5+F
VviipoTEBmNL0yJV5u5EbpI42biu7TzQnU8PZSkeTpxa8Iq3ey0Z3qQf9rYI2gUSJbpL+dizawTm
VNmADWTrmLUh7SDbt2uDfglyMihZKwd1q3ICKic8MB2HQCYJ4BI5pU3tBAkg7NTyGHOD3TlQbueT
8fClhQAG44sD9Ho+oy6NCLKAGA3G+9OCXejGRlP5/Zqs87vrA/8OGkIvq5AqZHN3hAYHgKmjm8qG
MDrOUpW7jjKU/uujvGxO12fVfxDASUmmlpO3Z1WESjadnIlh1KT+mQgyWvSonU/0iWWvgKZxGgql
ee7KJHtcWlN6p9ekKqRJmn6XojQ5dpkh+Rh7h76sjZ+GwtY8LJw0r4vj6VgR4wPbSY0vWSOHRL2A
sxQiq97nBUDuzoTdrj9KTIqllaC3uqxsPqhkEM6S5TyJ3XXm29lcVb5lI7m0FLIA/5jkKNnV3ld8
WylimwBHD60LdBA8J67Xg9CbvNWldAxkDcMJDuLxoOCE7rZJ+Emrckhr+ZIdrXTNLqrUPa3xndVI
UwcDNrqGMgke6vXoJqhKZwp7DKSBbJDBTDQApyo6pq1wdg7Wu0PRPaLptRLJtyzBTNYKFPnFFHQ2
LBW9wa0flauJjG/cI9NvzEfWA5Ve1drEW4VnKw3y+rEMXSAQzOIpmDoMFWICRc7dpEqeKudmMFFw
eRqOvweoQJI7CvVz3kvkthqTqXwCUq4+DlYChkXt8WZYSa2hPMg0KbhrDU3+0UF95Wvg3qfXv6T1
y998SBjAYEUqy9yqb8RjpVBxbEubCVlXSpcJi9X3czE/INOLHhwnR3aAoP9sxlGy06G+s+4Rk+FK
yQZIovrWtY2MihSEr5+CeDGEJ/czcYwRWKm9fgE4bmierJmN9/rT3tl3qXBpJ+p4+6wM1etXZM4Q
H8IaG3pcEYxzTEykF3fkWiRaZR0F7ho7490BTDjHaLaiZDAtHP43awLSct9IRTOAB7TzoeWrgGtV
lN5sAuMTtZqcpwFSGOEhFS67svk+n8dq5xtYd5DrV7yymSwIFqvtIIYb1w8NjimB4bElg5vIvpLK
khuFVblzjt4hwdlcO1e9CxcF6srNozpFTAun0Meg0JZfiFk7YkdgJpEgrHrVZDaX2RiP2DTPZ9Mu
lYeomB2qlLz3baxLjraUaKdqyMldS+r3Wpukbxwz2jt3b7cDuLxkAPPzoPOyAK6nojfDJaeJMwWQ
YnNwCJCsxRh+rIk2O8v73kjMOtoSuD54sG32OOKMyD3IhymobUokbqzY7GYWfbZKV3cW2b2h4Diz
sGVuDjfSfJAdJe7zCRcOclfcgnReFxPl/GCZ3IBe/35ul9LKG0CZSFwu6PC2I59zMtpTL0/BYgpM
yEIpu5CK97sxFRyEjMIgXAso17c3k7KTlaWbLbYGtshASekISYmYTmYbLv7rD3QHEX6x3cA+iLqF
2/bmPY22QdxR3SxBB3AqKlsG8i3Ss1Jb6rMWjfnnthvnB9OcJY8NvvFTshV9+GH6kxKq8QdbiT8J
9EI/X/9Zd14p+ldEmVwHqde2KmYOASNjXmWQHMfxwxn8phtH+ygx8s4M3HmlUOipO9imoLBujQa6
Omu6MRvloG0jx1ML8LqIlJqdUW43XsTQDj4CHJCrw8j6wH/DhvoRl5g6WWRkOmV9sGQjOpq980vO
y4l4H2nPf+qmvmHq0LSsSB+b7g3wyXurbBiKfH000i+6gsm1g//8Wa9CSFtdDZXfKvqHOIkXmlh4
yb3++m654oxP/Aj4DbYuq0Lh+nFrUhKWUkrmIJn73O/IKDpb0xJ/a1RTaG6W6CEt7Fz16R2bZ6nI
pZOkm/PFEpL+TOyZ7eVk0XiSFdtHwNTo2al74U19jOP6APclNMLpEGmlBAsyUQ9zS2/15Qn+vwfn
PxAacRauB/V/b8H55VfX/9vz0H3/t4+/CJ/63n6/MuL8f3/Cv3w4FeefrDVKGXyJIDeup8rIn/Dv
/0C8+E9qzrWfwzlApATLfu0pxv/+D8n+J1iEvhqJUwXTiVo/if904nT+CT2fExTUQKfFAT7zj//z
v/+c/lf0q3r7Hyd7t/nvvzsrbistwB2wduBEqjuLsntz/odhb2MAJSCuOAkc/SKk2M8W/TiwH7i4
PkDeR+zh/W3C/vUj/j7o+kH/veh4GdSRqbW4ea6qx+svYOwoB+hQGhfq7/nUztlf0JwmP06qdudM
uj8S3TM2MBuofXO37ao5DG24YRfVonNN3s+XQXeED3Pc/E0EaUXJWDrsx+D5tPLXX/K3TSwB/1IG
HUk+ShPJJ2JW+q4XTkhXsGVgVWtPr8/hnRcHuVsFVKdSgfu8wcWyfOiMgt7JpdaN6TAj18pc/Eoj
P+H6/Ui5+JxWjvTp9UG3OzV2HasxNhgP61lBO379kIMVpUPeZOGlimX25rxOgrFWo4NW68ohDUW0
M6nb8+dlPOSUOv59LNBts7kaJ0ngWcF4YLuXGssQr8ySXV7/vWF4fzR/Vtzqxk9nJnSS3IyFaKiu
FpfQlP5qiua7nCz4ilol/A3Tjg5NPaNpCdvnJaqzQOvb5jEvsupkLIt8Uitn/E2IkGfn5/CB00uF
pLt9wWtrzlT7Igo00cVYZYv4DLOm8yCSJ3wq6V72+U23ch3wxcWHDg3WbVtVudwlKq53XRSQzdZW
R6GsbtHRkHX1QYGfYT6G+Wy8nXs5+W7VSmG6cucY5O0tsRUhCFFNyZvzKf8ZptFSH0gah3PTxRDI
/dcX4e3KB8NE/s2FQsVUfKvqTYZUUnCBigO5qGVP6KNKGYgjmmEOxcFaZuVCEMPOjnWz8KlL0HhR
pvAqaEFuvjajKSzJsCbzEi3Jn0MxPiKX+eFk1l9xHO6JF7f1CQ1IxuK2h0yJhouzGQvfRQPnRtO8
zHRV302ShaAsDLsTFRIoVa0RuOU42QHA2vLMpY1/95tbh8eKELIFMCTL7/obJ3V4NlSJRx0L2NNO
kzegEn1zfP0lvohLr84AnKs443ALxzIM85jNjRDs1uKeqTqXfEzygFwlNT+IkE3WVRW4hEZhm0Qo
QlWqD0g5518VqgdsgtrJ/FEbWvXDJrzxS07L6CmWpuK7KjKAbYijxGROsDFUt+lk8yQ52K65ql1w
l8vLufb6yH5j5WpJqHNiKZ+dOInio5zlYvBsM5OeMxpajQ+4Yf0gQdL8mZSK/GmeO67EeUWKMU0e
/WMRTtapstbYXquE9tcpfWqdLXJ088OoV612xg5LPuN/thD400iRRmjyaJ/U/8vemSzHrWxZ9lfS
aly4htYBmFVNgIhAsBMpiRRFTmC8lAQ4+r77+lqgdOspgkxG6lkOalCTl/kaXQgIh+P4OXuvHeZL
fKZYJEJfjmEbLV7ejflNPdBO9AeM0tf6GFp3w4wgzg+NZEasoC7Wxi2YNvkIR8ecnMzJjjYZQpXL
lGg3pGpVGDaehgcq9Rnit+dhGaM6lpP6Q9dL2/KSrIwJU55zk+6nVinfYUsSqqu78SBRdyXdp9xq
nOqsF8soP3RqbW+SuI1IxNW1j65IH8pGBHNot72nz0vxhBA5+nsckTCgMzYqb1abWmwqbRnWcFZd
/ZItevhghQv6k7E1jQC+0YR4cLVre+RLh/exbg13RTsN6GjcSZ745r9+V/kQg2wghAzGJWqewwUM
nQJARqaSB+bE0zXi1mE7dLpyKeKEb6RdW9oJx8z61TtcylyQF0W32CJe63OIvtDpYxBAptG0OgMD
zNbo4gDNTOWPs87WPiKNGuA/mGWQKxzem0HiuDbPLm/NhHByaoeR9G0H9bXRdye2vFfb7Hqp1dJK
13KV2B89xpoRPYUtL6iCMmY31QLKR5wTCSrD7iMz2nlPbsuX93eFV24ujmSoL14IxGAjcM4c3t/E
c+w4yMfni5pOu7gczSASRQ4RLGOzkzoyZJOj0bAwNeg0td1XpUmkVzLXN8wxGUqavX4xhOiyTKvV
NnkxSOiYhfDstu43hTNTi1mwAiTcrRPP6wVydbgM+LtzTqapw6ES9MXh311JbebJQyHP9Ykk9XpI
BqBCq2jc6GA3W7Wftrl7o1p574+ZFTJEsj93+pSd5+k0bKMcPlc5JOVTIrGM5xF+mQZOPs4ZxM92
L4atmYyog8hK+0wCd4iQHD02AiPG2zCF9nNbZfcYaBVfrlXD+z/Muq6O7w1NHCBqnZ+FpXd4bxHN
iGU2Z3nODjtwMq3nbVkijn//Kq9fpBVsRZVu0PMFcHPUb6HCKpbFNuS55jTzbjbANTqNITep1Vpn
71/qpVQ9uiNeVs56tF8Zwx6bXWZzRP07kk6LEi72RzHk28Zywdmo6JV4c+VWpfTz3Gqa6EZAL5lS
HerqEiY7CmPV7xF4bsEsdluqZbo+Smdu+fD0KFxlHCxqa21HTjcs2oHWOb6kTeiEeAgTFXR9O1s+
Z8Mekn2ZBHqm54EZm2S7al0bxNSE32OtftST0N4qDs77ZixPFr1rO/P3B0Bjn8kSDW/mLOCKjule
IMVVTnswEtBaO99ZQfh9EWujth4QtfYsSEznMKOrkKj7EgC9D6uKgBS0vO3nsrHpV/7hT7IOWDnT
rl1Rmjz2cboisCHQGdCSzmOdDPpEFmLbqQjLpDv8yCLa5EpY8P2LCCTuhk9O2OubTqOr6a650xSM
8xlZxsm2bM2UxPFF209m1W9JQ5l9ndE0fpxYEHmO3j11VWUrxznauZUqg6mgvFpsfJ1pu6BL7Np2
464SEbclxitqctVT8OaThdZGO5KGF18Zq1P19/Hix90FpWZV2PCpMOlOHb5iGGPaMHaN9Hzsurup
Q/qXNyVQkqk85Xzhgb767dcePARRDSzZOv46vJYmzdYuRQdEiYZ6zGyFinozMf/13QbFfFC2Kpic
yMgBEAENJ2B5mCzlU1F2veHBRdJTT06rkJ5AgnDcm804i50a6Wm3VfiNL7NCbSZfVVoIizNR3cOm
0mdbQxtkz4nfoxv87OLBQA4prKQiQzoSDwsnO+mTrdTbm9pVP2gZKcWbsolTzut9OT+GSR5+FGFS
38aFM96OEe0thOBEhG/q3ipvXWeKkKsXafmAC99JPOaqNX4lKxGF3xlJfV8kes8fLjqVw2oWXla6
LW8cOWuSoRKRbIi3GqSQQG3MqyavEPtUuUwMH5yNCQQjVPn8xf1kPUxw2R5zq2uwEhDEXexMaAce
WbVpto0dI+XcpHfOjZ20rlfXdQNdQyNkvRZN1vpyKmqvrIV7tXR5VfoukrHvIo3F5Vwb9eTprp3d
R8gc3J1q9sudkZoFBlOzrs9kUkQfF8UsLwkpJwF7zFX7sRSFYWxtKt3UW+YKvAamp5r9xiVfpcR3
7XrkNOpb7Oux8FykC3e5PU5/a6oyfDKNFN8REqvHWigX4D8mr44W80Ltc0roglBuoD3JeUzq+h2b
thS+gaeAuA/VzPPN3CnZdTMZ1rdRa1AizWak/XAms/3Obsl3jvVejH7r1MpjpdTGNZW9mDYjaXgY
nAk7AVcNAcbcTIXClHlCrn/vaFX2FIPG2aLMKs2NY41pe1UPYrhYjFaZPQSOm4EU8C9uUZY/kikm
3biNnPGjVRdl7tdt5+R42Qy0GSSEMPOYSAbxlj42SGGTRL+zx9VgkHOzMDakzbsPWm3ke7Lj7U2I
JJJfrAnNeRPPanupyURNd3NZokyLdVPJd5UyA29JiAFB9tZoE4IwPAq612OacvywRBPXq6Ce/aQY
i8xrIQFPrAxgkX4ftgtLikgzHz+wtjfaWdJQLyiPmeVKJLOOaKOPdadprILexkYpIDttK3Nsvhhp
JhUkKFHRb6VVtdW2ndmlm6FVkK8pfRaUYVj3Puak4W5W0OWjKu46z2j6qPHpRJvVJuxt66PT40YY
akW2BAcoLA5Ig6AqR+mK+9DW5ORlKBevmpgKOtHLefCQLOsVAuA5QaFcaz0FRxQZqHCxpySe4lbG
o85nIoIehAFrU3YF8rBWT+tikxWd8qkx8vgjB97pQRb6kHnIspPvfWisL9zoiNtOl/XIKU9Hv9cS
tfMJMIz9JZ+m8ElLzeqSTYKnUGRlo3glBPQCPP7c3GdVnXzOeW0vokX/yHHPWlXMQruMqljJvWky
02dkotoWDoz8wXILsYj2OVy0qVMEyaFFiYixVQh5IzYvUtBSZq67WfQ2+R4lIv9ht2xX2xmz2icL
wMXd1KqATQtXbT9IawmfFqVzP9IumM6cUSrabhja/BlpscKS1zUJoKopJmdLtYh9LlXcDvlzOysM
tB1lWbZKXOi43xio/E2+W4+LQF/uVD2rv7hjr9wsxqAvm9nunAtObdlXN05NrPgcHr8SnGnQfiOz
RNsK5gJnbBFteT7kY/wUC9Hf11Fcs/Z6+2TC7PHhiq/UWv8xycXXQNV39JWy526JLKvEai3z/Jyi
J9yIGS2xbnKnSqzEJ+bTb1yPDgF6fsbGgpbEUeGpteGQ4vWtzjuT3tfa7tjm7tj5tQhDz4BwfaII
OW6+cH+U8MDOaDcK9LXrf/9bGzfLyXey3Lk6xzTQerWWJGdisacbswCPOc9pzqQPEn1GjO/GCM1f
tMz/P1pZRytYyteS/j8frXyST/3RMOXXn/k1TFGNv+gEE9+DPAhVyArq/zVMUdW/qGbpmK2cv9XE
83+HKfpfq0IbxTUHyhdtP8XQP7MU7S+4ihylV57eqjBlmnw0O3lvlnK4VtHHwF0BSoNWZu2Nu8dQ
GmmXAJLGNgpsNcmxEND3eHLqedkZWaxdYhoblhNnzsOa8ecVBexaoomZKSIJP1ytVl5RplpRHIBU
Q5XYmGSB8S8XYgnFiRdjfbH/dVz4dSkUBAQvM+WgTj28lJnWRkhRHQUGnkuToJvenHdKC4Lc62Sn
felH/ANBPzQ5eDxsxqf09ocn0Jfrr6QfKpAX1pp+9GIqUxpizAcamzQFtR0mLC5RVH+YJs91IHNr
GsY2nXCBlcR5eJ9FXxluqVqcylI79oUWSt+OLdOT1fJnckguZSMBgdO2WukETZajW+JzJzkKtQCk
yyxc4QnJzsAfc2KNvHpwXIVBIWJIgYrhJdTv9x2NlFM9prsTB05GWMBIAb5xFyf9I0nLz3thZkD3
C1A9886jfTqi71c09hwHDC/5xE9Z2D2PdcSwWqrt8G/cEkDl9a1dSb/HEwDMcK0DsSUO6lCWz3lv
qh5W6OkUtfloUv9yU3R0bJY86fU0q48+dmUoBsh0KQfEaQj1u8laOvVioBNd7UrEmCq15UrFUBW7
2VPQNxFQVjdqNn0vonI/YijIfLNZZOxXVUQnFnTCVPiu1RloRcp0cCDtTZXjUUyoCk7zKCs2Czow
sQFPHGUXYYub2v9tR735+cb+Pns9iqpebwqFG8+NnXVVlKrrevntC6fS1s+UlgVeT3mxjTp16D9a
xaA8THRJ/jZmuzEYqnSouPM+KZcfLoSG+qKdGRhgmhXNTb/0erzhcKFkm6YUdRIwlOhCnORKFG46
TJSjn1R9IS6pFpzly/t//5e518FGxNCTaSBvDGdlJkBHe16dkHLvOokMNKCZ946zAB7puzojEDEh
cGBT4D5yt2Sm6W7QNZWcfOm0wzPoLku7F1E2pjdESOXPpTkAtiiL1Xgvy2HyUjXh0FtosaL7SOKS
aNvlSFN8PalNel7MVe0LBZRd8jGrO3FqsR0WHi8/CzeDDJWRP5qel7X428+i1E4fl0AlgqiBJbtt
imGJtoNo4CwW1bQUN1oBOBWHZySHrYx4yhs7HtVTg66XTefw8a6vFFMnRImr1upo/9P1tKgbBM0B
mvOu2RSS98xzjDDMHnBWTvYtLpgQVyVd7h6nmFN2+ZlR54uxmWs30Twrc+dr6UZ0UGYR07+AJABp
1VFj8A6lWv/NX10FDVCOUE6XGPXLTtU645PNad4GZ+vMHeeqQjz9T+Tx2jCaWRosVpU+jUWnPdhx
O9GeSwHlwW8oixNtzldfcITjfLzZDiFSobE66oukUlWM1AHKplsIvcBCaIW/ED92rclovuqIJj/x
Nh5hF9efHYov0U7sMfw/r3xVZULjoSvUJKhah+zuxGxnpjug0mdvXHj774Udh2JnykaP9tZsjw7d
iMQUWyOXNmDodqrwRfM6PA86WTg7ZvBqs8GNypELYzwE3USPYQwueLO/i7CZcfErwK3P6jFS7e0w
9Y62Q9K1pE9IJYiZphu6OBeFaiu377+4bzxbSmrHXkVedLesoy8E+wxckapKg2wQ+V2iwkKgA5ne
pfoMrIGYnt2/cb3VfLv+ljqTjMN9DrlpXRFklwaJGsc3MCt0HGqzne+VQbfKTTgl07f3r7i+Goev
Do1falC+S+vs9FiYp43LaDtZw34IGB56jKJJd5uPtrwuZ1NhQKHlg0djLD3F2H/Z815dmbqIFxbp
Mmv48F6nIbZyZg9JoOq4inwFuwd0wZZQN97TFCThnMAl8kr21GJXc7a9rcImH30iNbBKp7Zo9rRT
YSVgsnOe338qr2pUpG4on9jT+IKiKjj63SOrn+MEenEAdKK/6Zp5OpOK7ez1XtVOfBvWT9fRY+Cj
wBnARD7FD3D0GOzeHqiy9DRQ4a7e2DlmQT8nsGravn9Lh3s15ks+QCuxjlRxiy/oi1nyt716jIQ5
qjRBA+55KQLTjadH5gla4mVQd27nEADjdpKEgQKtIBlqNxUD6Yrv/yUO36effwn8gOt5CA0xWojD
3zzqVcJ2Y76+Th1Nm1kdx8DpWkH7qLNgaDPbP/FDvnXXFMdEr1CGcyY/+jJg/bDDkISjYEndwfVn
qMZnYWybt4UyFcWWAEzHM9TSDJas67ZVPEY3f37HyJ1wrcNpwFF/VLmUDsgpW52TIKviGZnA0N1V
bej8zUnMuAoVGsqbf+OCoC4I9zNR6B8nxnaiYzc2tSTIm6m+UgBffFSIT3uqmlR/1KI8PwGRf+sJ
8/k3qM9UjqPHU7auWcp0mXlVpiRdaAFWstmFyaxt5nTkI5rItr62Q6uFmGOHH6d6zM7ev2FKoYNX
aF1VTMRwxFgrjZJk06NnrCiFSBAeJYGFvfdWBVHrRJFqef3YxIPnIPu+iwxGJTTMM/VrBFwQi34j
s00KmTgOYnNRFTRhzuzcFbmmFFsNXFLptYjmrACZGGoMmntquO1Kkq7B8Q+us4sIGqaIK+X8NJDW
+mBWzjDDNnMR5KoidIH0JIn8m4ikjpqfqAna7s4EhYlPGf3Jwca09iHKlPppaCCO+aGeueWmASxV
bUXmRmDGIiVyv+S6lJnXYMEhr0cpQncjl84iq0gfzMIfoZOWu3SyY2KhMnPCyy069PJAc9rOc+0+
u8Z3HH91zEyeja3W2ld9J43ao7MIox4iQaXTr0uX9kO5kEOtR3CqLxjrdSQ0Wk2VbKrGNMdd7JIa
54GAU0FmGQOnJUQtnbtPo0hLvUlqQvmw5Eqb78kpbkEhGzHSjrimSboVkPH3bSy6Gk2DsTafe/p0
l+1YW196rbSyH26dG4B7cbCGwWD3aIEnZxlVf4FTY4JjDuNyVxmaUn52c9EWVwnpmfEFMb/gYZ0K
zhOUjhwKUYpBFYquWxUFDWEV8o6dogn0miItykA4ofPBhjRmeR0It6960w76RT4rdnlV0UaVl6kG
/O2GeV5Se/DtHOGX5C7Tg2b+zSPrLCByBdygbNcmttkyAmj6fm9jbPqRMWvi4QNebbZVgbjibtLd
VNk1SpIBBc8mbfxaGUIsGy0axQ9kMQwtW2NK6w1Pf3HP2f516DdDAyoimfpk9CbDHO5DwDzZlunF
FPtmDVrcqxZNa3yiNQf7KiWwATaQGbvRU8/QvdpC1yoZEVjQw7duojbmpWnMcXPV4Q/Od+E8Tpqv
mcU8n5X6VNUeK1oWG9y3RPrWfLiaK0rW5VGHsvYDzaAmmFahygkH5L1IlWKl8NQpTM1trOd6RV6C
ZNLvDhpc11TBA+Vl/PPuePtoOIrK5QM+LBbLu6V2DVyphqghjNm5tXPD/UqBvuYvlEoJv900y1ut
K+N5A4Tc+VzYShyBjJyUPohzR0k2miIQ7ZUoFmLP4tg0bPIK+663TPloMXrVsgfc8sjrJOCI1p/K
SLnXws5YcKvYrNIxdOPb1smm2gfrR7NLUYuSyYE22/RLQlHeGZyZJTr0xnTOuwrRigeWzlr8pC6q
i9aomt5nvixriFFNuXhW2nXF1pHDEgxRy5AwtoC2XdSl7X7VYsoS2FvpXJ5j3eIGI1WtmSPiIv3g
jnOhbZLRsu4X6Ier179H1zSswH4vk2F7ZZgtYkXO5J3qOQzLdC8vBEWyZcaYOqkgkXSKkUCU3u1A
vg4tvTbfWKb4m1Q6q/d5pN3dmAi63Go5EuaTNJpteL3mZLc6EMPHZEi/kzXdKb6iqPpVRowEHZBG
5o3XFqZeXJt9Y3w1lhHJjqPX07VllhD5nMZFuSuqYUVqisjdjspKgevjvLR9JhwqnTXElpfJMhr8
za1iznfGPFL1h004zhusr9nXGruw5fNbM2tipFl/yRpp+UOUOYafdXpyqdtADNlnXeuL3U/M1cUi
3Ucna+s7jSEoE9S6W7rzEL5Lu1vy3so4Ozv1wNy0bt1NTF/jBphWs2wE70Hhm2o1XGIAVFLfHRdg
+6pT1z+MsHAnHy+F/cNWVBB9EG6yK8cup9QPo6T4mGtJLv3YJXsDpFuL5m4a+ocyrd0rTAvKDxRa
8mYiN+Uql2Wu+4Ya6xii+oiigpKx+55omORouIAX5aRelWcWh8LOl2HJxhpHFXtslxlLAHzPTTY0
aZtf/qY/6s1fV9+Lz13z/Xt39VT9r/WPPpfV3CAS7F4ax//6d1fyuSnb8kd3/L86+EO0l39df/PU
PR38m21B33T+2H9v5k/f2z77eQFU/uv/8r/6X/7H95d/yu1cff/f/+PpW87+I9uukc/dQZ8dOZkB
8v3d5rz3VETpk+J9z2TXF9F/kIP7VHxr/5N/zj8Ne+cvRPGrmIfG42HD3sLHsM6RgC7QE1yR1/+4
H+jKmwZtPebJxMCJF2T+Px17AzcFcAq6+QglXhQsf9KxPzyxrdUOCohVuafTUQIefnQ2KZqOo/Nc
9EHmMuyXISzUOi3k52jSK7Y+AwZIyUD4/SJrLaH+dUr5ddFVWMdDX4kMa2H/2+lhIHrdsSsuOuh8
3WuBUIW2lHGidj08dq1XWcWIJnGXeB84lq615m9X4SXMRKupc5Brotg4DcPjbDGQYEzMb9+/odcn
kXVghhGFhgmV+XHZCo6nUmtNAXcP/9KPQyk3Ve60Z4T5PNdjUp8Qxr96foQSsjA4ZgOzYB5w1JVN
HWRAE3omOmX1hKC3rndOAbXg/ZsiLuX4d7JR3VMHc6ZeGwjHjVKa2aUA2yqCzFGzXZ33abyRE4Ko
LUA//ULtRBryqV1450wxzd/iRikepMCX6NHzBx8b66v42ClC5uZZyvvnyajS0ku4lEl23vdGY1zq
Y9VP277qEdCA0pHlR8vAzXe1avV7wFoGu6DskOcCorKS+8W2qA6W2a6HLai1Wbm3u6WCzFtC5jJh
9+r7DIDnRT9r6k1GQtgN9bwD5Qa9cLppBllfozRJHzLev8fItBqkqngsvmZ1FD5aGM9/zFXdPrK4
5A0ACKPwsJaLyZtbujRUF1G3kKyQxNa5Mpb57SzMGpyIZFxfjlmUA/e0tfvGGTVUWZMxVmd0gIvP
5KQn3zoEZ+tfPewTCr+l+JCnNG28Lnf4MAAndokAq4pvy2A+G9Yc78sxHr6Cf6kqL+2tNPILMy0f
u85F07O0SuS5ohepX6tpqVwM2sIjmoQe3uqdXdjnnU2wY+5WRIyB8koiv4L2b9F7nzOPuqPttuY0
NNdGqFtfYXo25abM2+6LkbVm6wnodNlmdMzuU9Lr2lUIRvcSEQuZ1hYio9h3k6FQmITVRvJhrHCk
8p8gthnTWUJfBmHwIS+XOBC9+jwLNabDnFX57ZL14iFxR1MjJyuSjzZAS90bqMnrjVuJmsKkMqfH
eDaHx3le0CGuR+7rVs/iERW32nhLasitgi0m8juiMdEToMegxxGb+tkoNDcFANVYX61Y0wfiryAR
7OihZzFwAKpmqmP3G2IheWuQWo1E3Ka1C5ESahXpPeJhVqd53CO4mS/mtBpHtE0uhOos1u8MF5fL
mdQrZL+K6KsPuXRS4Yu4qShQuxoAp5Q3PU1sZVMnoRReNzeIXWqAMJWnEjB521B++JbpMhMa0e1X
ZLcuibPNAPX11GUGxVFCQ+PGDFMou/po2RAWS5vCcSLj6wO6FhhP77/jb73h5mpywIFPy+i41z1V
yHcSTqZB67bVRnRa5LvZWJ2QMLw61bOP0PcS9L9oDDJkPtyJGyKeYnZHETRuU39uSgfZXGsrnoG6
eZM0otr2cZVdLrGhbWm+JyeaVa8+BOvlV082/4d95/hzk7jxrCCkEoHRO+F+FKUWYFvCbDFzsvs3
niduNKLgmZwSgnh4pzHZDZ0ZsWNGWjwQP54r58agqidu6NXnhhtaE3wY8zP3hjl5eJW5Yo4p01AE
els+Z5Ez7YZJZMhCekk82zx8ev+m3rwcZgJEKKj2McwfXm5KuxaeuSMIHM5A6jpKta3Z2c6ROWmQ
yyzlTz/c9BWpfPjorNOgVx/uDBpCz/BBEB5DmyBZCdmF2ZELp6anKFSvlgZOJpqyNqvCxY5z/CTV
rBpNEm3IuW6ScUuI9OxrMiTcSe3/1IhpITPlKvQNGaWCbTIOn2IK7sEqqjrar5XuTnMrG+1zYe/G
RBlPrI/Xd8X8iiMwIAegJe4xx3UIh7roNcYliKIeUifl9I/qastf0AzeXxqv9g/+DO1Bqp51WkQa
xOFNcYCfK0PO0T4ym9bndIvNxh1PgVVfLUCuwvpDxcIugl/qaAEm0PPHaIRGW5UlvB/d9txYfCu7
4RJX0qkk7zcuxgCMowA2z5WGefQKW0bREZXYx/s4XE9eSxT6WMurIBs7okLGVjnxY72CNeGZIQx9
PQYAxaFpsz7j3+rUXlSZjqPRIQxNtFjeFPPKzPtqJ0i8P9cXddk3/TR4KZvzVrRNvetCqWwGu0EX
aZFIo/T295xUyL0+t/EGWj3g/XK2dqnbTxsRim96glxMJBrn3YJMRid3tKuqKaX//lp4BYtYbwTf
EbMO2BTU3UdPjhBDNy7QigWmmS9XMp+i8ybU8h/qPACZNXMFQeDsGsntEmuELhOwhknNTqsEBbAr
SUQ04Le3u1FZkweENp+0ub76DrElQz3g9SN4ZrVyHD7pPJTOkBHUEswyfOrmJdAL5dyKoodoSi9l
I+6N2r6keXjiJXnh5hycd7guC5fvAlNOtpmj6zqtUbhlFDGNtyJ4+u5g0junV9WnaEjTprjtYXrs
8z52LzS3lRehWNIg1VLpC7Cr5lKNaGMshUZTp+5CM7duT/xyx04IWJoriI/WN5Q3rIjHr3E5mOYU
TS4XzaGclwvYIw8NbonbmBIpAreVpZjjLU5tfk6TpQIRVbY0MgaDEwDw2lPY6/UTdvzI1rHleiiH
fXiM61sUvbZ1fF54480ymIy29lK36/jl0ltHaatrDnGlHwJH+qMBOKdGHgV+TIsvODQAnsnhGuHE
U+pJ37mBG8bOebrAM2l4dls7p7mvGm3+p2c5rgcZiHMcZ3pSmY4ePRgMqbUoToOysu1LxuPlmZPJ
+cQn9Y13k8swwcFbRtsAt8vhbfGhyxw9EjxP2Zn7OIbv01qi26q1YQV9lCR+MszplTI0QS8LCzul
jRVyZk6+S6LQuu5kYp01oThVML36VHH7oCF4L5AJC9CTh3+vyYryspqiMMgAPfm6plYXzBnqTZLh
/np/lb99KTze/L6wGY/xxiYNdACqIMLwxcWXxRSBC8nbNKC7fQog9+qzuN4VCDyeOAId8JaHd1UQ
IltYVhwGxpDO8AgSdd8ryZ8CF9al+vtVjhocFSO5lhlFGDBgL64LQJPnFeegXScV/colxu/EA1z3
7+N3EhwQcDB6RpACjtYQhmx3orp1AxR9PaJg54mAywkBESyWej5PMBCcKKff+Mk06Nzgjpg0Y4k7
uqJBz7lUtDwMUDFEXtLX3c5RG7qdk7t8fH91vLHhQCLhamBmsc4eo/AygmJ1nDhhoGBLDroQy1Rm
KPicSvoPbm486NJNd6GbnQKvvnmPK3YABzi2z2NE+tiNVZEYfRgwXbqbkQbhw0oab3BJUXv/Ft9Y
lVjq8ZiBTGFwfwxsNhXGVzaysAAZf+P1umJssddYu/ev8oqcy7JEh7zWTquXkULgcPFnDTgoGt4K
vs2xuYAILXc5+v/tglTxOimlANqvFRd0BjMGTJP+nejqaV8lzBze/5u8sV6BFa7YJnZzJnNHx06K
lbFwizjaFwaJLyT6Dht0GL0P4X28SJSKCX7fFo/vX/SNdUTlQ8eWohik3bFpGCLIwsPv4n1f6OpF
F87OWUPfhA4A9EYnE91jaXf9RlXSU0oqZ30bjt5PRPuIr7lnmDrHiLlmZQwsEKP3WsY0DmXaUsw+
5WS/15vYrLyJcJhnwopNvC5mBkChY+ZBjl9FIkpLi4idF8LA3khpHXltaHTpNubpMn91QQOiCByn
S6VJ2sc6RrXlFb3ybEazqHbSsYHXNdlAaksVtvl1WEv3R4vb3drJUtDpozFee6CvyLcpiCcv/MK2
O34TpjRfSn6nJ6PUsaZbDXKtwSzVLdnY/bAfRB8+hcoUEwqcufromaSloKKLY+3rEM1dtWkTPUqY
wDJy2laijBe/UnW8R7pTi71NBhvT60SE3yKSS9OdW/Zl0JhW8aOw5vScD3sP2j7trqJGzWhqqQ5k
yQh16PPCMUMS3WYAN2UGjuh7McqG+Bgtg93qWHLDBDkl8STP2sckbdWVEUG6AhkTdd56CDWAQ45p
OJ9Z7YA6Nx1H5kVGN/EERmMEtBmNUfI1XisvX4vzz1J1mcsNrmSk3WaDmuPY1PCzvb8639gCMDDj
QwCniv3xeHU2SzWZkyC4Dq11+Umti2SH1flUtfHmVZgqcPLEMk0C4uEO0A92GfZEd3Fei63tHLWY
0pboVDDgiauYR1V1bkf0mHst3oda8mT2HHaqhPTs9x/YG7szARZAynAJvxBBDm8lRwwc08/hdU6H
cYvYiYzqKde26AX7E7/NG9sVqiqOJbTiVrn60VNrCm028yyTe61KCdCM3B8MoZ+XWcnxkcYwPDh6
nbjk67ujwUyRvf4LzY2Xo+lvR88CLV8mhS73CQTTLTlY3TaEG7xj9itOfHzeuhSVJ4p/9DWMFdZ9
87dLZUlGfxBZxF4mreFPtW1t3QgzXmciUXv/N3u9MBiLrB4Y6mo0cMdgFWa6rVFbUbKPG8pcipna
03pAge9f5c0bQsjpCA4LZGGufYTfbqju6IAbskr2YSEjlp7b+/os79Ux7X9+Uf/7xq7/7w5U16fy
vtvpnSnq+of/maK6f5FpA8CCsyDqxpVi9o/tyfiLUxoris2GDtHKav41RbX+QsONOJByjpLn5Uv8
zwxV/QseKO+Yy7vNsYiTufiTIerhgkPCvLanXjqVCOs5yRwtBQH4DD1FIaBq1yon5hp3EGkPP5fB
Abjud9/C4YL7eRUmyOg3VQ358DEsF4V+1RE4bgWMymJY1A4aCb35hiv0zxqwP69kAyGh0AeLRx/2
cGmPea3lxWzrgZ3r35iehfcA2Us/WSLnBDjmsFr6eSXk0BrFKNvCq9zamnRundBEI4jL1cIylXIz
WTYbXp7Mn3PFIu9QnevLqSrnP3p9/7kyYmEoWhyIj7l4Vd8mA/0Ngx66yHazEzn7YQY93CfdKf/R
+vP/qy77dSn6vmBbuUVx3MuYHH0xepVLxaOWXs0uWrQyipu7WKmzc7EM6fNvL9HNz3/y7wvljeVI
T5u5LZ44erLH4txuGQszIY8tcAwCUgWe3K2xZrK+f5WjvuXLbaEgonEBAof37xgy30arJciodA5L
VIV+7ZT53yN5m6M3OzXtc9r1zWVUaJxqxiJWvHQKqy9qLMmXU6Vlp54a1daHxZrreysyQ1DnvTZ9
4rUl3tXOc8RLpJG0l/UY139Dk3Wey7HOyaQ01bL0Jj21+mtANhxA37+vN14zbosWMK8aTcxjMoRl
hIM5W5YeKEhtgorh3zYO1ejCaiEgvH+pt34ohkTrC43X5FXbjVxGzALLqAch7vWdm83dXpCJdfb+
Vd66IUTaeIfZN9BCHr3Ntp7ixXZqM5CtVnh9lLvk/zUEbw4y+aOP/M8lwYeXUsnFygPb8nDjaOnJ
5VKrzMAddKzvRgosRRpKMLrjCbfdW48OhQcXIqeO7f3opuKhafA35WaQlWI5r01p+mmm5SeaAm89
OkrYlcTPAZ2M5cP7IRItpiOnGIFJMBY1vM2aVONw48aZcmInfO1gYDwKloLz1EpOwtx3eK35/3D2
ZrtxI0vX9hUR4Dyc1sSSJcu25PmEcNvdnGcyOVz996Q2/hcqFv8i5EYDG2hjOyqZmZExrFir7dvB
axPTT+AlOQ2D7R27eWJ2P9Tao66Nxb2SGuWDjTLG5wQk2Afw5eXBUfCMimHBAFFCI3H75Kw4LhJ4
AxYsnIh3XfBRvCkMaKr6lHjiD7Bs2j+AGI+QNFWAEWale/gbe4wbcifwyMvPXeiZhmRfjMIh9DR7
FEcee0c59LFWgvyO/9w2tnaCoHtn/yDaYYGL7w3vWq8IJbT8CD6IE8wzxlOXeMHGktZOkGSwRLyC
vgMX43JXQeYWc0hg78dWkz+CXm0PVdtkjOCE2oaplQVRDSQQodJBereMD5BJEdUEcYvvZJ3t5wrU
CBB82BvNjMss5eWK83fDnYPjgp13WR8HNpFZyog3KVKnQSBuGI9mFAPtMBiGKCkz3FOzE8fbe7V2
Oeh4E/8RzsmzuHAsAHRdtWxSlgUMf99UndLsqxAQewsf3F6HP+Sx56ehSgwVFa7NCJ3nqk5d0M+Z
m4rdOOnBL9VJ5h+3f9jK9lK0J0UGX0Baoy0OUWmNbjLmQAt6vRuOQRVVz7mtmH7kbDKRL7pI//vy
koVOhrsWgDa5/68SjrFsECjs+AaUVLoJXsQk/d3WM+K3rhdHyj7XGuvrADThtw6OkZe2Qp40DeCz
aah6fdSTLjd2qlNmd2OZDuMOBK3zPdGsZutZk4texDseDw5Ok2NCgiSP0KsfGpWwJJUToBJ7qlJk
q7OgZzoim6P3qhagcd04df+EqEt1cMbCeHuUTJlKBdD4giB4Yd18ZRxJvTpRnMrxwdO2tPWr4Yxk
uX1SjHkLV7J24V6bku7zlalWiE5KZjh+XzT2Xp2hydVCxh5uH7E1KyhUQJBNU1X+z6WVeJgFasiR
7TsMwpxNLfPu9GRTdGbVCiEI/9AGRANsYcUbCsDs7JmXm4hMGMn3CUDZhu/YMrIYLh0Ym2mmarR9
KzJMaAjHZ3V2t8ACaw5KshZIhCSUu8tkzJhCrzXV1vbToXvA/Qe7Ka0fpq6DzmuIKRT9f/n5/29i
trYsDygvD5bsiyzZ+/XEjZumIP2j4BZ/m+YqfRhilz7q7YOw5mtogZCvMH9GLWoRjBRKRCMpzjAT
O+M7iRrY1XOgnNBW3+pfXZsCeCyxCAD9X3huLk8DvencmVTOXBETi/CDzENOT303z/mfty4KS4Q7
aBvLFujy3FHZHcc8VSzUtAcE2QsFCmUw9IcO5q3DbVPX0YxEUyOYIfN1qkNyG19d18zQ5mSkueVP
g91+Gblr+wiJdLgKNP0U2F385rgbe1jCEYInoTywsFc2LnOA2AtTtXvi7bAPAPGGR1GbW4Cf6xNI
CsHXo0cmSQ2WKm0OiWue5SVHI8mis1pXCjC+Ut34gKtWgJ4z5k9NBdbiywU5c4UG9MyCmGeX3Ke5
eF8PQ7bRgJfH+PL1gKmDkiQE8mA16P5fWkkSmuzUKm1fmw0DmIGj7rshFH6RxMMpGwRimWNLJb4Z
9POgvVEHUb6y0vxL10i245YvutMpugHmAR+VDZpUhPdg+e7r90Ec1L47pcFW3H/tr6AkQfkDWAiP
CRiRy/WWTV4yma1Z/qDNDkCtLvnlBRAwRKOb3immojxGuXxeLEjXgrQbjwze1g+610DI5sVh+qcR
madB2jW5n0be2sdhbsZ7dRzbp9v356VfttgZ6Q8kjJOY2V72fxk/6VwGhCyfd6r95Xh98gTWsbf3
RZJq8PMpSRTvOaMZvQumZA2YEKA7ZFYnsrJD13v2HzQ1SQlv/6yVU4lQIKOacAhQHNMX3y/NWsB9
ZEC+rhfuwbOr4KCOQGduW1nxiKBBKPNRKSeqWc7umzSJOuhjLL/lM3ACmfXRCyj/dYa2/sIU3h2P
KPm34EC/PBAiKmlG8cr44LacakfAVtx5szc/RwA//bcvi8F09DUIYwnoF/FrnOYkpE1u+1FgzPtM
SbOHeODthDRk/ptl2SoNAOaWmexd3GswQo1j1ZXt1406HkoLfHZaE6c51Fk2jsR1AIpK6gurOq1W
mAjkZr7y9I2TeK1uwNntdM70Xg8H/aAHobEXANq/mGZRnRkRZaqg2nRea4cRABlhBaVTcrGF5UlF
lxAcje3PZmwdm7LO/cRW6431rVmhlcLDCRyX5sMi8MwqJ48nlSOvCcha66EFUE6v8W+sQHTHYBDd
5CvUNilMD4eeZfkQOsQfGkB97xUYZ55vn8C1taAmIFEJ9J8YDL3cq8EFM43Ph+VaCdN7Sx1ixuzU
ZsPLXllxGOeQZ4F6P72nJcANTF7vVi674SlW+CHvaKyR0r05VJdWAMjooP1k43OxL6kaDeD3s5yS
gg5RpJcX+ypRu9PtL3bthyHxQa0OrmDJuU7odPnJJmaabatqcj+GZAmVOC2ECFWLm6zcj5aIniA2
to0dSbojjmMezl/VDFbsnZK1ur2nvlncO0XfvA3fzMPJr4IVQdYYyfoYn7/8VR5FDnPCc/k91JTn
oWl/116YvGPyeisQvgrkOC5E97RaDDIVRw7Ovb7eNA2ScEis3LegQDtOINZhmUjS6WFMuvmnyNKt
RO/K+Us2feDNFNQZ7+deXxpUOmgWA3Mu/brXssfRAEtt8UnPhdd2b/WSL9AR4P2UpKB6W4Yfg+6x
t3NS+uh+Rkd7AmmwmxklpYyfFBuXYm1ZCMsQ0EkBRhoGl8uqw0aEjB6V/uwyUjrZfXzsLEhvO57U
w+0zu2VKvzSVKwpiRw1aMfVcOPtCp/zgDEzAKAy8bnzB69NBnRtiJHkxOIfLicZxxHGWdlP6qYVw
B9O8UM+LZkdgp+1QjZs2zF17FmmOMQKNigyv2uIFZbKasJhZdz/pkvk+aXWIITwIEG5/v4VSprxd
l2YWbrKf4bIZQ/Zq9JoItbsk+OWOSEzPJtwOGWVSwNOGN+xCO5neeaLofg555m6sdW0XqT4RlBBv
SS2vy12cUg2hRmvkwMxx/yGbYt2fFFWcG1N7G1jzf+uV6F9TzqSC1pSf/dUTzuQhDGFBKp/P5GNq
AEvVGkbOxeh6G+507bwQIoDB5xMThS8s1SrxAXlI5s+1Xe8qN0gZE23fKapGGzKo/tzeyLVPiKAr
LUeJ+IPL5XJdXleQ2lR57ivC0g8qzNtntejzcyf06Hjb1FUUxHpem5I/5dUnTLtQ0hBE8pnoJdVU
HcGKo0Mk8LHzLIZdKkpjXtWW46HRvPKf28bXviraPVDlEJQD7F0Yd7TG03M3zP2uH8LPhGHNf12e
dyddacd7LRFbOuWriyVGQU6NZx5Go8vFzkoS6r3Cd60ytTwocIDcOUXQfGw9NfwXUrP5g9EL8a6K
O2sjX5XO/yIrkp+Zwg/tNclf/4K8fvWZRyOGYEPhpDZe7zwoE5w1h6Eo3DudTu9XCLldfTcOxttE
iv53QVw5VEfaqAN1WRwk9BOtyBJG5k8ReBrTCSBd7ZJp43KsLY4hIvJTimmsb/HyNVVJ2ps7WOET
HAwg458nnMMTpCEacVqr3eeVCzXF7cMjf/vyk9JSpjdPOEGzYbE2hl+tvhR25muKN58aysdg8Fvx
+baVBVD1f59QMuWSXHNkgDpcnpksNRMDjtOM0oJof+kQcc9A9roYgeXJyoK9C+HePyOc0l/VPrl3
kmF47DLTVXbUQOL0cPvXrF0YpF9IG6DjhQvv+sKodRy5mT+gA/XFapXsnHoW7EfM33/T80T3b9u7
bqnIjgWdNsJhORS5hMMzc5orTYi8SplAyul7GfQ4ezFmseMbVYaqh5J4CQyAWTPnuyRqQuQjEsst
DjmUjPqemmev3lWlAcgV3N3WK75yBKQwCaP0EqLDw3q5N0RcZCVTz69zJ/udmrTVIxoAWx9hzQqN
fprvROycNePSSoi0qhknc+7TPPplztCLCAOVxNtfet0ICoxQboBlXy7FSJlCtkoETpQqNaq9Ebj6
O/KHYEtEVp6Qxa1hugMrJIbEqMtWY2kAx2ByOvdTtc32oz7p92mse7s2rtO720taC0ekJiG9Rsnd
eDXnCkkk6qvtkPvGlKofKiOCkt5ouvI06GX7uUfG4ZuuyBkikVj4JUXrT3npxht3ZvXLMhuDv3dZ
9jKrGxHLdc2EC9yWdXBUwiJ8X0aK2AABrFmhm0rgTzRCNXwR9eDzswmQEg6e/iqEgUl1KqDF/4u1
wLXAhAt1LJneXB5FUAEtvK08YLHIo0crhGsarMYwtBu+dSV7JKZCWgdAK9QbICUvDSHGoWgJZEV+
wa7s4RlzkQLpSpAaah09hTqDD7lbux/HyeqObdS1j+FYkWF5DEBAMgXV2Fv71jgicJpy8hHeN5hS
Ln+Q2dbukFaEtq3CCMDYx8MxjVPzL24hf72MJmltUGm4tDJaMSz75KK+KiB1VeCb2g0FzAEbF0Pm
TMtLSAEIVhMq/szILB7MGeWToQ+7wmfY/wGuzWmvMF0MkdizHnaf0dW574X5rjSs8wyX/r4xkreR
q7y8aiCuuQ68yIRCS5+WtGOLQAmkjIaRd+iEkQR1kbI10r/mbDhHEJGgUkTbYXGK8tntVS/LCj9j
waeqr9rHqqaDA3HeFqho7f5x8SgSkXiQ8y/un4WYGHWjpvCToYLFqrGpkkfhVtV1JYAEtwSMjcqq
fH8XwUCj91MyMTftG27fZshy6PVDrZmjfigqfQwPEgPgQvnYzmzpZBX/3j44q4tEZdzCf2N/CabD
i6YwLsMrByFct6tE3DxUBdLAt62s7torK4v3Dh79qtVMktXaLMVp1vTxmFkjY6b9uPWAy4O+vAj4
MUm4znQjEOnL+2bkBTGrmZW+jseALKPuxl0JfeaurQJ3V9Kne+aebBWZ12I64FNyqB/cLzSwCzea
TUY6x6nCNrZNW0LKYfa/OKh1CUiK6BiIiPGjcBmu2pUim7/ac+79nKizAVeEjbX+i6eDzJLCJoOl
pHsLb9AlbaqwlexqkvX7mO6Z2PWW021JE6ydHtqnjBsx1Ycu4sK5IYwyd6MzMNtSMzqapWF7zMj0
Npzb2pbiVAxyLN5CcGGLLY3UGjwcZbB8Et/DEClOxVOeUqX51qUD40Xx+PX2cV3fzVcWF4eInU4V
xxClz8iW9rE30+IY5Ea9r73W/qzkIeNN8aDeZZUy/DAjCjzlLCa/cztnY+lrH5jin5RgJpC7Qgvj
M0TCqSp9kzT6MLSq2FltvYW3W7VC/ZhQlLz5Kp4J4qi2KyhDfWrTI3w96Q/EmeK/8AG0cP/PiPwR
r/JVG8yNjYgWss16HBwHJLv2GnneuXG0eiM1Xl2PpKDAnOQyW5gCDRrHtoa7MWzF+0IJK90ZepBs
uM7VTIYH9//MLE5/aNZBpWXcMtEPv7SZfqSrP6PU9dNR2yPasw9d23+Ixm4X6N1jZgyHQvmvtLfq
AGu+lXEQyqhM8fD4Ll5Em8zfVrSSMGYagvvEE+WdJtLqXQ9KaOO7yr9q6VtlDRyUH4hRmtSXW6hC
eKhADZP7mdH9pxpC2SWquNOK8WtSR1vU2mu3HuYXxpIgqCXIXhQ4NQS4iqiJCikP2CZSPU2p7wbF
mSGGL4byqSwR9WJejxjufPv6r31RAlUQmjDBuLQoL5fpNMLtmmqSBax5hndmRN44n8JjOKjDxqVY
W6R8+VW49l64YC5NRV2mVybKLWiexNWPqamM/4a57Jt9reSRbwLxM3fA9du/WSFD+S9dSvzqYoWT
zQBCZiWFPwZx96k1B+OYdWW5n5Dh+wsPJoEvYHokMk9dHM+gdnTUtgjYug4RZ6MIlZM1Z9bbWwpE
aoxsMzRC/WapEt5AbylGhPv8VBBqixGe2Vj0zbHNlS2xzLUto01C6d3GHkHo5ZYl5dRlaPsVADXq
guGBtHKNwxDO7TEUzAzsJgh3kl3iRtZGLX7Fq/HOyroReFSJF7k0rKY1rKluD+t5GvAgTPpEpcic
724f/pXlEfG+pPPwJBLKXFoptFHRFcC2fj8W7V07zkO9R2Kx+VIXVvlNLyovOjWqtUX4vXLn6MEa
OjQR5C9XINPBanMDDdLM7ybwww7lcN9tbGOfhOHbZlFfEhVMkfVxUCTiZvE6wJRrZ8RnmT/qVnQH
kwAShN74ZswhYAPPkewBEs8GauXyO+a6XZpjg5UEArq9SA1r3zjFllT0ypnAipxHkGA2ehaXVsx+
bEg5pRVQIb+Bxud7Kw2c/26fibXNoaOFMyRLlg750krSQ6eHcF/mB7mXPNPgdY1dpjf9HXqF4Ubo
unL+iEIIdshlIX9c3uSJAKUfEKb3hdVWD1HRkNuV7OSp9gTc5RoZEDylaF+9eYmQIIFqkDV1KrPy
Z72KTgZYUlQvTunGZAkigkmV7AuDefHKGIfDbVNrRSxbWpIFQNk5WByN2iiKVjAtStSs/aNoUPvO
lf1LFM13d8id3Uxj7VHbmxsucuWoSKSXQy0C+VWet8sVen0dJ/00UrQqhHOabQVdUqNx3h4igLVh
DgCMiOTeW6zNi3qKv6LJ/NiBUludYXEfvPkuHqQCcx78xV0GysUEr4z06NYt0i5FhT4I6FXmq1SE
UdIIUvgd0uHtlaILK4vzPyD84yLzSDdCCfsdql7lXRbWnX/7XKzcMun75NPiQQG0jFqFPfLTtYxb
1gdib4O2R+x0yI86qrAbp33tLLw2tTgLedRWeWsVeNuK/DBtp2oXW317uL2gaytcYaZ36KdSo7he
0FTEkgvXYLJopAod1s7Xwhjd32+3Alss1XpZwjCuBipFF4XT0Op+mLM5CVK1xziB8eu2lZVLS8eL
eVE5LQogYzliBkf+kA5KDPctalyFMn20s+I0dU23i9XKT/XkvWOm59bOfcYTN2KoF+9zGXjbwIiI
8CXbHVd34Z2UMCqBXDEPFrtWBE+5Ke5io0Olyimnhzof3QNbWMdQVc0DLA5RtYfOMtgxwdj9cIXp
HPOpbe501ADuvMma36tI8L4L8jS03r7l4FhVanM8eWh3LN4j3exJD0J+qAul+znP0/GYz1G3EaO8
lL4vvweFFh5YPofHaPKS2NP1krCnLlz7Y42iMANyI8LIYe5WvztYPJ7rRGhfBy0oHxozNFEuD/Mi
OjC7nzV+6xZUhDooQIddl/R9czDSPmh21mBkyW6oQoSO1WjMundI0Iztvo2V0t1FokzVndnpaXM2
hykKj3lnOv1OndLpQy/UKER4rUzkvJha/4rLqfxvRi7NhvA+6N6FysjfmpsawhmEbM20R2crggGW
Rgf6EjG01Ps5K0gei6RJjy1k9L8Hhzk0KYjcfYjIhZrj7fP8kj4tPqGc+ONEEZ2AZ1rE5T3hXE/N
itLNbMz/GVNn+WPaQk4balr+DZZ8/XeEglGOIILVS+HeLgwPUOpP/7a90B7g2Ik/qJDS/gLd5Z11
WhS7YZjnz0FKr/pAGBEik6YNWXJwEh7SnZoxmY6sa9P/jhmr/GTUcy0b1jy1+0CUiBcUjNX/0ANt
/nx7qdd+FTwTD5KMKOR8zsLZmXD7x2HgUXycVOe+jYZ4VwgBD77WpxsX9drjYYozSRQhYZJLX2R1
6AkWnC3fMerqkPXQUjYibzbe2HUr1PmlZgzYt8VzlJWDUo2NghZI1lU+TY7uMQqqt9GcyDCZtSBu
RKLDMJXjLqx4QuijGbulD7u09zBBg3ACbhBs0NCtbo5kDjKpvEIVZ1xGJUZSqV4zs5YipapWlkW0
F3MxQ44skg3fdB1ZsiCKFjxGoKaAuV2aQqKiqPu5rPy4QyBEjKr2DPtqfwyhXfYbLUBtPm6LT7cP
33V5H6PwsNP54Q0E6HNptMrrSQfHUPliGPVnm3Dl3LZl+AiLjIeYhtKeemQO9p6jWBs5/sqjQar4
8lqA+YHEbHHDa89plcClPKUHWVad07aEyltLLOdjolrdkxp7OeD5rm6/m1Zg/TAaD6HyeFRgPcMB
Pg9C7biUSal+7+jd2btKjdqP9QBJ7q6llm9veCT5c5YOCe5TCYUidLzKAHGn0QjZRQngagQ1mnsB
wpJa0X2htpSdhiobf97emi2DC7+AwlKgQxdW+qqTfupFYX0Ig0E8qVY6PYbBm8kYuE4viEfmmTmF
S5XJSg+spulZXpQW3RMDu/0nE+qOz0Ltj0E29Bu7v+YjmP3ltMsOMtwll+dOm82oKCKcnivK4FsL
Gmo/pLHYiL3Wbi/hHaSm8PPRZliE32oyGW6g4oQ0+m/HeEyV53Q02veQyYbf375bTCMyG4MKOnnF
IrII4sqkn+9iitHKP17jFmclUr0dxHauDzV8vlFtWVsaTTEGwikBArVaOCYP0aepDuvSr3I7e18F
jr6H8cQ4aiqElLeXttJugOlJlnWkNYkKudwsJQ6EYrnUqyM6Af0hTWLX3inG0Pe7nkEJRmbdZqBp
m9jGs17Y0Ka5A2jko1HD8ob2kdjSlVj9RYAEia+kbCQtxstfFDEIlHY5XbTcEG0LLYZVartYQbvW
UEAmHVWnVvZmpAfFrlOYPx0QIv3XrWYI90Mm7r7e/kBrN5VQiGobjFE0mxYlNyWfhqlP88pHgCLf
p3YYfrYiNTtA7a4fFS2bN9TgVu3RDGWe6KW1tbg8yTzXATJGxEaUK0ElQCK3LzS7POQis99NDLtv
adBeWyRc4GgjEcw4J2YX33uax8kr5OkuunYX1AgHMcnxu7enL/1UbBEUrlmDEpw8gvoKIMnFXYK/
E9Wxoa19MetFsnea0ToIb3L+WErqfhkTxf54ewOvLxOT0bJNyGw00+rL/KVCKogvmTR0RxXzaLZq
+9RWQ3NAqVB8uW1qbW1MW8AA59ICvkIO2kZr4tWtyq+APT0H2dilsAiraHrpPLl3Tpo0+UZueO1r
GVMB0QZaDJKYK9rzukFWL67ZPEhU4qM1mulhhg17w4rclMv3ESt4CCodVNNZ2eURIf9ASjwZK1/v
tO59P9ZqsmvnIf+hDOP0y+3D6J6cJtrraqMHu8Awko1NXFumLIOgLEi9DXqSyx9QWHkmBH1IPyoC
Z4+aHQBeL43eHNwC63plZXH3HBuKlUQpa99gchr+/dg4JGOabXzM61gQKwy2s226wUFZ3IAR7Rgk
bEZugFEnd+mka996LTaPg9WUnyZFa6CqLIJxw6/ILVpuIYQfslalyUHgxReMBubulKyo/bAs63rX
teHwqVTG/DtJj/hpJ0F0DIC3oNHMqMfh9r1Yu4KvbS++a2mERmp2ee3nXZC9K1tLOfZQe331uk16
odVlSmErVWpRAEO4PChOn9qWJezKtyYYJo9lWmn7UWvNQ6EpNEhMt3dPfWamviPy+Xx7masbC/yb
egn/XnFA2AIsshEmNRPk1l1uqP+GlZJAw9Ex/pec4nD4ddve6qV4ZW9xK/veQfSnxp4dVP3BdAHx
pnrwdtA1x5WiCjNHDPnBqHT5RUUBtUXhsHlCNHCYNoTgPe/s6fZa1o4I8E1Imdg0JpwWCZITz8zQ
VmblF0Ufnunb4dFCTTw3VCyfb5ta+2yvTS1e9F4xyim3OSJ9HiaoQwPw6Pd5bQafb9tZOw6gXEkt
eVnlNl1+OM1qHKBHfe1PiOMduiTKfxRhGIwojvXzB90V2lFNPDM73Da79ggRsADsBWNI0LpYnoJu
QpKbODG1rKffSj9llD8zl8qSXTu+0kzw79+2uLZ3xCE00FCShqthcedCzR4yoXNCQMVHZ6NorDOa
UeO93urW021TC053WRmQnXEQxTwFVN6Xo5NOjIxWQAXCr6F3v/PQOv0y9k7ua6poH4os8ML9POnA
O5gCOXhd6nwYGSrfz6bXvQMd6nwpxlh8sIZoS/Bg5VSZBk1EkKyO5ApYePVejTO6ZCD28ny0fxXT
2Ic711SKaONjrxSDidWAscuAlFRt+bUdtcd/mWPhK2nvPWmVHR8bN67vTbUOHkAOuF/Ttk5O5mi7
Pvg676s1KbGz8StWtpxCBoql1GfI865kqA1jAtkK4NLOAHNGvVKeJhFG8U4JnPHN2RALfmVrEZ8W
gZ04ZazxZQcDPQgvtQlSu3I/I71yvH28Vpcle0cUkj14yeSVftWJMwqYbdKoLf0po4TcWF17p4dx
8CWIqmRjVWvnRUKeZOolMf+LVcVMjDpxDjVz3Sf2eUQz83uhCHfjvmxZkX/+ekEw9mYzsw4IHDCk
pztB+TTSRX9zj4rJX86iJCMFsPpyZF9ZGWcnNUx0Wn3LEcOudgPj2DvVsL+9OWsn3wIUQDNC5irI
ZV8uxszZmkqX0uui/zxZSvNJp71Nlyfa9fbwrm6G06BBpo2U8n4Gmb/xvK98S8xTSKFyDWJ9CTJu
2ryZOugEfSUTMbqR1eAdzKyv6o11rjhwQkNGNGTCQo11cTIGKcXjInLgA+mKfM+d62PWqu4OzLhx
FzRZt3Ho19YFwpjytItDwbFcftZBUDaHaKIAsa2lv8bEU58QQHQOt3dvy4q8eq/OiBpAsN7YQeFH
IkD7bKjEvsub/95uhF4fopRUnmSn+dJIn42KVYZO4et1oD8UqrCPHIYttpa1pdClx9kDq6dzv/AS
dT6IJCtw9ZqVx/ci66IHqx/t59trWamhgs4y2BNSOzzsktsumGc7nqErpz6sa/+kSSK+a0ic/0xH
pz07SRHvlcJLqqMTIaU4hcKd9xMdqF0bBpNFMzJ171Uxlb/oAnTfPACQxyZok5Pe59mGL1s7sWhi
QTVAS0cmwJefPTCFYw1JTrneM+6LOUB3sRgfdb3/XraEH7e/y9rXd6jTyoo2qNyr988qErB5wFJp
XVX3eWib74pWgyH/tpmVp4BKveR0Y3oJhfvFJpu2I6pIMJSuFdH0c2gUE9HJLD1E1K43UrO1FZFf
U3khTrS9pdSX54k+bVWuRjmH+U8mjLS7nIHZjWu+tiDoIAjR6BFR6FncDSW3sjxBHNTXOl15CIbG
Ogy5MB7z3g03PNjqggiFqLYAhyMRuzwPdaVRFDUwZdZlfsiHfD6gYbkVdq4UJeTuMElG4EVnXJ7K
Vx4lCtBUiAKvYJDNHQ6jF+8FzDtVG3ywneZfkvlkR1fe2Hmg4jYOx+oCOQIw4zAPwvN9adpjzFiD
arDwqxZapkYT+k8FktkND7BlZbFj4axEc9awwGy0kmhXx2Z8byZ5uNGLWP2OBJOQWZDd8bhdLqao
J4LMCp6CqKhQ/7TUqdkNWRWe4qgfP5pKFD3adKfeZZ4gyjTt3t04mfLdXpQmJB0DvQK+KM2ixVXr
7F6boogxMCiMvPdlqCVHoSrqp6kZ7PdFDBkxkuKOz//ZCzc2cuVS0H6mTI/u3YsK1uXao9jJolYB
jNp5TvOoM3r2PddG6yeKLf3b/RbeEQizVF0E4LtIEBrFqutOiUGIerZ6jHu9fFQT3f5y223Jb7X8
lq+sLGdB2jBFUDQF8pq7RgNfZhQ+Kr3Won0xT/VpRlXwmIneSTe2cOWoEu/Lfj6tYT7m4qgiwina
tGZx+WB1O4MhkGaXTtG0RbO5tl90awkxMUJfXf75qztfVWrpjnSx/L4rj9lUmUd3SL5VdTn+xYLg
05BtLCJaDF4a0vRZ42xgKI4K7z5q6w+B5jkbcfPaakANoc7KvBD0jYvVuMQQcT8zJWuo3Kyu6j/Y
yG4c8j6Z/rz9WBDcMWjN6wxd4yJ0LsUkGFLVsFSLfdAzk7Q3StU4pn3X9ftMc4sdkPdqvLttdu1Y
ELlIGKjHfMBSKhNtnh7XEktGi9HeuYh8AOPItyg61qwwWIX7krN5V+DkbPbSXHEAsltJDie7oQ+n
2NkMCNatAHkgzAH3s2TnyNDzUY26y30XjomdU/flx8EI042a3ooztjltkDPhCQHvLrxEZ2dVBd4F
K6huwazQqdaRbNX9HqZ9uQ+j2v0Cm1O6t6JQQWW8TrSNt3vlTDJEpsPDRneGnG5xk5Vm1kjnQbPP
M2MHec+kHFQk4/1Ub4qtr3zRC1OLMKG0vMRIIuZGmRB0EKt3fhk86Bseft0ImDCd142hafnnrzxG
n5tV1tHHgmwzq4Gvt7+EGm4JvawacSh9vYg9XxFTVFqr50PIE1ogeu17A4+HRoqw4ZPWtgaFCklE
yOwwTabLpRi5AbtIwvdqs7AoIULslL2wsg4ZT2X48uaby1ssJ90lLTm9pUtbsVGbLeSMcnSipuPp
ycE3NazeHuHwaIMQkMgYuDYWXrZWmDoBh8JhGxLX2WlmnfnppM7/3F7MC7548SoC0CR3B6qJVO6S
PUztzLFKYkHsm3TTRxF4qcl5c+3gS5MOfXBvQp4kJahS0R3i1GrOXt/W9TFFM/LegYK+O0fDGHSn
sLTN+7TKbHEyGnBcf3FWcZUOum3UNq9UcauWJnY5BLk/j+E/UxJrj64W5xtNrhUPA3qRihM4JCmV
sfAweauCUzV42bzeiHbFyCx86IivltV9inTjwUjEe9FB5ZZq8wYKfO38SoY4KI6YF7vqjwwMZwst
z7nvleUcSN/UY9iVYOzrNNu4KquLfAHU0weSuPPL4wutwFxpNgNcgdX9qTO4F1unOTle8H125pMS
j1DjGD9yM9u4NivgBVirKFPTxSAhZnrs0nDXB2GdpoypoYqTnkBdCGePLtP8w6j19tltlMZ5dmFV
ec+kixiPMdM8zbE3xpi2qZ7Y2UZqufrJeXjBrFDegcT+8ufkQlHiKPVyaJqBdQCOVcRe1TJxtADk
6BvHd6UMwHtB6ZR5K5K+5Tx3bJZp7RgE01qsWgfEgYhAw1qAjjWpDSD1aP3NhZH3RVYeyNWXwyFT
YOpzNnCWR9rP0LkpljjkgWp0Gytb8+9UA+iB6ewtKMvLz8jEWq9Mipv7QvMK2O7FvHcBdm6UUdat
MCEOoysN/eX8gtlXBssBxV3GzP4pVlU9hMmoHW87w7UjIS8h4TMvPKxcl2tJ7ZZmvjCghWy95E9Z
wT/heWH4MwsG9e0pj+zW/5+pxWcz5zYq9Y7TVypqesjiKvRdM3Webi9o7bPJJE6OgQNIXU7tWLnS
V5SN2Zy+9Q5DjS7zDGT69BdWiPtkmM4/yxq3GrhZWVishbZz+gc6s2Bnl67x720ra1eIRIqpSP5l
SmLhnCmbRDPPce4DAvrJdOaTJlpvnzWK2CXjFqpjJVdkNoxamiXDsCvSXeYv0H6EOMOfRPsYuUgn
KLk9fZIduGfmMgCsGG8Tfn1p3xEdoR4npfdoGCwOXz5UjgKWr/DJuWqkSDNrV0XavJeQ7Y07u7Y6
ShqAA5HPkErLl+c80lJRh8iq+27c98+x1hTZrtPRZG2DOfjWoYR0hLZk63ZdHUaOIPNVHskIlvEW
l1bnRIzR4LTF2XER7DbS3NmXmbOFoJd/y0U8gxXybEZByUPYvcXFoibVqFNv5ueh6kr3frLV9Gh3
rXV2IzcaTqHegHfXBv6rVs7GFvv0lQfBOo1Y7hqJEDn4AnmpCJD1bZxlZ0YZG2ZdzWjXxV65QxJ0
60lZ+ZwSsMLoC2hiYqLFeWEAQh8SNBTPSdB7LqzkanJqRkN/67Wj9PoyxG5T1KOOtCiBQXbZGZAc
pGfOU/SuGKzgB7yq7T60UI3ap5pdHW7f8+tPSL2LKIj2PJN/xjLLivp2tEZ0Xc9WFDVPnqIOv4N6
6O8YWvE2UO7XIQmgH3BbklSO4Vo4Vi+PJKqv6BEnTXLWRnPcG6M13ItEnz6ISe1/NKXhHlWl9+49
MbT3BWIr57It4o8hmKuNRV9vJv6T+TLJ0yP3Ur/8ISK32sDKcxY95N07tUvLU5wk2oaVq3tPX4Bk
Qk4CMTdJRWphJYIPuKvc+NyougLzyOg+DZ6Y9mE89/80ozp9LIdZfXNFWFqllwvanozmCpfgwnBC
CWKKz2o/Nc+9oY5PDbXrt8LgsIIdVHdAqZMpLL6gAgWqm1lmfK6hcdunddfvamofG19w5cRgRoZy
UpSVjyk38lXO7Np5pYXD/2PvPJrjVtYz/FdunT1k5FDl6wWAGXKGkigqH21QChTQiI0cfr0fULKv
BhxzTK+9OVWqI6oJoMPX7/cGS1x3k2yZDq18By3fPlizqPepdBJcgBMz901dEW9nblZhNQziKx4z
5YUK4mEvOd3pVo4Bcqd1+jJnNl9TFEPPjCZx1GsdcwlKGA3NfsGa+LWnNNngRwn4XIiHiLPTFQ9B
oQJ8vVyTWWsUgYLc9eW8JFrh987gfkV9VXypK3YVn/aOGu3cxRBXlmIt1l6D/XYXmXK4yTvXvVHG
FrqvwXwxg6boyB2IiYs5OOaY3eJTSP4QYi6xE7S98zekmWffFBcbzKDQF+vGnAyIRdSSk+bPS03s
H+nZrbUry1K7juNYq/dKoxCWIunp3nVisGN6eQahRFFSlHpoFF4uQ40EufEmxwzRPtpzNO4q0eJ0
U811rYVFlo0XNsFHdyYOZghzsGV514+v/FxpmkU1EuUKL/I4QnbWDzu8dbKvY7oMANarOk0smuon
aUW4TH8xFf7xqUYJB6wLEAD3/RG+kYyGjLm2pdiySLl3lk7eLKXb3LpVO7w080j9MUO8Az/3hgvT
7PHOZEH2cDXM7uDuQdo6nfD2qGGSZKvEECu5u7PbEupM2lzy8H78grl2c1gTZcOWjzL1dBQrI59b
a23igBfbuLXKMR3XJqae7dHDtbWPdoNoFmuZnZq0SOqHoLZzSIxPHz2PnpWbIN0eNhEYRKzuTYVS
GDHEl0iJrz3FjgjpHhQ9zPGlvkTXeHTEkeYAC3q9muESoG7LcsQ8wraaRVwbQ+a+QYnOfO+Eq++7
oVsu6avWbeBkm2AwAJNVv4P+G6+/01dbowB2pNGLa2XSyDHvDN+ctdejp9wuSvP30y/w3IO5nGBY
QQKRPerLN97SV0pFPHalR82uyyP7mrOlvokgnu6fHupx/hkY8EqvWg07IQF4G4AsqjBNLDrysW2n
SoWv18CxwxLPsT/3iw3f005bECoV28kIOrESuHMU/S1nofw9Zrr7Fc6v+6UfoVD5OgJyHA3JhPfL
zimeCzTwi9KMh63AXo3V0uYXhYSuFxOheNdDO2iB3XAyDZ2bBZM7XTLnOTOB7TWcgQ9N9x/O4em3
bqYxoWfDMnJTrAYJV6HPpY3RhWVy5ivj9mUBZNAuX1k/p6Pg7me6S5yl12ivk10ek2Q/GWq6W7Lq
kgDj8VAgRmu6EJsP++5WnlXYdbw0bqJf5V2WfctdgAXPkOmHuKGn/fSEelQcrWpKzDRwiqdcIfTn
9KlKak6JgYp+ZTTW+6KJj7IXbzmVvtRz+bpt5LOXirkS3NY9nU2Pzf10OFUAWCMh0a5k0rnXUU/A
Smrp8phj8Bs+/WRnXiKfCqISNQsTcKuwbCBCJmgttCu1dN4vbrYcIPFnvqZ0yYXD4sxIiDvoNK03
ktXq7/ShepR0COI17SqfC4NoXtkHtrTVK9eBd/b0Qz3e1rj8YNOMXTGfjOvW6VBlM+ej7WIBXMVD
F/QojrQ8++6mStjQ2Lgw2ON1xWAcCyiVSbKgFjgdzDZiXaXU069aNvNbVQzpy069mEF9dhQQBJxp
1tyuLT1Zg34sEVBpV11rz69Fqto7NUkvXcMfl7APOgcKWGdVQ3OrO30YDLqJ4yVOhARBWe+mtDSP
vdNOAVpsUEmriYobRXTZ50br86+yNUnuHQpnN8jq2Xm6D7/J6tS2KqYfQTqJG6Pkk46G/+ToBNqo
Ub9antzn8vleegxF6UYtQ6ML4HszM1vDLBUBK+fKTRrrRtRlel3OzbMNpNdR1hscvrJrFOR2FOG5
mZdaGoHH2nhoS7PfR0vdXLjqaI+qpdV7GDY1AmaoKbRET79gEtWTGycZu6JF4M9koEnzsRyKAwr4
KTC1GvmyYnQU+d5wl1Q4egeLYxUvG2+KrwiUav0qVmgzZHX9Eie94TjHUx0OBdpC3wAZ2hE05RUX
1tDjvcFawwrpOAAD4n65/aXdVhFpY+LHmMbeTYHviN9NnntMFvls40SOJdg6UOBQpVJibU5cZZoi
pzcn5ON4UO80t7MCzZ0vpdA+Xq4rM4jJhLEZMNqW1g63VgXB9+arIs5H3xGd9PNivmS5f24UOkIr
GkJHiiC6028tk2LB/j5ZEF4lYwCKoYeyc5+NmiGPw58JT12NYxB+6OkoilRcj9TcCSWLady4UWn/
NHtSPEq3En83y4KTSeKVn/Oq03dP7+MPpMR/1aew1FZwmibM2lRHrfzA9fzjRr2kymwvgCtXVT2q
mF37c9T2URFaXTpNO/gna3mRZG7JnHaMKyKx0+FKpiCVmKFpTZvsvYau2tuptNRUXHVGmuvzzpaK
rg8f+wTxo+U3fCztvhGyXTRgcFeUsb8oQKTBqGPA5IYq5kvFewVtvRM0uYWVva6QoHzAcnuZruOh
X7wrOTRTtucebH6fooR65UO+IgTOBxWynVrtrX7o0/aqKqJRsgDz0p4NXGhExhlfN5Yd7eO+iJog
SbnqZIkvHBs4DVqeorZI6d0y60EooVLq6Adfz1GN7HP242Wch/JtCa6iSLS9eAekvmF32Tcrauf0
qqPoLHcyTdI6GHPD6pRbYSXj96kSZhHMhS5rUn4j+3mZoKvHBfUL9txrM4s9dctfiTEvIP6LhmxU
Ll5oR115zFwhbpV5ri6V+itq+scU+TUW3YWV2UpRseVntjEBP/kEadKxCfLA5kN+9OykOYrYwoKy
12j5BzW2MG9VXHW+R5mJq1VNHXRJf326Fh+emWp3naZMVFw9N/tKXLcTLxWWQdTP8ZtxwcSUKPRn
XRd+DYI7ABbB9OR52E11nbmNPgnDpnGn4cjoKzISb4bJqt+T7bP8fHrxnXsgLtvIyWk6cDnZPJCC
+xixPWsHknM+IFBbt8Om9pQyvDDOabX266FWdSUbJUYL9AlP9xeYktiWKIO8ir08fZeOqh37U+Ek
x2qogKCavpo/4UHdWT6YmfNynEcv80kIqNtjZCVF7FuJRzZ7o2fxB+kIJFteUde3U7pMk88xyzIq
PWck9miZlC+4TkbvF5H3r6I8trjwYqRP4FlaoTn0mkq61zItUT/mSTN9dJp4fmM1WBMR2h15frZM
rRo6I8nzflnL5HXVxm0aYFJj2L6Ih8ba9bWmfcEPYxoJ/lKqTygNG2PfNDrYqcvVQcUGspXfdGR6
ziHjsvRSUWi5X3qpj1cFlgtrpYiezVAfWSGU0JDyls6rMnmwXbJIewXeuHx4+tOdIk+/vtyfo6xT
6I/tOSW7Ti8zOmGUBJgGzZYbVEWv7wdcpHZu2uV8rES+501dYrOfVjm/R2a6UEithep2zkjKiTbO
IU5GlG7XRldPu4jdOtDIH3jrttp8XWuxeO/G+vAqHjTWytNPfnZ8JIpcpuEyPzoTpRmPSq3BFy3b
BMB0LNIviZJNQSGV/LVs9QRPR3N+1SmD91HIRrtACXm8NrEiXDdWCkoLzeLmztFzS+VcXBv4UeYe
bGNYbjFbuLSlPZSkp3srGDLXa0oZvAdogpx+39bLs3bI8UbiiOtrv1cSLwlVkootNFGaM+F7mBZe
gF0OVlLabAO62V6RtnAlUvnDQQT+IekNJfbrqK29XT3U3evRmvAIdVAcvtHruP8uYxcHK8Wr9JtK
G10nxMoAM7Q1geGnoc3Lx8zUpwJlBLWC3zrOJIMkr1XBgWYC7SxDI6J9h3HAUdaZLg5DS94G797O
r+u27j5M4FGXeqTrc2/eC7Y2sLxWpxZIZZsdi1ftloXAISgahgr32NwhD7V/7xrKJWXd470RpGbd
ffGspgG0TSiHZtUQBLD6VZuLpcFdm5WXVWmWV7WMpG+QMXjJK/fcs9FFhi8H+Ed3e/NsWja6yxSx
7c9VnO+WVLz3GoXkSD0ZLuweZyaxxr1OfdBIEwC2qV4n4Mhey8zqCu13tRtGU92rcrjUlXm8R2Gp
D3/xgVnEit10XfVFukufGBKqevQ31coQmCiI2a/VoC0bPdAr5c1cm4en94cz3w3nTpYmt1eA8W3s
apWUVWcUGFfBgVm4f40/JyP+KMryfumib0+PdeY9sgXSuWNDACZ/9B5TLFayUjZXpVSbIAZkDQvT
+31M/9tJdH37H//On79jX9WImLyW0z/+xyvxvana6mf37+uP/fdf2/ytW3lfvuua+/vu1Ve5/Zsn
P8i//3v88Gv39eQPu7IT3XzX3zfz2/u2z7uHQeL7av2b/9v/+Y/7h3/l/Szv//nX1x+FKEPRdo34
3v31+38dfvzzL8Bv1wAUBev4tz9H+f1XXn8t+OlP9233j3eAGuN9K/6Hn77/2nb8c5r3YiVQACSg
SWIRgd7xQw//x30ByoC/Ey05iGOrIWVJEnbyz78U9QVMbLBFWBfceZgzq8VsW/UP/9N4wVddbfH5
r6uT5Or99V+/6Jtf+9KvL8Xr+f3nfxAE+KYSOM/886/tCn+wFluJZmtGEQr7zQr3Mqt2bYG55Nx5
kPuQ7AXqlPd+qbnjhWWwnZoMhfUmNTprGdOarSaTXr7RY87bHJaE3bKdZpwSlUy7cBifGWV1V1nd
K7EFwZj99JgqRbaY3AHbg2kqfTj33NM0M7qElJ5iwNihI5+lo4CHJfIsWgp81j+LnSKvs0bL6/ag
NpMTpA1Bc2N2g9f1jeuNBmQj85Ie7MyIRMV4WBvzH0qdDRhnC1NKnOzbg4IL8Nuiwb62Guq/NX0W
AfkoxgEqwKUvtt24uMCsFBVYxRz8bM+byUHk41Cb9jIf+in5Yk7RPWTzt4tKdnCcZ1d/rKD/zURc
x4LPQKDcaqq81bvptQY3ehjnw2pqHkg8DHaGorgBvkqXDJwfTZF1qJXNxDlgmeBjpx9vFrZwM0uf
D2Nuj0Fj4mwiFtpdTz/QL3/cPyuDh9cHdg/AhBTgkShspPmqtKMyHrJFru3ydsnfJnOUIEOOLJSm
bkJ95A+JCIruW0oSZecDNWaVn1RJtYcrTW9+mnovrJXIdHzM7TBwjzvKna7mshMM6qDdavHiGju1
04bel5Y15pjbFnBUWCD0uZTUnM0gIpbPpfEl+jnsbKVG3xqVzsfEMZt8H+epe6sYTZaGc/xKOEV0
1yYKoedxrMY+CajJp9rRIM55tdGnQV4N3s848TJ331Vx5viqPtpWWDtwwHdF3YtPk6zVK0M0peW3
3QJSqEE5inZab42LP5dez6uYZNPtGks036u8Vzx/4VlVHxe4pPej2ejfL1ZnYzSK/TTEoZhf3pHx
fWOhdQjyuNU6v+1V+QHo2zMDGqdz7Vtx3NoB/X18dO0ep5BwMq0p9rHzp44oNO/WGLrudiaL8hPO
BHMRJkYVfa9lWhX7aUnbkeNfZDijyww9T5R3uvRxvrKv5Wi5n3qM7T+ksYm3oB51407NXOVlV5n9
F1ekWRdaOQCsb1opTK4yN0ct9NpqQEVDnnuZ1WMe2I5wAh58fAm6ZK+RsUoXtI27MnjK/Oc0SG8/
GuWMr+xQZ6nfyEwdfDfSIaeRVZAHGi7At1R+Y3czF04V2HHU5X5VpCQ/pMrivFcXMXR+PNS6sevm
KSSlMf4i5TLcqKmJ35ooa7PbA3zVb+XQ4xedzYbrG9VgcMnOFr0JnYyemZdYLk1BZxy5K7ujR1gO
YPaupK/f+ZU6O29UU+gv205vsoPZC37LIqkim7v36CqhGWXRbjLzvCJvy+y6N7a02lcLUPs3ojNn
m4c0xNupGGc6P5PR7bVx0t+2cYoEeyCP2/CLVMjKVyrN/NhPHva9g11UOH7iwYjjbBrpgbAVzqeB
RnaY2pWUviedNEDzn1zNI1a3AeI5TIGnWgJ2F1OhckVXSufOS+3Z2gtCXsYgyzWx82JD7rSsjKOb
spCOF5SOKYYbTtT8pgeGK/1lNr0sVKfKVHZ6OltXhc3kvxrJE8oDi1BGDEMi+1vWT+7PYTY7EqLG
pMWVWy3jPV5NXbbLkNNHISlOs+nHTVwb/kj7Jg5dkcOuWrS09Us7n3JfLYBfQjyJ0qDVu7BCqKr7
niPkrXSrutibhBnPfj4qc+HryUJGYjaNirVrWrMKHb0dftPN/r/Q++9Cj83/fy70rqqmKruveXWu
yOMnfxd5OjUZickPvkvYLa4MhN9Fnq69oKKEv7FGGsM+4Gd+F3naC0wPsMLkeKAHyg2eyux3iae+
oIO4nvXUf6ttgQq094wST3tgBP/rIMLA1oH7sAZmrDJJnD82tcPgIsqBM6MfCNvpzCDt3OG7mC2B
p55aG98XfvG/h6Xe59iRk1iX6TIKYSo5x7FeRscfGzmpvjbEehZAAyyEL7F/8QJZp/rLvkwy4Oa4
67DpIh/aXwx1Hn16/zIKcrmYrQ/fwdrZc1t+dpSk/Kp2hf6Gux2bDuevGh1E3ko1EBhox6BTRfuZ
5D4Fy2prtay2J9N8Nw5afT8SlPy2nGMZ+dgME+rduknl+MrC7Rc7O1sDnLON6Wqe4YH5bplPHxzc
4W7yqrZxAG+i5SX7Ae5sg9e1ig9p09uvxDslVAxTfkcN66K4wPS+vhajqOLAa4byq+aJKPHVyTG+
TcakfMvHBsvFMumGN5wZC5bjTq+ngYibIfKzPJW3JV0Gw7dhFRs7R6u6yLfq0XtFLWV5IIKz0/hu
u9zRWSU8s67w5gzdORP1zhs7T/OntgWq7BIDvuU41SS/tuWiWn5f2U4dNot3rY5VanLe5SnM4UyS
jpV2dhGH9GXKg9dESReUqijfTHZc//Bqt5sCfdTo7bU9VwwfLZ9mrkr4gk1qauS+WGwNR61Kz+6W
ajZ/VHaf9aFAwnnoyKwxfZg84xSaRGS9blCA3XFKUbgkXF7K3Txb2sdsdp3X7ihlFXQynvsAvyjd
8dkGrdynZ2gfhWVzwMbgQqovxkRw8277+SamUbTvOLckpkR9dLCaREjfZcer9unsZGVYUfrkgTOW
KrOgM9qwqXSAp3QGKQkKoy0qDOoqt/Ubw5UKlvmF0IIK/9x3DeYCw15xRHUNlyEKHGU2cWqetIiP
hhwgZ2J2GudwPciPrYLw3Ne9sX6VN4Wd7R0jN2+HNNbuIEk2PR71pf3d6KwQtq3RXJdDE2EGFJcE
rsHFU73QQ+z8GeCirMNM0/TrJAWK3bfagJ+Xrjvpt7JUsCDtiuVdRNvMDJW8Urvn9U7XlW6wm9Dv
5YIFKMWl8s97SWvWc8rttqfkJIM5l52GRyfePqVbPpMjvA6FJgohB30BMM9tFV33serO1jwcqj6e
wXsXFzivK8LIxbtkpre1W1f/hVvCaem+7mQ6cBQsGG5BFi2lzb0raUt7PR31A+dzssODTqLCsosL
iOrD9e10w6RoXyXXbNtQRrbMh8WWngTR1Q8Je9A+GSMH8lhPreWM+etO15QQCK4M5twy9mWOhtHJ
xvRggHIHw5gtV7ack/0fB8+Z+9HWtW19dJo8bOHre4e5tXl0YzI8ZfYm/aAORrRrkqbZLZ0r9l6d
j69jVXaBMVIXz9QooYmsdU9GbB/gKjVf5Ypb79xOOjsMRdoLv9iZT7JSyVY4gt4wrOrTKWdWMkWs
4c0HpbHVkECGCQfF9pJH6ylO8fDh1zAScp+gJ4GJbJA7OI8cYggx4EpMZTgP9k+rrfVwtLX/L3lW
8GzFtmgUgg/jW7pq1uDIoUv+Yw6uWNoJyvVuBZzWOuYfb77K/uufJdDZf+l3MWQYL2gP8KEwF6LC
+Vcp5L1Ye09UQdyLIWMxf/9VCkGBod7hhgT99KFF/F9ol/4C6hvZVQgi6c0/qDyeUQqtc/HPdU3t
Q8IxQDbG+hreh5vtcaIL63DpVI+NEqV7te2VL8PYm++7QiT7BBTvjlbGFBpGdN9EpncBANvO4XX0
Fbon2RX2xOM+0aSUk+PV6lEkmnljV453E6tYUAlD1BeYP2tFt31QixqSLKeVzLe1eUttK8WgpFWP
6pxgaVX2t6Nr7jAFH3eOU7xciuoStL7dBnAKwzYCQdraveUrb0AVYVSFMfOVjxyWU+0TafndjSuq
rT+m4Jlt8PE7XEWqTISVNYiD4waSUmcjTfs+Uo+KIUWYDM541Cp12GkSQ69nDwXYtiYwaABFSAlP
N7ZUepRBfa4d1bKM7seOJm4puXYbslcvHDhnngo8cdUX8fagJG1enlcSDlS4TXSMYGPUcEEma6c2
GORFsUe209PPdeZLMRiEPrQKHHDbfiEcFKSFXhodu0oRP+3SKI6GXj/TqgdKAv6dxKbTPHq4/rDV
/FmJNHk0meSFOcdMjOWul3rmLxG9q6ef5fE8pxJYQTyuXzhYbbWQrtLCWCUC+6jUotpnIs463x4z
wAq68oeoHyfaj84lk+LHbxBADybpyhNcfRQ3hxEOtF22drKOhjRGHBfU6kox5aXQ7fUNna7hB/EV
/w46T9LRNlN9MLWkGyPdOBrYsexso07uaLLnx9hQnJdubFQXTA1OJ+HKIiFhB6osxPO1xNpKEnur
Uu1mNpnvVan/nGsUb34VWeXNMDXWBUHd6bP9Ggs6ArpzljJ9683aaqFK1BlhtMeprpQdJj4jbaq8
uK0Wj0jHKKp3T8+T0y+2HlesYnhxlHIUKcgpNrORWKZIqQS7UzZVO+AeT/dny8suyVM2lePDQPCo
YMapDEhXfnPCVGWRpcrApqG3VUocvGunxOiRp7FzFpXrX99lt2MpMPZNh+qV27bDj6qEQmn2rfHK
Kszo1jJIrwqffvyHxua/5tLDr8UlnuY9PUEIw1vGsNN7VQc9TD1OYzoNgZ65835sUgsRWkeYYO5a
h2lpOxyv3DnsZ3UM+1FPDmbZ1mFUOcNNYVj5fmottMbgolcc4u5uyivvaBvdss/ZU2Z/QKXLxSyX
7vpuldCwx+h6GjARFrUYQq2O8kAHnXwZ1XX6Os8sRA4xzeWnn/XMp8aGjDbTgzqU9KTTT00GVuIU
QP9Hw4aqJKwhOUSJ9byM4V8vlDYTrD2qKHhK62L6g+0CRWma0DhpxzZqs+tOlkoA98A7spS9C4fD
uvlvvx1s5DV1BioZFdzpUNDm2mIYR+04TuoQCpx8EZta3sHFeT4wS8cII02dbxs7fp5/46+HRJOC
T+zadeI3Px05tTFn8ppGOyqVNSBsZ5SobuT30h6HCzZeZ74anR92HtJKUJ5uE++LbqZXMGvasRG9
d10TMHBN6PAlK4+zo6xhaVCiVzrDepz88dWULFfqZDbY4lJJjlSjf0NOa1xYbGe+1xoGDbub7iyi
4c0WINoYq2Ul0Y+xPei7uNXljRoVbdAbnY2/RqY77/Jxzndl3E4X5v7ZoelJknv9cFvaTJXejgol
QoNwjFZJJRmRxXc7K7QPS28Pnwj8rrAO87Ata23vwkM/2tDXzp1LtMRqQQhdZDNVInyeyQhdtGOJ
k+mrWMC2pdsi/sYzdwrGpa4v+HysT7JZFFR/2MOsChywpM3hiDRH00bBAVIKR7srlLqHi1RjWLYi
ncGzdxSTG+5q7wDnGW766aypu5jsF2PhgwKwhSkWyvsqsbILb3BjsPSw2hiGkmLVBVjcz06Haeki
yGw29aMdVTdTjsmgVA5oSV+qavyhAOVXB+e+Nsw3feJ91RC6Ktq062mJ0VTTnSCxrQuz6dxqMQyq
eqBIyuBtK73VJtUty1TnkO7KwO4IZy0GS79++u2e+5I2XghrJje88kcRsDCS+0XWxlGkRfGuz+Ls
GKc0zZYGcPXpoc5NUm4nnAnE9LCZbo4GVa2xC3AYSq2T5pu6xMPRSBYba/KIEJHIu5RzyXn/eJqu
PtQWxA+W5CPOugOd1ACxto5Tq3ht6CWj9U5h+QDnuq1RBgXF6RjOlqm8TaNI0XycxtXJd6ZMHgyt
iEHSrNk0fJ2+7KuiTWhy1YnQJuCoNfUuQluu+abInYPsU20OFbdv7iQ5aO/7pkBw3ec6Bu+dhXts
MeUrf732CNT0NKV+q5u51ofakqkfHGV0bru0Ea5fOrLS6I0Nxvuhc6xPcT3k71wpynmvxkaxa2Zv
Ka+9ISneaU2+0B0ohIrxgdb8pKmu3EWKZTY74rmX+4otg5jGyi1uxGJ47y2oBDKQSc7pEbta88ql
oVusEGn8jnLQm8M5aa3a53B1i2v69jQz53mybqY+dacwVbuuuiYzy7QDTJuTn81caeGi9gdFi5Yq
TKbW/CzHHPXxpKudGxoYDuf+knGQ4L835RFYaGq5od5Qv/mpAnHTJ7VOJ+VzcqKPwBDdd2EtruJ3
UTF88PIu+uCVs3hjLcK9M6IU/2KqAaUJBhJt8A/0Yjvz83yi6T5HWfHOdSL9xxxX80hvfyFGwVKb
5f1EO8XYW2qkfM5m4PJdpZe0U+syLnajUgBm2wXO0kGVFO1Rjx1ZBn1tNh+hCtDYMBK1d/1+FOb3
JY1H/oKJwywkdvVv9ADQZ+yuoOVcR2o8haNq5oeC03nwS8Nsj2Ve5PmuKJbsahST/n0AeIYaoOBM
49deY32SuLeWQaOPZhIUhZd9iXNPgyOvF4UakhroERtYONOFre7MqsDgdC0o0POhvt3sdLA5u8lo
Rv1YVOPwSmaF/a7sXTIDR7HcIEqS7/OhunQsn9nNUI4hp0aKg/PDlhnXx9lCbnKhH0Xl9r7SetN1
DRq0f3qLObOb4UzL/Yl9nA7E9hyMlaQz9WoyjmlkAU/G3mcVzCIUFTqOp0c6d9VYtYYAw/QWdX1L
K4TImNrYmhvHpVXHgDwLD+cmQVPPVohC9peqL4W/Aim7xSr7KyObxL7mrhlakRG9kyXdpxSU69PT
v9aZPRbrPe7EXIBIRNvKPfKITG/aLeaxLfriNu+ULPSkaQaVokb7NT7l+YUjpGvolSuxkvNjLYn+
KOm0tNGICJr0Y6MXywFAXg+Fal7SS5/5rNSlgJMQh/A+3NZ0jd0voiwc4+g6Suv3hpaGeM7iBrck
z2UncVVlhjI/VxYnKuN18fzxQFI3orZIbeNIs6N+OzpxfC3d8dItSVsxik0BBXIB5AR2AnCvboYZ
h3o081g1jvHSeVdw3aKgIzLrdi5QEfm9WXeNL1rcDZVqGvbZALtn1HN5obQ6N1tWOH+9Zawk9k0Z
tzQ9EfOVZxzzCcogPc42OiqKpdJGHr0caCW9lMV9Zhug685divW58hE3xdw0G41WZZFxrNNoDq3U
JRdScoV9ehWc2eEYBf85hIxgzVsLq8FpZGqwVR9hZP1AYvYeg/BXk+juuOK8I2Tq7unhzjwUtQUW
tmupsdbfp3MG6FzxaCwax24o8z0oJYSs0V4ubNvnRgHVQP7nIud6dLHBuo2+2MhDYQlmAWr0ZqCY
86VYnIdG1mZmIh9C6w5Yzla93UGmOpdNUuqIjUsiuiGb17F6wEVU3saJHXNOTrTHgqaDibbrVJyl
mcUqhBk74WpTajHFVdlG8lNqzNUP5N/6LmWZtUE+yKjYWY02X+nGiIIZ8scQ+47U+x+NsBGYyj5/
k5el/Pr8r0MdzXeBzwtmuJnkA3iWs/SaeWzaPgkxAnZ2UzQ8L2Ps4fqA690v/xXQrq1r5sge6EH+
5utY6vAed6bxczFk8e7pZzm3b3B6sIJW+TLTbV3Rf2xPyUyQoREp5tFOYvsT1l7a2zlVHCcgHMG4
TnEthwXHhPyG8zzmnY42H1ucUi8cfuemIhROw4Jzs2I9mwkP3YFa3qqso94UeJREMvmyRBR1Tz/s
mV1/VZwyCksYbdPmUruQPaWImQsQVeX3OY3QRCMpDHL0mxde65nnwXeFvhAiAaKmtxhPPjtwo8lb
OSbT6JIfULoBdtzPa9U+TJGTums7ES0rg17YUgIRlrhXitT1x4rq8um3duZZqEvW2oc3Ruduc7KQ
KNxYq5ru2ABA7FbHx13SJ/WFUTba9oeHYQ/iZgW5Ceh/ixjhe5xOlZebxzxu3kSW9nMoqNzzpt+7
ivXNEwLx0Cdibl+zmbxbiIgMAPXv3EzJfAhZYUuyth/341vRznddYy+BtlyaP+feBJsy8PYqaH9k
zWyYMdLzmTcx6259E0OR2CNvUS7MnXPAwer/vMJ0dMVoLZ4uybXXCazTm8coMXHBSgiuG8BdF/NW
4G2Y7WXTk1tQqHQEfS4HZf5KXzIAcHwcsg9VA282EHVhfDR1uWi7PoEb7DdmBWT1/ImxunJivsnE
gF5x+nvG0ki9suHoLfrV0XdBIaam7iUKzLmXDkijQyOnUAO8PB1lAt/reGrzWFtTt6/0wdxDvWo+
/R+eBZMCvPhwIMQ+4HQUgdg6QdlsAqjjBFyryHBt+EUXJvnjDWhtmdMBwviF59m2tyjSUBRV0jya
vRrvB5fkaE9o3V5W3fNf2zoUYVnoozCN2Lopzm5OsE1bsa+rsSW4GYjxs5NAQ376vZ17Ira3VTLB
ouWYP31vw5D3QoHLcsTcC8Wek4JzxZnl7YUWVReqonNj0Rqk78MupEEXOh2rgsLVmDbzLa6dGO6f
0QYmBOXj3FTe7unHelzvcb6Dua7SSEqW7XlEW0fHrMuyjtU4y2srNqvbEirwFc0Y9xsEQm7sQ6de
moNnRyU0Eg4WtxIqptMHFCjMNadVrWMOBnOrZX1p+2qpLJ3f1Swvf6ETcm9KMd4kCbHllGxO7OyH
vtTTXaS2c+V3PV7Ju6XtCyOMByW9rb3M+YygEUqyVzfTp87S5V2Dy/kPy61Mz4/ypv080rAbgnIp
jddaLY1Pal14d5E2YTjgwp4+5AA9r9HAt+/GGOcOujxlctWVXcG9vrBLH5Cnl3tLVv2byEuqr2kz
1VrQm4BGQYaj4uLj3hffNVUl7qzE0j4AeTeNr7dp9F720VL4qhPb90IHFbmwRz10v0+rT9pkHCmk
U1BRs4ts3mlNBIvVevYRhUDk11ZhXDccNUGGreAOvmBMvLv9th1S4xoHpsyXme3AfBWieOkpogqf
nlePNzN+CyCL9Tyl4NrSHTBZr+2+hD9ZpE0MH7wnuNmaL4V/nJtHlDm07Gnbrfjo6TPruIZYWaPb
R1Mo09/TSPZnVoniP7k7r+a2kTUN/yJMIYdbACQlkrJkyUH2DcqxkXPsX78PvOdsmRRXLO1e7c5c
jGc8VqOBDl94w03UJcleyt72x7H2rlgmXZga/dhVTmBFjFCVOR0U7P5gWEPiUL4QX7TCSN8Dt7Wf
X39/K2/vLM3lJrA41lYSE+zeszPA6kZY9d0Y7YdqylRg9iqkmmVeJmWrOih/+F401ocGIHIU9rjD
HwZFbd2b3FGzg5xH24Zm7Cof1SyhKUsUYYr90JnyXSvt8mdTN57YkD9E6Et7rb4VhoRFko1O7Asr
N4gy+nQEa1voGaWY2fQ4B/BdK8LaaBrLj6qlehg6seSBl5AMcRxGKMRQiKN9okRl/iFJZCn26VDm
jl90NuQCarvd2xR31lCKHjzCMSvSwAYnfhbTI0+AqmYpnH1XTlW46DFixD003Ar08dvPfz7Iai+4
9mhRzD/96lKWMmOzO4Sgub1tIoriCmCkXVYPbxOc/zMrpsWkViFWCMxnVw1165FSOyj2Dmbbxk5a
ewde/FocemEZc/vTS0D0mPmcN4d6dfR0MZfuXkGRKiANLP1Rl9eU9C6MgoYrlz1ZAnT+86KQXnRg
eePE3K/dy21vJ/POKGblCgLk0ih/XJYBc3Fvno+y1J6ZpImJGSBavNt29oabuqJq+PqeXD/x2QlL
yYlAg89CFOCt1/ZfGeRiZlS/OBrovUCvGdTsoxkvN44h6VHESZhE9iaWyu/XB12X8ItBV3o+jRh1
jcdPB60du/dy2K57hwuEyFeJ32fEXM9uW2q7WMR8ttcHvPAuVwwUI1Je0ynonQ44jlyhSToqe9Or
kqA2jRQ6Mr4Ebx2Fz7QiWv5YaRKDnI0SiVR1BgkSyU2brQdhaW/MlPjfPgpcFTBPwFpWpNXpKK3V
Ob2One9eVHn5PqpmfZtAJX77KCDJifvASCJxcH4KjS0EryVqvb2zdmMGve2+2TgtvPm70KlerzoK
MasL2tl3SdLIKTtwxnswIuI9vtfzNpdZ9vHNbwwoH3sI4CozOqdVT621xJq2Yuy6oYZ+gGsHRm7Z
m2vf1IrBwwPrIcukunT6XYg5RJ05cbSXMM/9WRqSjkMpr3yXMwHV9SAFeQJYFmATBF3+/XQYe+l7
rwF2v0dkJA1corQb2pFp2JZzvcNsbUU0LVXYjct8VMqyOiq9GaGc0/SBq5buxmyT4lALYdwtqAlq
W3PxvKc3v2/6uWuVhmLNWtI+fcQyM6UBg3h9RM29BRE4hnZjXNsH6085PUTAUNFtWHWVAZOd4/5c
SJNjkhcRUnSVcpuPS7odF8RGJj2NroB+Xh4fDPUn51ttZwAtn06IeTYVPh8gQt2k+knXOnlXV417
BUVxcRTCSmjyJtW0826VRwUAglcT7eGBQTfU4uYGiTHnw+sf5+Jro9UHKYyCOwCf07mkbpzgjMEo
yDFHG1UX8dZKZH436eM1EMWlocChrL4ObL4X8XKse0Vl9H3EJ2kwsNcxZiojqGJ5n19DvFx6dxwk
Jm6Aq8SXu/7+X9eY1XdTX6v0K0qvWt65ckq2Uk9E+PZ3t9rYsMc5twBhnI6SNRoYfYX4NY6c+gZA
NbdVDI0on8rh9vWhLk1oxYwTn1GxelG3A9mhwEVcon2Wd1mIZ7u1dfC5vHKaXByFVpq+8hrJy8+i
MlWUCawVgzZPLLNPWTl/LONCvxL2v7ztCSEA+bMCeG3cjadvbVRMFHmaJNqTnSo7IBXZO62KEz8Z
1eLJUQEwvP3VITjBncf6Jk47u1Ri2u51B8R039tp9UT4b9xxTFwL0y+9OoeGLcqvnrk2YE5nZQtD
wzSbD0T9Zt5IQyx705Te4+tzubSFnFUNBC1lMP1/eEh/rWtpF4BBuinaG6OWhELNlTthdsoNNsTT
9vWhLk6IagmrDSAAO/Z0QmZbaVruMVRDnfdbVbXLIQEed+29XZzRX8Osv//XjFp86NOilxwKqFLe
qYl1r1RevKsVNMJen9CldccGWntwRDL0sE5HElq0OF2nk212/cfRcNKdUObJp8/Ub2yruiY8dmli
q9gPlAjmwDs8HW5ZelmsmOG9zEznQzdkzecq6q08jJJ5uTK1M/7ZnyiAexVd+9WeFvLM2RrvM7rV
sh3FAYXYdrNQw/0B4KZ6Hkdnpwhr3qsoBO9w49UpT2rNbWbXDiz1OfpAN7G9qZYu/9G5/Or1V35h
DSGxAVWaIx8EwItO6yQt2M2jvXeKodyUHG4P/ewYP948CvuNFQp+HDrDuQi3pfRFrgnD3seo0Ppr
nWGT9JV+5R1fmMtaPYSxg1QQt/7Z95yaNqKaxFw0LEzXw2q6E6ibvT20WPv93CaADCn0nl0pzixq
t2uoKUU4LYFAm9WN3Tr92/c2XD2AsJwh6HqdJ1zWggJbRbVhryJqf3BjLaU9ETdvzlhJFgjkLWJT
CrDnzPYESFTSa42zL6Q5IrzgRoDd+ms5/st9BqGWzIRLixf2QrnIi0HUaCksk0qXmOOVlXdHG9Td
5HGvvvkSZigkbtZRyLTOJ2QWNXKpam3va2c2QrVLDHqo5pupHussVACJ7GcUPc97xV2tWzny+JQV
8cjw42QYA+x9VL8a5LWC6rpmT2PmdSgCCjYOadX5alNmZdKRi7P3y4CISqbsx7j5KZzhrljYSSia
XCkrXvpW4I8AeKOhtQr8nJ6JteYOZZatqxsXG7B307RBQX/1e42T/+VQZ/cxDhllLNGY3Melqgez
O41PbqNbx9zonfD18+flxfJH4RUuMl+MA+hsKI1yPjKajr2fEuu95bQ/DdE9i26lvdflz9fHenkK
rWMBVaClSNn0vGRa2LnjtWs1MFE8ZHVsiblmJ6/pWV34TmudnSgDoNgqKnn6nQaEXRTPnJ19JXoo
ik2iWHCn50oPi250r+yqS4OtdxYNUuIAfnE6GG6dbtoJ29kLgcqKAkQU2Kb8MeZsrze/PIL01ReG
0Jbo8+yWnKbCa6dYd/cLZfRAzZ1x2wIAfPNFsdIX1jdHSWtVmDqdT9s4c9vE0t2vmsrB4ixUUdvq
15unQuLJZUQ+BfvkXCyRTHhKcp3qgtb2QGKrvrjJK125NpX1Q58dEASz9IRpY1EXPo/VJ92ukEzN
o71jRXLYqHVk/SinMX1soUt8QOrCsf1GX2x95zlD+g7sah6HmcznOKgtsxxDbyyXdKNPRnw7WkaN
RFHczywruYxAo1FDDLOocVExWqKBmns0RgcbNA4CS04kOx9uUndvdkjz7lis9fsksurfuYd0ETgM
fRhuOqdWfsw2yMaABozd+hIgYLZrJ3t8rCrkxQM4QO0dvaFsvBkU1/3Z4RLvBohcV/amiTAK9lF5
KpZboZhuEXR5YbybGiUp/K7A0XUTVy3wpEoDRwMmSVOuLP4/he5X3vA5OswsEIgGnBTtU3u075rJ
qcNY7cRz5xp9WLs1lZzK00M80fRHtAXGnSsr088yqQbz2FWbXNMwvK8NE2GrSt3ayJkFE1rs77Mi
+lga0exHiJff21PnvVvK9O3hOxITJNkrWRC46x9d+L/Cd7N0o8G0OmVveVUetAh2beNKndAOsX+8
vuIvHBOAfdbaNDrCK57udFuNbmQs8Zqbqubshu6oovgErIhycSzeXIbEco3SDnNa1TrUsyAMbfbe
RKNF2SuiEBsc6eod76C9srkuTQguCcTz9f2R1J1OKGp1iUVaokBUbZetO9RZoDXii9njLfz6q7tw
afy5bikUglZ4WTwwigJPA1vZU4J2w3HCARxs0TRfg9RcmhH1FoDFvDXoYuvv/7UYaFPFCOvE4uA4
VRXKois/OfDMb6R0pt3rUzrzP1kzHpYcreC1u06d57y1YzRoqtlmq+y1cb7j+nhsjerjUut5UORL
iv1drPp2WT4qZb8zR+VjPKOe9D95BiDedOfYAPDWTudL0NS0GiimvZHb3W8r6psv0DNl6GI6vsU2
y/O1qIt2WdE64eTq7Xt36LUg5RJ6c561ksapNXOzrfXms9xElAXiLpEW7Ze8GQ6lCXfCKMTw9usT
hBqtBmAomgGN7XS69UxfdEw9LoPMxYuDiucm1Zvpyua7AGJkg9NMI1Mn8ngRlLZyUfK4qxW4ALp2
0JFH/JjG2hQkkYkuIGiE8bYfFe19skjvXtbq8EHIKnt4/dte2DKrMQKozFU15cUbNbXG1qTHuWZD
634SBTJTo95UV3oEFzbMCuohoQTTsJatT9+ooZcTejmZOBRRNIU90tpPa8P1LtaEeg3cc2FGQBUo
wiOh6wA6O/t6Zd8WUkaKso9UNkigR+OHps/aq8qal+bElyM4RWdiNW85nVPq9NmCvjafb5R3lWUH
CrhgPy3joxyt2272blLVDQmZj/OUvFsMcdu5y+x3g7jP7TxswW70oIBnrdiWRfG1z3HkzJpNVng3
iVCqYFHn0FrhMYlxTcDoQjoELJKzBf1NZMDMs22kLV0256opDsAinwdAGQhxRVClCSAKg39W9tvZ
i2zYtXdMmYji5Hl8VcDGsIVsxcGw4t43Cw2J1cgYryTilw5LBuCY5D6DpHx+oXlNYs/RXIoDfti5
HxXpLs5zCB+g7yz7nR2Nk89H+d52yCal9sM0OG8/oIjtqSRiCUyP/LwVmtew05J4EQdIXtrPBDSU
5jct4Kg371qEY9YquUeNhoP5dO1RgG1idK0YZnbNMM1aza/gLF65uC/tJJCjxN5U1VYh6NNRllGZ
NFlF4pBPJq7eVTUCAEHqdwpfn82Fk5AaAH8hYrzydc5VvCqlhhqMnOch1wrH9KXXl+91hGOEn6KE
A15UgmbxhT446UM+efEj6VWRbwSutr9ff5SXmxqwJpoJ5ILUWpj36ZTBbOaGq1bZAefNW9cV2Q45
CodQIrtS4L4A8Vr536wVzkTaN9pZ6plmea9iV1Qcsi6eAxnZxbcW5jQ+oiqUybZUxhBX+mgTN0uP
cS0BIK9i6Xn/WnxU8zS6xoe79BVITFc+HOAziiVnB6cEjGfJRpSHms/+vqkbcU8xpb7LoiEDGlOh
wLwU/fsmH6x7rADHPUyI6s1lQZbA6k61ukdRfzpbck7qGpnTlwl3uzZ8iexGvc20Mo+u3L0vPzMZ
Kykl47BPCYFPP7OXeFo/JnZ5KGD4bCY52jt6APOuUutrufiFoahWr9Bw2t9wxNff/ytWTMs2o0Ou
cx2JRfENq042lZYjCq7rV3vkf/pWJ0kWfec1ll89a8Bgnyf+KBbSnEPX+OBEY1eHM+zAaNOkhGOH
vutsTNSQBfhYTE5Op75um9lv2ykt8KxIvX1HiSAO1KZ2nmTSaN4TxJQ+DgthwJ6H06NXRxs2PQ42
AhHOUEEruNrZVT/oQSaW+HczUtvQ6ll8N/F5rv3YnodH14rE5JtNl3wuMm0sUMpk2/pe3C3yodVr
AQtSdNXtYKyShFZvcM6Yzvi5B8fahyNvCnIpj4R6IHpVmp+acvjtaaX8ROqLBJ7wiEn9SGbFeJMs
Hv9fX1f2PZC3SvhqpVnNppy07ibLsnr29SgpN27Sxqt6p5w+F21sfVWiRIfMu2gFyfzqCuXH6FL+
yhJEU7ddXFufe7RBP/IC5wPqvNDCylmUdxOlF2ODbqOB0XzlzeOTVkaR2FQlRixB4yWN4WNkSUW4
TWtF+qPRwT+Ilrb+iAUsDA5ZWbIKpmJBfsaHCGfsrKTjvYlB1auFi4rO9C3WF7Me2ko2fluyfsrD
qpytfEM6TZd38KSRb5a+sJWDaWATe5cnSbznl9kSTgMCEGVoSFVlFNGnN41iT98mUzYlYu0ACH05
dJkdmEo2eR8HvVNmGKmp99QgPUg406sUY42x6B67xVEpk87OdOA6stDirCq7CZbMcqefkVZU+btO
14oGcoN0aqrGbmn6WqFpv1AMyZ9GDeH4IBW4PxPuiOiL1imocCcIsHTbFsmpetuUWYEENd7UP6PM
I/E3UxP+MI1nLQ3wGC0/c6k2rW+kOqblc65YNQQKuZTAibNpOGiGV2Y7BeSaEk5eby1+HAt43043
Qy/H2qxC5dobETBXnd5sNhgDmT0VHXQpA2nnqeWbGb2bMMc4BkbGosxW4MTljPiQU+LGZDdUVkG9
5hV58uqx4Cdei69Tii6N3Mhl5qdFotc9ZBCUtt6hhL1s+oFkPuhnPMzDJUH53B+sgkvNA2xZo2Ft
ivuihP1KrQjZtxAMefxuNsHx+d7g5Pd4xwxia9lzLgIVtdIuRAiVmQ1TX3a+KePqg1OZEercvZH8
noRLgWye6xy/RCXy7kvFQnt9kINt+naat59AKXpIwiqxke8Uwr/hwa1zu4Kd601HXZt0PFXokNi+
skSOElpo0c7HvtXsz3/u2DfJOf9fc+QAN0KUT48CkMrqRAPG/q/A4oVqYYDNR/stv6BZeOnn/Fuz
0EWbEFgPdpDa2jH4l3qzYf5D0guVmRAMLdAVC/4vyUJF/wd7N/4APUcejKD3v9SbFesfEHJo2YB3
MclgIUy+Rb15LU2f3ivGCmBmfeBpB9Pk7BKrmpgbzCjMA3Z5y++0tefvqijMn8og7KNijc41A40X
A67ZKO0aoDoon4LNPr01kQWOUD92LKIje/4QJ6oWzBVygcgcFBtnMvK3pfx8FQ1sGSUFsLHAz88z
okGNELofUE3qEYx5MqRVfx1r41ol7Cyg/jMK7kJMiksae5ezsKPz1HFxC8U7mCKZnkpZ2VuZ2P0V
S77Lo1DBoLZAZ+1cMKlrPbBOhctcZq0KxzpGTVtehRyvn/yvJbHOxQWuDY9q7dG4583oUl9ab2lm
71DFJMmbRNrZzis8Ywr12pyvxGvnid2f0ShSYOKNvxVoAzbB31GUbSra1BmRd2jNGqX/NF5WHXwx
vOOC0L9LnavhT0mI81j3XSXLYNmUxRL5ujHXz39t5Yf/nOPfbjVna3N9FooZgJQwfaPCcI4e5y4n
Fu766GCZje3b4JT8yoo3CGE9x0t5LTm6NBqcAdhdFBnWbP105vOoDHkkZHQgvtS/zjWtIy9Dkwdy
jY7RoLDMzVunR5GRzBK4F9WpF0VhdRhUT8FJ8Ai2uwmbHI+MwSqXbusoKIztMAjVrvQGXi5Y8AZ/
RPHo1K8g0tMpJvA0+6mPqmMyjdavKIuVhxYjjafX5/VylHXL0elbS3rQS85qUJApylUrpjkWkaF/
8Oqo+TwtevO2AgCLYx1lZQVziNsktKdzQdlkskWtNkdkWSrUtZwkrJupCl6fy1kBh1FI0GgkoqaB
hAlH/+koDYoq5WT3w9ErpXOfqei2j+BF94gtYylhTwuyTdo1K+71M5zueMByK8eL3IktcJ7JoKLu
GNTWhqNeuPLJsFMTqRwj8YVmAJjP5+zBW+L8Fm7rdGVJvjxrTkde98hfOVRutpZCr3Y4xk5XbFFO
SEMV33TQzGUfvv5mz3HG66ulqoLWM1AbFXbA2VhymK1SXfThSNcpvs3iPg1MO6/Cwc1EgAb3EIyd
9JGIcHZNp4yaH8Xd9BOtniZE9E+/kXla/HKctNwa+Ihucrcr3v42KE4j5cSdjH3DeZGLL1DLdh6m
I+5Y1m0tFeUej9ESJcTymgb5hXVG1wvsBIEPC/ocJ5nUSmP0Zjwfxy7Nd6S4NiBWimja3CJcD3No
MzaxcWULXRx0RZqCQEFz9FyHlprJlCuKnI+IcpQUGRALz2pzPCa51zw4smi/p26q7N7+3dfqpM4l
swo+qGeHUGdnomirbDwWarXczHJqiaY5B3P09a3lQ9rgJNRX069qINQvVJpYUpQLPkA2RpM4K4Uo
gcc7rRhHfaU/Tg+jRSHjyuq8sBFcaNS4AMDZRNbvrDxlVQlpfS+m42hFw3Z2liRsRtH56iDmK4fy
eYFq3Qg4u0FR0IghOGTOXsjoxXGKUMl0jGfRlRjNlsZvVNK81MepxvNIxeboW8kspe/EdKh8pAK0
T3lv4vopx0b1gqhNxbUW36U3wBFL5w3x4NVE8fQoqAf0dy2Hxa8Uk+o71ugF/aTQNC/aaytijTHP
zjvcGRFEIHjmb/vsBdjtBARqSOYjamJYEYm2SG6Hfh42KWjD57JO52ejp5bmu3OBTweI4sYf6Srh
QNSYVzDyf1hPLx+GhQmhnALpeedLjUya9yM7UR87aHyZ5w2bGrGRO0svrCNnQImiWDlj4Q1X6plG
wm2suhhYCTaqN8AK9PTCZLVW+u9aV+xdgxkT2joNLk/XYrX1Ij1/1JXeglooFxRXxuknGpZU2Fam
zkcQc72NTFlRp4FVD6MVNDnTQ88X+UK/MVLni6w5b31TyafEx/17wMdi5snCQU7DlWPlQgxpE0Yh
vEn4vUoJnj1XYjmVNyr9fByKqg2KCtheWEf4uxZ2E91qqbQD18uGAKWX36rU6i+EXd1mrK3lWqHu
ZUxHZG5SeAT6yCF3vojL3m0bNeeES4b61hzz+Z3uJFGA+7l509TX4IkXdzK43BWiw60BTPH0gxR1
h0Brmi7HFu2xW0fP7afRRmx/NswUhaxlNbmrdRgx4p2rFjV9k6o71nrUHhS1GD6+ftAaF7aVR9oA
TYZslkD67GmiJI0j1DCWIwktuntZZlGBoZSC3U79oEQ10nD1TM1GGctQU+v4Kas6GdbWbAQ9Zteb
udSHbWxijJLyfe7bxvA2XptnP3SzoDLuOdGGbty8cYA6h1G+uBAJs+pOaDlWaWNsPLl6/guKbLcT
+TBt9Nb+VlYU4gw8tq/c1OuKOtsJHp+XZI+WFA2wsxPEVaZOX5ZuOaK3n2+H1uj8PjWvdfPWkPLF
KPx4oMEAH6hrn35eox61Gl7BclxwJHoHnbilnCa0cC6luRmmjEJUZTWP45C133MnGT6//kEvRUwI
G2DphKQCvYzz8B0c0uLV3IXHRQzzTk6u2OhqrNCvcDEFq6LhCQHf7IPgWA9cKx8CVyhUh/OErtys
OKGD7gz+PFD50qybN27bjeGVR1yTpPNXxGm00qbQpWLznb6iFunQfhyX5TgpXh1YQ5vheDjN9zB3
H1eacEjRuNw4VeSFJloGWEahXtSw5vajY3h+XDrXGqKkVJeeaZUApKHE2zvnAKKoUKmDpSxHR5bL
r4GYYZuhuBmWQte/Yyvf7KaoNKmydp9wOmixAezrAWs4TavlgfJ5cg8ePDZv2x7HaT+eU0dsAA7Z
Q2C00ilDaeq7wunHOsRXd36A/xDlm8hsNP5npTE/kSD0Hygocg1IzsviaOTPY9uIT4UhxtxvY6RL
fFRC8yawWwu0FbAkLQ+gtTVpOBtxWQSWMlflTWzqzfduwBnyZkxKbOo6sFLDZlbnyvITpGagr6t9
+ZD3YNhokE/D16KTahoSG2NBL/BXjIO2jtXVc6/UkqBsyHhD+jPu79qQhfAzuyEeH0DKbbCIpDY+
YPW391De/UIjqUv9ohLRt7Qq1Tsr0zWJcIiaPIlVB2qDr2C2dzxe6gYnn/TWoeqSEbvGNgZ4hClf
Ewzwjmlnxck2y23n/dxELcZWTl38GtsJe0c21OhbaAu/a51cPHRu0/zQXKCvAypU1YYqdp75AMS4
vDI5ml9TacyVX2momgcFMjbf7Fmn0J3IaPgq0c2fA8tK66/S7cZ36ajF410ZR3PrF47i/GqdUaJN
MQ/Jt2ZRJjOMlTn9rFRTDX8sTXSESVUrQeY8RYgHX8YpftRBwPyw86X4jMsihZB2cpwvuZrTNbNS
FSyrW1YZmhZCEWoAO0zB6ovOEFqmouwt2rptnt4Vpt62AVx7LJrKYexu02IymmCyBs5ZCmbCJyMs
cx831vzZ6mdTDXGJVB4V3BatAJH1LY5L9h1FjAwd0qpepN9GbrxgMlilT21qJsKv7SjCMLRW7Kcq
HhvXBxAYL6GxaAYI4pomtjPOlbGlHDiy3BczOlIwW1qf/dM+iqwwxlBIqTz1XVqhbupY8ReMF3mL
take9b7iTzmmMDBCy8bevdWLof6xcGYmQdc4w6MWwy72aU3pyO25NUMDfR9+FWA0x3Bo86TblMvs
qlsjyqbfchmq5samrjWE+BzkeJbVBXX7HLP3PNSbvJl3pIPlLxsp2dJPCfcpOhHmZEHTS/RcjbLB
Xa4yhXuIGsFGFXqdbqzYLGgG6fkg/MWAA+HTbnXcbUZxQtATMuvv2pRV2aafBvdLP1fFpz5atGlH
OWptDNc2/mZ2qlV3nl4JslGr8R7rslGzYIzt9gtpq/egdBESnHkOyt3hP4iwF0bz0836/A4OpOAE
aJLEAIdBW8z33NTAq3Ix80MytcinGBmThsdQJ7cuz9xj8WRE3+tirJf3tjcaz9lQ2K2v98P0dSKn
WvwVxLbTp6L6aqapXd9Vud5C0u0SFR9Ze4gdfxx6Y/HrNsfuXI3NbqZx04oUl7IiflogqS++ngLz
pl+V1XeoJrR+pw3qJtL79H5UFB3Y60I3cq7irgdu1mSYt8V28lxATa3DxJ2inx4mfL/VFjG2IOt1
ZIsV/AK00I6NEi+7RdGqve01mor8xZJ9QuxCjAGrY0l8a54Av86ti0uZOydtgRZVMv7UhpniHnrB
pRV6npA2EpTWMOAfUKViBzLdvXHsSecgdPtlX4FMuNXgYZrBMDWozbm9mn1SipheGj2qvYJBrOk7
Ud6kz1OD/OICHEv6ZofTbea73tBNtwUXj7itYrNpblU7TrKbIZ118c6KOWw2U2yaClEcIsCBArV8
PKjtMv/oc0UsgTJmVROADKmFX2b4DW5pRPWdP09e81w3Sv3B6RsxkadKsziaTo2dnykj8b3pOlxS
1z7aIZOJ7u2UuGk/d9kCiWCIXesp6fN+uHUqbbLCOXf1d6y2ttrYXp+ie6jM/UdMDnhR7iyMJ3Np
UdGeEu0Z4WNStGjA1paDCi6k79iZ94VjY0h9fVy8Er9XggdCfgSPA68wK5gEZdk+jrjWfqXNPeQh
CHbvVnhxUiLoV3X1pqBbDwol0sfvdSRichg+Ms9MQPvJMqHHQHi309tITn2yiTkRf9JMcOpgzuXI
ra9OuHzkpVX8wBwG6UCITvQKe2k5vuQ9pIhVA2lfOSjorbQG/1nvC8AvS9nw6ythyaX4EOt1aoYc
aWBWzkJhpZG5kRKgHV1nUI+LC9omGLpGVXe9ArqHoCjJ8aRcsuq+yqNhCUgV4o8KSOUSF00tsUKr
ytrOl4IdiRdr7z28/oQXEhUiFHqhPCKMhfOUyVPyCHwpmYNAlINuJ7YdXASxQ9MZMNcdXpQssNeH
vPhOXPQHOYtXvs5ZvduISiIhq1+OEmT4QZlz+1EOgOheH+VSTkTghTACqr20FM6LaH3C3MqoYZi6
nQAaVF28L2Lo1EFRJ5g6Rhx36Jw5jf6+bGrzt93E9m/FGSqxbRMFNOE46No1XZqLT2UirYL6BLhQ
SDancWpfesJ1EKA4DjEO2PTjxI4AYn5IUj2siFPvY7STN3kh+8RXCtHfTHX1wTVEFOaG2X7/847+
v/dpqdWwfChFQsNEdJAl/d9b64KkjPNv5c+LjdqXP+hfjVpT/WdtudIMheEFpJ0h/t2rdf5hbMpz
VGUhCay57797tcY/IEVX1OXak6Vqu377f/vLWf9Q0gMetDL4Afyvf+4N/nIUgV+khDzWirekbgsQ
Fl+D03W0VH3ixE2R3kmrk4AAbF3uRjUfakRpqVItAwYKg4TpjHTqF8Sm3+egPKK0DwHlblU8r+9L
VxwBdVs3hVvot+QLfjqrH6fSeur65LHvjWd+6IcaMYqwWPR7r2p/4gReElg4YieMzAhi40dbuvxZ
D83tehI/p3Tc1Fq2myMz6MT4q0vf631/Z0aFF0ax/hU/+Y/50PhZPH7rnbF5ryZiSz2AKp/xXMd2
d1er9qe4wavca1GCzlBsCxTE3MrpxzQ6nwutSwCpdMzPSG/qeap3ZYXBOuDFg90v2ZY+zGOd/Srr
hVi0i8GvL6jjj2R/or3portSw+reXfYCjC5NRHGXdXuZT6CVgHEoWtMfaC95j6JfAkp+23gkEcnn
GyQYtrqsuq0LpdVXqWhx/6pdwAq6S+d4jz+v4ZeDVQOsdbeUvT4XhbJrhugLePbBV/XxUUYjSVL9
fcRJLk7f11FU3LmVjANPEd+nqfmSgvek1j68z/F5x2c8GoOZqlWYRhkyDAnibzp2C9o4R4EwyvTG
WzyiGjIjN1HnW9G25mbGl3txpo8zTiJH2Xd3la3um9Yd6VIV7Y0wp00rmxAhhC+DOVHQbLx9n0Wf
4lp3tsMA9HCU7X1ctz/snqYjTKrnmpoaLcjmC5ppD13V77JKv2sa4LbaoplPrLVv1oi0a6dhb61R
y1dUf9EX9yArQ+4mUO5Y8e4Mr3s/mxJwTPndSbOYRNNxHgn3VutmlouuJPqmGKzokFkjNhEig3DQ
i6LmypN6/2BrQ3VXJrH6BK3mG47F44EV095iEJS9m3Xcj32y/wov9LGvAhUcQxooYMC6cB4n+52S
KNRA0UObtite7s7pPaT58ejpNiZjA+Iihf06w0HznULtfwMBS25Gq2T4xtCWwHLy4efcuPljDi43
xOIZlJElkui2iiLr1oyLsQv0CtKTCVkb/wxSFF+qMn3SK49FRzp56xpJeo/qrg42ehpSCmJFMftL
rJBpm3b5oCBH+CvJk+qbssjxvTTqKZymqtuIpC7u+zwaQQ9ZOEBgx+zd54YT3/GAFhqQeRvIUq8b
n2Bs2RlTOcMUgc5GpTpPj5GRmGpQsU2A4uPaICOre87lYG6BNrtf8CXvYiK4ST2M6MF9w7VjIjEY
U0htGaJjt0sZ5Te52UyhYlGe9nv0r0t/SkusHTIivMzP5rS4A18pnxIFQ7Kkks1jKWPqrZYG02zi
i4ZNlv4HeeexHDeWtulbqej1QAFvFv1HDIB0zExaiRS5QVA08N7j6ucBzV+iKbGrqUVFDKtWlARz
cMxnXpO6opFjq9z4hhMGaoWP1XiiAJ7cpGCx7gUVEK6fq1hPS/HWGPSTppkku1aleNlNrXgq1MIt
oUO1aIwBqSMhv6VCnix0KKPHjNiVJyTxtpJMDL3T7ijutfuEzHUphmGzVVGfPM7a/hzslWLHhadv
+kEguRPb5qRoheAU3wTZYUrBjxvIYgRByaH6Zd3akCNpJaYJYZscCXvMrNPFgA2t0+FGrI4UQWbx
a7Ow+I6t0ezMZIzJC1O3ifvDWJF28SCdt00j21AU6OXEdPDwUIhcoBULfDIu00ZcZ5PQnYpapi3Z
P/AUV7xiMbXGfdFKht1abeZmo6ItvBqxTQMhzaGp3CRO0kXhiXhvGuJ6iAq2l5g6Nu22r0GvHCd6
m687wd9GCEVsyMgzajfJvkz1icS7UC8o0ed21IrDUZF5+9YzNmYqnU4W8iJ5F4tLQVLY8NRc2daS
uZPkMXcCgQdXyixb+EzvIznAxQ0Im7AKPePKp4KUOlJk3o9Tckv0WO1yJTkSKv+6E/0wcJISeOpU
hXaua6UTGL1/0wvZRvEmf6UIXbpAndaFCUPLEbsOpaNYL1TZcrT09GikmGGM7YSpSX+bp8YiCYut
VBflptEH/1QdRKha45gtqk4I5xR6ZcTNNveLxtXE4Zs/FUc6tATY9IPt535il5RMzmRmeQJetOiM
XaeM9cLAKIfiVO6tfcR9ktrCO5588FyoC38NSwsHg0xQ3UkfptlUHkaiAcEza4d0hG4QIHPglYga
B/5Zidv8ue+DNCWu5CKYkjeWLeonvYxLjGbRWNecQv421DdBtsmLDnJj54TTfDjKFP6G7KwYw9NA
tNbpmFA4hXx6rmXVV0+JL8bOpByRa6ltCNWCsB55+V5bNc1WIqcVyRdGfiktSiqCTiEBILQSo27t
MMmPPKFEAdJUOckF89xiJgNqdauCU6DVwD/6OyHs7rNe9NakNNE5Kvnycgwtd0CY1A+6WyHOjkal
PDBqLEA8BNmjfIVezYpeuOIwncjBCoX+jnKNPfTSk8xvE+LYaXIM9qff+HV8ZgmWq3tlsckGsbWn
pHGwlyr2Qi7mAD+ZP5G2YpO3PU0Qt2qbHCHwHa/7vkVY058UR0SAW6AxOoBjjgPFWg7eXQxb1wS9
vuhCkMtpmWYHyJaYbjz65kGTbMYyAJnsq8J36noIY2YSQKMs4leWQK0mPi/03D9rO7Ny9OmcQojm
JLH1Y36fRZarbpyml3oewBHOfY5Iod2mYrBAUqikKAMTkUaw1py2uhJS/ppip0+yXalVqwk0M3tg
KWHUnh6AEdVXvEO5a82stQE9hKsK5WgFyT53jIxDT9Lv9Ma4sma4qej5531BYU9PBtWuxmNfRp4z
BK8AEslYZqJxXHnivkvLs7wQvqVTIdldqngnyETH30YxUWya2lQBkaLRDF+iEMj2GIWpuOi6NllA
Lb8AIyQ4dYFqbzgSV3XQDhdxP1yh73KmhNNhT9HQbnt9qfSTeOB7Aqsyr9ZJ0p9pYXdHSdDcTIN6
o0WSIw8FVkONFNqmr182GkjWaBK/a+Bfu06USSsBHRfWwNdP48lVMy+/DzOlPtayQboCC9i4gkFZ
a5XESmGjcbAoB6Nx9VKO10MmHcvq1KxCkFgndT61S8R1pmPakOKysMCUF4qTaS1wrVQB2DvVdtmN
/g85F2gFeGEK9aq5SNImdYoQE0kDZXoQXpVTVnHE54rM0mG+F2fj2EvrXsoWgk7/tS7AH6OLumm1
KnS9bBgX2VQVZ5pFvFWq4X1LFHnY+h5fLj7S1HJFiVqjKutHS626UepSAn3rb+Mq3mWRR7CrXvpN
g9cUMYfI0qOYr4ZifT54Ou8WZvrNWKYU7CnientQEuZtazbghTV48atkoie9qJRRW/VKeI6ErF5Q
4s5KJ21bxS1Rbz9tJ0r7JcvopDIQBCiKUVrj67hMNfW40bvlNPrNdpRwPZmEhM1V/joUgbZo/FJx
iNOi7VikVBd7u5HGXdLna7XxVwUOuBsgjcsh0xyU3b8NSXOklM1J3PKs5qhtUj+9oGpxMdbZrhkp
l/fjuGp0muqmBkxfn3ZTYG2qPA1sve7WlKGcXsLjJpFqV5JKp8isUymnsIVzQeBMZXocNJK16dDV
tX2ji5a1FxxLTRbc+nKqo+BJCynRCpWpRHU6qaYDxQ+GE5gY0N0NYcKRM6sdYwi0M0MfJ5j8ZeFq
UiZxno6q3UoIrBjSnTZSupMH3c7oUZzXmRw7EF/cIVZpoTBpEMWOHDQcvsuhddR3tWhrndqtwiAq
DoKODgf8k8LxFEFaTR3bXVoQiw7BsAWP7R/74WAtqjRqAWsZP/wu1mDEI3QqV+JZwYlW6OJ6BOlQ
+lcj6sfIR2xYf0dqr+hHqpECR8dhaKqvLF1w0wELUwW6ww+hOJGpPK9jedrrdANSa3DUZrT1wQRz
XllHzPYQX6b+oqi740A2bjtN/1Fa3Zkf1yhfxRshqE+MZtgMsSDdl03TMzxeagOPLVZU5lt3om6/
oEejnAZj1draaCwbQT6WZc+20uSqAMDpTJVcr+lEpHYYsPwC8SvkGPgvISnJJEcnul5LWy+Dp70X
hYjCPZkAl5r9mpZiR7opxKJkx2D5B1utlJ0A5tgxunhaZ0N2KxtRcBbEukzUk1wLkXwemdO9gV4C
75saJ1XS47/iVf0yi6uVWceSm9dkOuXo36QCXSRDoqhsrhIxk9dB117Af6c3KtzjGk41t+mmTRap
J1pESE0tP7T1Qj2k4XgJnYGDIszDdZ1ZB0POpmhGnKCyFGWnJjLObExJs9BKs3c1M/sRRaG5JfLK
XWvqrEVHBdROM1p9CrVqYBxGjzF6IZhLrRxjR1c4TyAutAeyJebnRZYcQg1fVNm00PT2VM7r6wjd
7aZMv0pZCu8gj69bVV5KKSxU5T5u49OqNy9beVQOLCHeW6kgU6gyziNcnBdWKzduHVgBfbtaEc88
U1Wliwhdelvhn9T3ahLrp2rgdRvIuuawENrejO0aqkBtd3EpNLR0SCVu9b6EmpE1gmOE5b70k7VS
EplP1lKvPTfvpeUYdO7YsPPkk0kGnmN1kU1E+kJjZo4adclCi3O7jRSaAbSVaESEuA6SPc8MwfuC
1GGpCv2ixdA2VFpbsYRd3N3R3+VBdLUsqMlr1eGElURQdle9oO5h99w2hbIKZQ8ryla8aXJsoypT
JDsyT9CSWDTFsFSMbDVvMp6hLcyxuk9ysv1eO1GjhEq+Kl1lbbT2zIEMwoRJJAT2aIrfh04sHX9Q
TzMh9c7pLap270f4WiBOncmnzVwISC3kXGicGAd6vWYZKxsQMDxnP5j2oNTrnnRlatTjSVGJj/x+
M3r9svRbmpBG72S5GTgttKYdXpfxJm6qK7Nrj7zCzI66pO4co292OD2H7Ofjxi+Sr4qMpNsQKEsv
77+Rs3TEtdVg0p5NV035repiSt66kThZJ9Yn46R/LxPyQXBiblt7pivkWYF4vmkBU8xaN0rmE1hL
6EYVrbicVLXH5CGMFuheJQ7Wv8JZYBirNohXco50cS1fle2ctJnEYZf0K5ZIDRd21arRspV7zzHi
rMPBT68vMo4+9NGOu3KQHE9vq20kp/Eis/rqYhKiRSmvJJnvGmb/f9QvwXgbaLxQBtQBSOiUEP+6
fnmWt03wbvHy7VWei5fSF0qTWJPgCENlbxZW+rN4qWkyIuIznh+AKUXD5+IlFBQVzKkIdAJJktkH
4M/ipfUFsj21S+DOujrbZcl/q3j5DsAPqo2EtoZMaRXxp5ely0FTO60SqmlXKREoHnxHWrQLw7IT
HB8j0cjOxzg5MEMrvklSrTqKBNahLecJO2tHCBm5Ujcpt4keoDLj0WdeSyAWPqBYPKDu3wBKKLGq
4Eko2b5GcNWhH1feOI07KdanbdaP09mAhmQLdWzwF72HMq8iVDO6igJMrSbjVtW0wgFaqm1V2aPI
kkgfPdN7zRqqvXwBQEcyhIGXI1f3McStMJjgcnXZcmjwGBgMgrcKYsUBue6ZpmXK94zOh1P3Yul2
tEc4coOwp1N4XVY4PSlJKtp+MSXfcDCu7J+m5vHj6PzMm3gQhHo9aIDvsLyj/gZ6lQr4Cxj3WHhF
h1rZbgB7SC0kqled74tLVPX6I5+26xG5N7z9EU5cRJwmBq410xxxF44IquAd5lEjbUUMRhfJRFSv
m0gsp8VcO5SkgCQkiRxdq5WloJTJB1guZvgbCBHsJzjhlOrn7/7y4UVRaSvZjKddDfX5blRAexgK
aPu6tAy7SKxgn5AS/jffFGo8+vSIwLxVW22sXhE82pM7r1fU87xVqaACNZsWUlm2lTv6RkYZEWNN
FC+Q5I/HyBXYxrcTwiGb0PKh/bRoF15M6HiBYZkMamaK8vdI2yCFcTbAzZBmCz0rPAheDs1gdbpe
EeLtCCKSRY2onyO3ibX59fR509OgUsvcgQdDfwcI7KvpPda+mimpJ+6ioL+pgrHfNShyjasYXFq/
ACySeXjIei095HDILsUJp6cPaBfSm+YkzR0TSUTArTMr7TWBK2+TOCqqfNoZnpS5FMW1VSWU4aJX
KTi06Ge4ph43m6pSiqWvD5Ht1722Nam4noy11q3ACwvOZKndB9jWB2L3i6U1Pxi75SyliPqJ+Wpp
BXRwI99g15TGtv7WQQRftZCw27mF3B1gJxwvm6YCl+EZx/qYXAWT0DilR0Ks0YpxRg6FjaQ0vlsj
XOm21DY3qSoox1KLcZqZYsbcw9B2fSOg0iaWgo11smUXUoFBSRDm+yBDwpGNMtzkXSgu1SToT/A8
ntYeGPqlUlEONZDg+Mh+dqZFvlyVdPqoRNMqBlkEIuBVo6sSB6yCs5SGxtAmpiMB6/qW6mgj9Ipc
HraWJ1D8YIMrm0rs3EitzS2OK4iqyLU0p8im97Ux6o5CsGaeiVC7G02HQdYGCTWPqhn7rwHmE80y
awDmgBBoklupktStIYiyatdyWLT4ylnC7a/n+oNOyKvvaaByhISVOk/41zoIA/L2kScr004sMjTg
pCCSQccJKGM7gRnq3yqFFpOrDbp0qNcGynGifCNQ2DkyEx7HFhstv8B6GdMgRxuK9vsHj/dmM5yH
Hf9ijmcDWsjr6YZOQEYtdBR3VI6L2vVynZMkTqoKPBhgyQMJZMAhcKtBWEb1yF5cjIm6jUwPAKGu
KIVm62qSrGSW8XqoE4HoW47LQ7w+YCgbyod+wG+x3zww6GfkRud1Aonp5RYVRCJRb9eIu9bq2x3a
OwpYN1lZo7U2uYMvgrkRYiW1fd+oF20Y9XZrkBaNeST/7VPw4VH4spB94Ra8BjhUgw6AQ6vFXT5l
JJ5NP236iGjI7vpaXFqCBvZuxFpFKlTwRpkS+7agIffV9CboeI4m0oyhdn21QO4zHsyFEcBFVMV4
+AqaR3HA6oRLw4tKsE3CR4SgeT29npesNcJHg4ek5P5yHE1RoDaTdzw8FufEW+mNPwwXQiXclVru
QqRf6mK2/GC2zR/n9U3hIBny7A/E9vsKEqJ7yeCTKEu7UfLwJW9aof2m5RUYUV3sowuvSRBe8oa2
wj1eFSiVNpESIZCo6KmtayH6oV2SJWe/fqp3jgLgziDZ0caBD/7awtfPW7noplLa1UpTbj1LbE8i
bbQ+4H3Ib1DCysyBAlzNAcsAPGz8P1HfpLZukSNV5d3Y9/ot3ktitQwq8KEO5ZTyaxb7WurEKh5D
CEYkteCoVc1vzDDwlqXuq54zKXV7BTRotDDn6MRqIcp4ANsd9RbTLsJQMNcRHUKyZkuurftZxeoD
sM2DXvCLDwh9D/o89GqYdaQKr45uOFuC3IxdvA9KUdvqwzhvY2CatZVvir5n621XCrET8a+zdWNi
BEXjpU8OJc8blUMlrqLOBshqGbRJxgalkprbuIYkmJ0dVnUS2gVZsu8gPl73iyzzJDozMILwjRaN
7DIMiwLD1CpEQkEXqb854mSWhjNJaDW7s8wR2D9hohTflsTvLkarDfUuX51Ct9HKOHVDJVL7paz1
gnAmC/lc1peGZlr77CSdXeCaZSwy06Ck7g9pouHKEfrdUSSHZX6DCgSPPJCNmd8aJZjEfRMEqbRU
Ii1s3KpDCpt+kuiBCkVFXVJtsTfH2vazuieaHXGq+qFbguIf0tJB+JzdX1tnTZwKH2xM0ptNHRA6
pCpCXDZ1+LjzWfvTVAupOcrl4Id7udGUcyWBGeIibiLegqpTLms41heTLiU/ZATiJFsGjXBlVjEb
tqgKkfJ9jGim2JXi08w1ofRGbpF7OFIis8PvDXC73UdP/GZxsH8acLTgoONpzBJ5+cS4BHlRFSbB
vjKC/ojQpbmC1su+MFB8CZ2xD5LGHkEh9rSrY+pXMBata8GwguKDAOxNcDrv5Ab277MgnIT27ssn
EUeoWX4mB/uUHmLm5ppQXpd94Zurshex67MyvbppPa3cmzWhO5UbqfkITvhmR4K8KEKbFFlpeOQ8
rMKfvh/VePZtXQ/2JXYGKM1MYfdVNvKPXILfnqWk+VCA0W6nEKACVXv5rkYujMmgidk+w7vBBOYy
RdUKkG9XOk2niMEJoj3NLhR7IqbRDLJ7oHPtIkYZ6EjU5PijGPBNCEiYxP4LQRFOFySbV0dSQpdD
zlG53RdDaG4qwRJWOdJPK1UjCf+be/5DRAbrlhII1iGvV4jV9bj7tqBNxlIf17JgTasAZRb3794F
OKKMrDJyqdC8X2tRCEEi52Vb53uxSjQn0AbDzZWq+CBpe1MtQLt0fodZW9TAsv1V5EyJ27NiMPP7
Fm+wlWAO7QpHTfWr0VGnliVCzQ9W63s3BJFnYS3AVoeZ5Mtp0024CVmDUexDGB8cOYN5lowhpMBJ
MWlNtmznH1lTvHPLmUKMBwaVJDj/8/7x04rQkJ1MtDEo96AV5EVWAXPKzNFad75CIUkCsSR98O3e
TkYUuLgbZoYAbt7E7VGcq2OBs+jeHyJ9VVATDRZWZNTfNQMYy6/nybv3mv1yZ51BBVmal2/XmoMY
jqJY7qWQZpujKr5eAoOgIaJy7i9+fbP3hhLhBAvipK5AiXq1yiI0I2leyOUeATPRAWCU76gHlIdy
i9FBR094/GC6vPt26iyl8LDeXu9mYt2ZZjj25Z5+At2hLhMP8jGdDnTqRstfv9vbzZuPNrtPzfsV
lET55UAaCcHbpJXlvvdAkzgTJvauzDG+xkzZv48bM76vo8DfGWWtCIDFjf6jfOq90Z1XPEEAc0d5
nROg8khpQWnLfZEGsuhkYMBBkpVNUNCamSbZNqo4K5bVNCl0hNGM6hfoCujRwhdofCxQnVT1g1hQ
W5qTAGkOqbn36iWCPm3k0sArow9mA1xexuRFSGdARMfigE2EBSbNZeqfl5bs5Zg/Ibe5n/JSGIwN
LEDDpPZi1Zlx1JnRHYAa2n1tkC84dFd6VEOI0aLkAu/zTRwWriD218SAoFo8pHU7tTmk5DLQnzcv
E6Ctuw5dBWdM0GQbxeCoQQvTbnRPdHsf7m7SRz94R9rbcn2o1VJ+rk6lftePmdOBobbZgW507TDw
E2kjBfW9HDbdug4rmh/Q5V3S2nadSGpqK3KIE3uRSzxqEqyCSOjWmAPL+yQSXERrm8uARnfZKMah
1eoz4kxAFiDqLqvJN5deZplArXqCy3aI0aIbi52fRflCsUYDhdegWpAId8dT0u06rDNrW/CScW9y
TNo1mbKtDKMMWX7QapaUku+mMbgYihgcLugB6nW66MotkC4lqtuF7weho7at2+jlnaSAz8pQAJFb
4TKto0MEmHMHQZrzXKxNW8UiBoqzN6F/rex9RTG/4gBZ7tQ0vZ/qYjyyxvrW8BF8TSIVdGxrnaB5
11xHipmedl1xHSsiwNvWLxc+ymCruAzQUU3gOcWDJ67Qoae/HneLSRE99O3AxfSYajmJ2Q9rGFDf
zN6fpd1gSqmXhTCW+xhsW2RDXBCAwEgiQIu44/Rxi06okVdrTIN705A2avq72w6SHNwTdQbHiNlt
MmKj4fhgFwzoVxqEHeJOP9/RZIIi4sEwT3dhlqoKjkAhHAoG2DxpKPHso94X42VddABaBxHdgqUZ
K9NF/dDHxBW4k5ZtLPbFtogVrbLVhz5oPLdEhYfuqP7QKa0j37+I9bC70qQQ+1w9bAfLrjOl2aQV
ltPQjAP9tBZkunhka3ymVoFW5FRod4Mhk9G9Fb2k+4EYoiod+VE2aWuQhBkN+QjE+F6MK/A3aR5Z
S0QkdBL+ISpvY9Ea70l7K4mcPmMhlHlY125WoxznoKjbGq4sVH22bDOII/BGdV9Yq6GWozpstukG
sRITKlDVGF+NQZsFVJXAv4TIFjcLCeJhtzTUIT8ozW44EorisBpkPQPINVNIOb6gk8Jjg4flPdBM
/ZlxGo1BPm2bsG0sp7eMuLRDWIvAW0Poqoo0eT/iRshdCYLpOgz1dNOqsXkUJyoi9ngJNgdpYiqn
oTcVoVujRpjQ+Q2yiyENtMwtCjTMIa1VIkWMSaURryhZnzq5lufbsWuMs468TVrK0oy7MUU8ke1a
q8MMfqpBRltpCp1GBS0BO1ViYCr4NbASLKg0+7wz/HUPrdd3IUpOwCHi3oedKvkJizf30uOubqiv
GCAUNSdKJTUGm0LwC9gzkc8yrWvmidakV2oRZ7OKoBEDbehqJVwW0wggWS2qOHDrmBMNGDTobtdv
9cFwZBA1nZOniHpvm6me6NqaeM7SNi2HajkYUxi4cmaVDbBZy9pJ/gjc2tQawKaGFEuxO9D7zZ1I
JReG99agQFKPIqDSXJQOpEkNwMjDypkAeDR6tYzLNFQoSdZVeCDLw3CvUMqWXb/3MHMqWxDFThyX
JGSF2VUJeQmrCrtzj3AvasKgtVOwgQr8WFGOLxLqMad1hFfQuuUtTgbqyvo2BMAKlAyO1g+vnMCD
9HroRdd5kLXxcVqU5XHux+VVyh7WfY9w0uCi8K/vpCAHh9yHgT7BxuK4o0RTgdrLEeNlylNCDuy6
MVoPKZFYinyna/3pOsrM6qga0IwA565H1WWHnTaGLTCIg32gAe4HaWV5I/Buq42XlZTl4sJKFOH7
KOtetkoDQfYXepyGmHQgaaksrUG0MFCf2vwW11pJWI/Y8gnYYKAJ4OJCXalOEZQ0xcOaivVB6FlZ
6wTwxaPFmAcF2eXYxj8EsYxvSj2jC+OX1B3g1dXgGnq0vCk7tEgH2xPmCqC95HAK9mrd16dR2qkt
s6sxQO1FyKo4XTfJt2GkFZc+dLlbTaQTJ1ZZoqyMLk+6bW+aVGkQ6opkzv00Os91uQnPtMiY1DPa
JRUmaGENsEaP+nJYEGlK8qaLBKlh3pi+tUWOqJuOelMd1ZNa6UlW5Kjv6FjEOpDdBui1hIZrNqb3
OXW/kIlaCk5jqIWxFSAhWVRQhjFAwNVksWsgB7ITMcVWfFGXxCrLFP5ctkEulnUKN60AqwEhMlxG
sp/1S8kjHQR2rUaSW1AY6HdKjibdBiBKW9n/R/Q7BFxSL94LTQ5oN6mEVRBL5S6GcElts1Afa3b/
CEbT00PMUpCLrAmb8aS9q8bTu7pNmvqZzTP/6XEeZs1XtL/+m7/06wv9gewkd/46Fnf//tdN3iJC
yRP4YZ796+mPNrf//pc0Z/QvMAUPj/TwvL+6QnLNxdtbLi1AgEJ9RwGTiz7cww/FiCTP8Dl7+As4
J3zhNhDr5Fk3nJ+HO/40Rn81Cr9+wcfh/PXfefEK17dpmLFQmyq8aX4ehLn6jkTifzYQr67y00DI
DARWmOQpT+PA0P48DqL6xYA0oknEzwz5P2oAKMTOOvz/yUz46wHQv2B5OOshPn5maHGvBsD4AjpC
nYtF/7QRmAt19NTJZD83BOYXtGwkChtPU33O3n6eA9Ksxcp/ZLL/tCGYVwFWkp8dAYVvjH7jgz7c
ize3vszeQjAlHxfaP276k4d/7tsbSPbOvmS4rD3+vFr/kviFdgflkn/etydnR5wMIczPjoH+BcQJ
IjZAxx5/WFE/zwJR/yIpBuCEeW/4Z22CT1sAtafPTQPekH4oNHLKcQ8/r7YAhgDp/xk59w9dCJ8e
AbZ5LA4Q33sagLmI9vMkkOQvECRU8Lv/wBGYQ4HPboIym7wMNAjcy+PPy4PQsr6gHz67gD+N0D/x
OERQcda9/NRaEL9ANwcfRan46efVWpD0L2yYtAFm8MB/uh38ByfH/wbZThAmtw/hdXhXvxeF/9Vf
eI4r3/75q+j5xV+co+3He/8Zff/Pi4DpIez76Q+fw8CH+zz986cXfHvrF/d6fqvnX67Du+q6ugng
Fc2B/9NjHl6nBOkXd3Xzx/Y6CdPrrLl+mQFQ+SVg//OR/v2vFw/80xT41R2OrxEJfL7MnFkQ5s09
2M9e96y4uwlRz39MXf7I7/+4zP3xOr6umhe3A02AERzT67M3PMwrYNRnbXqNav/z5eYXeswS2Bo+
e4dHoPZf3uE3vkNyDZw7fH7i55cg/nz+1WN2+N987+eX+ItbzHHkZ8dpf520cft8ncennz2oCdQ+
e+nddVq0mf98oadrA7CnK/jZaz+OzPuLzSDIwm/+8zdZXLOgD667VzN0TuM4vj/7Cs+WFe/f4DeM
/8N+9P7Vf8PcPLhOf7ya9TTUZt+Izw7M/725C56vMk+aGUPIzsM5+dkrP8yamZbB1vN2TT3d5zeM
zcPIv7P3PNwByf3Pv8nz5Hl/BTzdh+P+syP2sAR+eZPf8FmeX+YvPwpgk8+/ysNHOWzr6z++3mGY
df3y4Hkcst+xNT0M2Uf3+Q3L5DS8frFv8wZzdeU37Hs24xO3yXtX/w3n5nOwcXNdhKjQ/BR0HLyN
OJ5e6jdstzaB2fMketpVnopRn10j84f4YwPKI7utX9zhMd9XfsNyf9pQ3tmznu7xG5b6Kkddhg+S
v/cOv2GVP8Z8b+ONp7LILKn12S/xMExvguTnustvCDtsIvu7l5H9n0Wdzz49F/fja8G+SyjqZ/4v
ptRc2/rs3R4/x/tbu0GjFXFECfC3CviI/3/DAnw4fPs5R3rzhTDGRcqamh1ASqCFGGz9hjXzfKq8
vdsMGn1tLfbZ4fy7wnY/9Y3++8zgvVd7h4f6y3u9lwf/b9/kbXb83BB675+9TP3nv3GT3F1X//P/
AAAA//8=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2.xml"/><Relationship Id="rId3" Type="http://schemas.microsoft.com/office/2014/relationships/chartEx" Target="../charts/chartEx2.xml"/><Relationship Id="rId7" Type="http://schemas.openxmlformats.org/officeDocument/2006/relationships/chart" Target="../charts/chart11.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0.xml"/><Relationship Id="rId11" Type="http://schemas.openxmlformats.org/officeDocument/2006/relationships/image" Target="../media/image4.emf"/><Relationship Id="rId5" Type="http://schemas.openxmlformats.org/officeDocument/2006/relationships/image" Target="../media/image1.emf"/><Relationship Id="rId10" Type="http://schemas.openxmlformats.org/officeDocument/2006/relationships/image" Target="../media/image3.emf"/><Relationship Id="rId4" Type="http://schemas.openxmlformats.org/officeDocument/2006/relationships/chart" Target="../charts/chart9.xml"/><Relationship Id="rId9"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4</xdr:col>
      <xdr:colOff>552450</xdr:colOff>
      <xdr:row>1</xdr:row>
      <xdr:rowOff>82550</xdr:rowOff>
    </xdr:from>
    <xdr:to>
      <xdr:col>12</xdr:col>
      <xdr:colOff>247650</xdr:colOff>
      <xdr:row>15</xdr:row>
      <xdr:rowOff>158750</xdr:rowOff>
    </xdr:to>
    <xdr:graphicFrame macro="">
      <xdr:nvGraphicFramePr>
        <xdr:cNvPr id="2" name="Chart 1">
          <a:extLst>
            <a:ext uri="{FF2B5EF4-FFF2-40B4-BE49-F238E27FC236}">
              <a16:creationId xmlns:a16="http://schemas.microsoft.com/office/drawing/2014/main" id="{69928894-B331-41BA-98DB-A4B5DB43C4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514350</xdr:colOff>
      <xdr:row>16</xdr:row>
      <xdr:rowOff>146050</xdr:rowOff>
    </xdr:from>
    <xdr:to>
      <xdr:col>12</xdr:col>
      <xdr:colOff>209550</xdr:colOff>
      <xdr:row>31</xdr:row>
      <xdr:rowOff>31750</xdr:rowOff>
    </xdr:to>
    <xdr:graphicFrame macro="">
      <xdr:nvGraphicFramePr>
        <xdr:cNvPr id="3" name="Chart 2">
          <a:extLst>
            <a:ext uri="{FF2B5EF4-FFF2-40B4-BE49-F238E27FC236}">
              <a16:creationId xmlns:a16="http://schemas.microsoft.com/office/drawing/2014/main" id="{87D1BED4-FBA9-45B2-BEB6-73E102969C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527050</xdr:colOff>
      <xdr:row>32</xdr:row>
      <xdr:rowOff>6350</xdr:rowOff>
    </xdr:from>
    <xdr:to>
      <xdr:col>12</xdr:col>
      <xdr:colOff>222250</xdr:colOff>
      <xdr:row>46</xdr:row>
      <xdr:rowOff>82550</xdr:rowOff>
    </xdr:to>
    <xdr:graphicFrame macro="">
      <xdr:nvGraphicFramePr>
        <xdr:cNvPr id="4" name="Chart 3">
          <a:extLst>
            <a:ext uri="{FF2B5EF4-FFF2-40B4-BE49-F238E27FC236}">
              <a16:creationId xmlns:a16="http://schemas.microsoft.com/office/drawing/2014/main" id="{C3384BCF-B1B0-4E7B-9E2A-D297FDCC38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20</xdr:col>
      <xdr:colOff>123825</xdr:colOff>
      <xdr:row>3</xdr:row>
      <xdr:rowOff>180975</xdr:rowOff>
    </xdr:from>
    <xdr:to>
      <xdr:col>27</xdr:col>
      <xdr:colOff>495300</xdr:colOff>
      <xdr:row>14</xdr:row>
      <xdr:rowOff>38100</xdr:rowOff>
    </xdr:to>
    <xdr:sp macro="" textlink="">
      <xdr:nvSpPr>
        <xdr:cNvPr id="2" name="Rectangle 1">
          <a:extLst>
            <a:ext uri="{FF2B5EF4-FFF2-40B4-BE49-F238E27FC236}">
              <a16:creationId xmlns:a16="http://schemas.microsoft.com/office/drawing/2014/main" id="{7B972C79-949C-5FF6-118F-6287961F96FE}"/>
            </a:ext>
          </a:extLst>
        </xdr:cNvPr>
        <xdr:cNvSpPr/>
      </xdr:nvSpPr>
      <xdr:spPr>
        <a:xfrm>
          <a:off x="16773525" y="752475"/>
          <a:ext cx="4638675" cy="1952625"/>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Bagaimana revenue kita?</a:t>
          </a:r>
        </a:p>
        <a:p>
          <a:pPr algn="l"/>
          <a:r>
            <a:rPr lang="en-US" sz="1400"/>
            <a:t>Bagaimana preformance pengiriman kita?</a:t>
          </a:r>
        </a:p>
        <a:p>
          <a:pPr algn="l"/>
          <a:r>
            <a:rPr lang="en-US" sz="1400"/>
            <a:t>Lokasi mana yang paling</a:t>
          </a:r>
          <a:r>
            <a:rPr lang="en-US" sz="1400" baseline="0"/>
            <a:t> banyak menjadi tujuan kiriman?</a:t>
          </a:r>
        </a:p>
        <a:p>
          <a:pPr algn="l"/>
          <a:r>
            <a:rPr lang="en-US" sz="1400" baseline="0"/>
            <a:t>Customer yang paling banyak menggunakan service kita?</a:t>
          </a:r>
        </a:p>
        <a:p>
          <a:pPr algn="l"/>
          <a:r>
            <a:rPr lang="en-US" sz="1400" baseline="0"/>
            <a:t>Service kiriman mana yang paling banyak?</a:t>
          </a:r>
        </a:p>
        <a:p>
          <a:pPr algn="l"/>
          <a:r>
            <a:rPr lang="en-US" sz="1400" baseline="0"/>
            <a:t>Bagaimana dampak dari late delivery?</a:t>
          </a:r>
        </a:p>
        <a:p>
          <a:pPr algn="l"/>
          <a:r>
            <a:rPr lang="en-US" sz="1400" baseline="0"/>
            <a:t>Berapa banyak late delivery?</a:t>
          </a:r>
        </a:p>
        <a:p>
          <a:pPr algn="l"/>
          <a:endParaRPr lang="en-US" sz="1400" baseline="0"/>
        </a:p>
        <a:p>
          <a:pPr algn="l"/>
          <a:endParaRPr lang="en-US" sz="1400"/>
        </a:p>
      </xdr:txBody>
    </xdr:sp>
    <xdr:clientData/>
  </xdr:twoCellAnchor>
  <xdr:twoCellAnchor>
    <xdr:from>
      <xdr:col>20</xdr:col>
      <xdr:colOff>123825</xdr:colOff>
      <xdr:row>14</xdr:row>
      <xdr:rowOff>161925</xdr:rowOff>
    </xdr:from>
    <xdr:to>
      <xdr:col>27</xdr:col>
      <xdr:colOff>495300</xdr:colOff>
      <xdr:row>19</xdr:row>
      <xdr:rowOff>0</xdr:rowOff>
    </xdr:to>
    <xdr:sp macro="" textlink="">
      <xdr:nvSpPr>
        <xdr:cNvPr id="4" name="Rectangle 3">
          <a:extLst>
            <a:ext uri="{FF2B5EF4-FFF2-40B4-BE49-F238E27FC236}">
              <a16:creationId xmlns:a16="http://schemas.microsoft.com/office/drawing/2014/main" id="{31048DC1-D80B-6641-711D-523BF1EB89C7}"/>
            </a:ext>
          </a:extLst>
        </xdr:cNvPr>
        <xdr:cNvSpPr/>
      </xdr:nvSpPr>
      <xdr:spPr>
        <a:xfrm>
          <a:off x="17516475" y="2828925"/>
          <a:ext cx="4638675" cy="790575"/>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*Maksimum berat barang motor per paket</a:t>
          </a:r>
          <a:r>
            <a:rPr lang="en-US" sz="1400" baseline="0"/>
            <a:t> : 5kg</a:t>
          </a:r>
        </a:p>
        <a:p>
          <a:pPr algn="l"/>
          <a:r>
            <a:rPr lang="en-US" sz="1400" baseline="0"/>
            <a:t>**Jika berat barang &gt;5kg harus dikirim menggunakan mobil</a:t>
          </a:r>
          <a:endParaRPr lang="en-US" sz="14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50800</xdr:colOff>
      <xdr:row>2</xdr:row>
      <xdr:rowOff>31750</xdr:rowOff>
    </xdr:from>
    <xdr:to>
      <xdr:col>3</xdr:col>
      <xdr:colOff>558800</xdr:colOff>
      <xdr:row>4</xdr:row>
      <xdr:rowOff>12700</xdr:rowOff>
    </xdr:to>
    <xdr:sp macro="" textlink="$B$1">
      <xdr:nvSpPr>
        <xdr:cNvPr id="2" name="Rectangle 1">
          <a:extLst>
            <a:ext uri="{FF2B5EF4-FFF2-40B4-BE49-F238E27FC236}">
              <a16:creationId xmlns:a16="http://schemas.microsoft.com/office/drawing/2014/main" id="{83B1A0BD-A1AA-44EB-973F-4B9D3D7F80A6}"/>
            </a:ext>
          </a:extLst>
        </xdr:cNvPr>
        <xdr:cNvSpPr/>
      </xdr:nvSpPr>
      <xdr:spPr>
        <a:xfrm>
          <a:off x="1682750" y="400050"/>
          <a:ext cx="1117600" cy="3492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23CD14A3-1293-4570-A6F2-E6EE53D849BE}" type="TxLink">
            <a:rPr lang="en-US" sz="1100" b="0" i="0" u="none" strike="noStrike">
              <a:solidFill>
                <a:srgbClr val="000000"/>
              </a:solidFill>
              <a:latin typeface="Calibri"/>
              <a:ea typeface="Calibri"/>
              <a:cs typeface="Calibri"/>
            </a:rPr>
            <a:t>67,504,690</a:t>
          </a:fld>
          <a:endParaRPr lang="en-US" sz="1100"/>
        </a:p>
      </xdr:txBody>
    </xdr:sp>
    <xdr:clientData/>
  </xdr:twoCellAnchor>
  <xdr:twoCellAnchor>
    <xdr:from>
      <xdr:col>2</xdr:col>
      <xdr:colOff>50800</xdr:colOff>
      <xdr:row>5</xdr:row>
      <xdr:rowOff>25400</xdr:rowOff>
    </xdr:from>
    <xdr:to>
      <xdr:col>3</xdr:col>
      <xdr:colOff>577850</xdr:colOff>
      <xdr:row>7</xdr:row>
      <xdr:rowOff>12700</xdr:rowOff>
    </xdr:to>
    <xdr:sp macro="" textlink="$B$5">
      <xdr:nvSpPr>
        <xdr:cNvPr id="3" name="Rectangle 2">
          <a:extLst>
            <a:ext uri="{FF2B5EF4-FFF2-40B4-BE49-F238E27FC236}">
              <a16:creationId xmlns:a16="http://schemas.microsoft.com/office/drawing/2014/main" id="{F812C4F2-E8EF-40C3-B34A-1B9277BFC5D0}"/>
            </a:ext>
          </a:extLst>
        </xdr:cNvPr>
        <xdr:cNvSpPr/>
      </xdr:nvSpPr>
      <xdr:spPr>
        <a:xfrm>
          <a:off x="1682750" y="946150"/>
          <a:ext cx="1136650" cy="355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A7ED3A26-C3D0-4663-AE25-20D6FD00F870}" type="TxLink">
            <a:rPr lang="en-US" sz="1100" b="0" i="0" u="none" strike="noStrike">
              <a:solidFill>
                <a:srgbClr val="000000"/>
              </a:solidFill>
              <a:latin typeface="Calibri"/>
              <a:ea typeface="Calibri"/>
              <a:cs typeface="Calibri"/>
            </a:rPr>
            <a:t>1,200</a:t>
          </a:fld>
          <a:endParaRPr lang="en-US" sz="1100"/>
        </a:p>
      </xdr:txBody>
    </xdr:sp>
    <xdr:clientData/>
  </xdr:twoCellAnchor>
  <xdr:twoCellAnchor>
    <xdr:from>
      <xdr:col>2</xdr:col>
      <xdr:colOff>209550</xdr:colOff>
      <xdr:row>13</xdr:row>
      <xdr:rowOff>38100</xdr:rowOff>
    </xdr:from>
    <xdr:to>
      <xdr:col>7</xdr:col>
      <xdr:colOff>469900</xdr:colOff>
      <xdr:row>22</xdr:row>
      <xdr:rowOff>25400</xdr:rowOff>
    </xdr:to>
    <xdr:graphicFrame macro="">
      <xdr:nvGraphicFramePr>
        <xdr:cNvPr id="4" name="Chart 3">
          <a:extLst>
            <a:ext uri="{FF2B5EF4-FFF2-40B4-BE49-F238E27FC236}">
              <a16:creationId xmlns:a16="http://schemas.microsoft.com/office/drawing/2014/main" id="{A3A816BD-758F-45E1-BB16-DF29CB97E9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228600</xdr:colOff>
      <xdr:row>22</xdr:row>
      <xdr:rowOff>165100</xdr:rowOff>
    </xdr:from>
    <xdr:to>
      <xdr:col>7</xdr:col>
      <xdr:colOff>241306</xdr:colOff>
      <xdr:row>30</xdr:row>
      <xdr:rowOff>0</xdr:rowOff>
    </xdr:to>
    <xdr:graphicFrame macro="">
      <xdr:nvGraphicFramePr>
        <xdr:cNvPr id="5" name="Chart 4">
          <a:extLst>
            <a:ext uri="{FF2B5EF4-FFF2-40B4-BE49-F238E27FC236}">
              <a16:creationId xmlns:a16="http://schemas.microsoft.com/office/drawing/2014/main" id="{4D0374E4-818E-4FB4-8FDC-98C21E0B3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250825</xdr:colOff>
      <xdr:row>33</xdr:row>
      <xdr:rowOff>114300</xdr:rowOff>
    </xdr:from>
    <xdr:to>
      <xdr:col>11</xdr:col>
      <xdr:colOff>311150</xdr:colOff>
      <xdr:row>42</xdr:row>
      <xdr:rowOff>88900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700E9B63-3258-4C83-9C10-BE2BF76639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759325" y="6191250"/>
              <a:ext cx="3717925" cy="16319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243645</xdr:colOff>
      <xdr:row>48</xdr:row>
      <xdr:rowOff>12287</xdr:rowOff>
    </xdr:from>
    <xdr:to>
      <xdr:col>9</xdr:col>
      <xdr:colOff>336134</xdr:colOff>
      <xdr:row>62</xdr:row>
      <xdr:rowOff>146465</xdr:rowOff>
    </xdr:to>
    <xdr:graphicFrame macro="">
      <xdr:nvGraphicFramePr>
        <xdr:cNvPr id="7" name="Chart 6">
          <a:extLst>
            <a:ext uri="{FF2B5EF4-FFF2-40B4-BE49-F238E27FC236}">
              <a16:creationId xmlns:a16="http://schemas.microsoft.com/office/drawing/2014/main" id="{FB47AED3-8D4D-4591-AA8E-2059BC658F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219213</xdr:colOff>
      <xdr:row>0</xdr:row>
      <xdr:rowOff>125619</xdr:rowOff>
    </xdr:from>
    <xdr:to>
      <xdr:col>10</xdr:col>
      <xdr:colOff>225839</xdr:colOff>
      <xdr:row>17</xdr:row>
      <xdr:rowOff>103532</xdr:rowOff>
    </xdr:to>
    <mc:AlternateContent xmlns:mc="http://schemas.openxmlformats.org/markup-compatibility/2006">
      <mc:Choice xmlns:a14="http://schemas.microsoft.com/office/drawing/2010/main" Requires="a14">
        <xdr:graphicFrame macro="">
          <xdr:nvGraphicFramePr>
            <xdr:cNvPr id="8" name="Origin_Province">
              <a:extLst>
                <a:ext uri="{FF2B5EF4-FFF2-40B4-BE49-F238E27FC236}">
                  <a16:creationId xmlns:a16="http://schemas.microsoft.com/office/drawing/2014/main" id="{13424C8D-4000-4550-8703-82BE6670C34B}"/>
                </a:ext>
              </a:extLst>
            </xdr:cNvPr>
            <xdr:cNvGraphicFramePr/>
          </xdr:nvGraphicFramePr>
          <xdr:xfrm>
            <a:off x="0" y="0"/>
            <a:ext cx="0" cy="0"/>
          </xdr:xfrm>
          <a:graphic>
            <a:graphicData uri="http://schemas.microsoft.com/office/drawing/2010/slicer">
              <sle:slicer xmlns:sle="http://schemas.microsoft.com/office/drawing/2010/slicer" name="Origin_Province"/>
            </a:graphicData>
          </a:graphic>
        </xdr:graphicFrame>
      </mc:Choice>
      <mc:Fallback>
        <xdr:sp macro="" textlink="">
          <xdr:nvSpPr>
            <xdr:cNvPr id="0" name=""/>
            <xdr:cNvSpPr>
              <a:spLocks noTextEdit="1"/>
            </xdr:cNvSpPr>
          </xdr:nvSpPr>
          <xdr:spPr>
            <a:xfrm>
              <a:off x="5734050" y="125619"/>
              <a:ext cx="1828800" cy="31460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539474</xdr:colOff>
      <xdr:row>1</xdr:row>
      <xdr:rowOff>22362</xdr:rowOff>
    </xdr:from>
    <xdr:to>
      <xdr:col>13</xdr:col>
      <xdr:colOff>546100</xdr:colOff>
      <xdr:row>7</xdr:row>
      <xdr:rowOff>82825</xdr:rowOff>
    </xdr:to>
    <mc:AlternateContent xmlns:mc="http://schemas.openxmlformats.org/markup-compatibility/2006">
      <mc:Choice xmlns:a14="http://schemas.microsoft.com/office/drawing/2010/main" Requires="a14">
        <xdr:graphicFrame macro="">
          <xdr:nvGraphicFramePr>
            <xdr:cNvPr id="9" name="Service_Type">
              <a:extLst>
                <a:ext uri="{FF2B5EF4-FFF2-40B4-BE49-F238E27FC236}">
                  <a16:creationId xmlns:a16="http://schemas.microsoft.com/office/drawing/2014/main" id="{B43E6B10-DD2E-45A7-9F0E-CD8638A89EBB}"/>
                </a:ext>
              </a:extLst>
            </xdr:cNvPr>
            <xdr:cNvGraphicFramePr/>
          </xdr:nvGraphicFramePr>
          <xdr:xfrm>
            <a:off x="0" y="0"/>
            <a:ext cx="0" cy="0"/>
          </xdr:xfrm>
          <a:graphic>
            <a:graphicData uri="http://schemas.microsoft.com/office/drawing/2010/slicer">
              <sle:slicer xmlns:sle="http://schemas.microsoft.com/office/drawing/2010/slicer" name="Service_Type"/>
            </a:graphicData>
          </a:graphic>
        </xdr:graphicFrame>
      </mc:Choice>
      <mc:Fallback>
        <xdr:sp macro="" textlink="">
          <xdr:nvSpPr>
            <xdr:cNvPr id="0" name=""/>
            <xdr:cNvSpPr>
              <a:spLocks noTextEdit="1"/>
            </xdr:cNvSpPr>
          </xdr:nvSpPr>
          <xdr:spPr>
            <a:xfrm>
              <a:off x="7876485" y="208721"/>
              <a:ext cx="1828800" cy="11786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546376</xdr:colOff>
      <xdr:row>8</xdr:row>
      <xdr:rowOff>118994</xdr:rowOff>
    </xdr:from>
    <xdr:to>
      <xdr:col>13</xdr:col>
      <xdr:colOff>553002</xdr:colOff>
      <xdr:row>13</xdr:row>
      <xdr:rowOff>144947</xdr:rowOff>
    </xdr:to>
    <mc:AlternateContent xmlns:mc="http://schemas.openxmlformats.org/markup-compatibility/2006">
      <mc:Choice xmlns:a14="http://schemas.microsoft.com/office/drawing/2010/main" Requires="a14">
        <xdr:graphicFrame macro="">
          <xdr:nvGraphicFramePr>
            <xdr:cNvPr id="10" name="Customer_Type">
              <a:extLst>
                <a:ext uri="{FF2B5EF4-FFF2-40B4-BE49-F238E27FC236}">
                  <a16:creationId xmlns:a16="http://schemas.microsoft.com/office/drawing/2014/main" id="{41BC97A9-E4D1-4699-AC5E-EFA18B934BB4}"/>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7883387" y="1609864"/>
              <a:ext cx="1828800" cy="9577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13607</xdr:colOff>
      <xdr:row>0</xdr:row>
      <xdr:rowOff>103908</xdr:rowOff>
    </xdr:from>
    <xdr:to>
      <xdr:col>49</xdr:col>
      <xdr:colOff>138545</xdr:colOff>
      <xdr:row>82</xdr:row>
      <xdr:rowOff>34635</xdr:rowOff>
    </xdr:to>
    <xdr:sp macro="" textlink="">
      <xdr:nvSpPr>
        <xdr:cNvPr id="19" name="Rectangle: Rounded Corners 18">
          <a:extLst>
            <a:ext uri="{FF2B5EF4-FFF2-40B4-BE49-F238E27FC236}">
              <a16:creationId xmlns:a16="http://schemas.microsoft.com/office/drawing/2014/main" id="{8446FEEB-475B-21D6-6EC2-CDCBD02CCCF3}"/>
            </a:ext>
          </a:extLst>
        </xdr:cNvPr>
        <xdr:cNvSpPr/>
      </xdr:nvSpPr>
      <xdr:spPr>
        <a:xfrm>
          <a:off x="2126425" y="103908"/>
          <a:ext cx="29739029" cy="15551727"/>
        </a:xfrm>
        <a:prstGeom prst="roundRect">
          <a:avLst>
            <a:gd name="adj" fmla="val 0"/>
          </a:avLst>
        </a:prstGeom>
        <a:solidFill>
          <a:schemeClr val="bg1">
            <a:lumMod val="9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9525</xdr:colOff>
      <xdr:row>0</xdr:row>
      <xdr:rowOff>180975</xdr:rowOff>
    </xdr:from>
    <xdr:ext cx="2176237" cy="1219436"/>
    <xdr:sp macro="" textlink="">
      <xdr:nvSpPr>
        <xdr:cNvPr id="2" name="TextBox 1">
          <a:extLst>
            <a:ext uri="{FF2B5EF4-FFF2-40B4-BE49-F238E27FC236}">
              <a16:creationId xmlns:a16="http://schemas.microsoft.com/office/drawing/2014/main" id="{72AD7A8D-3C15-4D47-84D2-114DB3B3BFCC}"/>
            </a:ext>
          </a:extLst>
        </xdr:cNvPr>
        <xdr:cNvSpPr txBox="1"/>
      </xdr:nvSpPr>
      <xdr:spPr>
        <a:xfrm>
          <a:off x="9525" y="180975"/>
          <a:ext cx="2176237" cy="1219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lang="en-US" sz="3600" b="1">
              <a:solidFill>
                <a:schemeClr val="bg1"/>
              </a:solidFill>
            </a:rPr>
            <a:t>Nusantara</a:t>
          </a:r>
        </a:p>
        <a:p>
          <a:pPr algn="l"/>
          <a:r>
            <a:rPr lang="en-US" sz="3600" b="1">
              <a:solidFill>
                <a:schemeClr val="bg1"/>
              </a:solidFill>
            </a:rPr>
            <a:t>Express</a:t>
          </a:r>
        </a:p>
      </xdr:txBody>
    </xdr:sp>
    <xdr:clientData/>
  </xdr:oneCellAnchor>
  <xdr:twoCellAnchor>
    <xdr:from>
      <xdr:col>1</xdr:col>
      <xdr:colOff>171447</xdr:colOff>
      <xdr:row>1</xdr:row>
      <xdr:rowOff>28574</xdr:rowOff>
    </xdr:from>
    <xdr:to>
      <xdr:col>48</xdr:col>
      <xdr:colOff>17317</xdr:colOff>
      <xdr:row>9</xdr:row>
      <xdr:rowOff>17317</xdr:rowOff>
    </xdr:to>
    <xdr:sp macro="" textlink="">
      <xdr:nvSpPr>
        <xdr:cNvPr id="3" name="Rectangle: Rounded Corners 2">
          <a:extLst>
            <a:ext uri="{FF2B5EF4-FFF2-40B4-BE49-F238E27FC236}">
              <a16:creationId xmlns:a16="http://schemas.microsoft.com/office/drawing/2014/main" id="{361C1885-B922-4E3A-B0B7-5DC1B7CE367B}"/>
            </a:ext>
          </a:extLst>
        </xdr:cNvPr>
        <xdr:cNvSpPr/>
      </xdr:nvSpPr>
      <xdr:spPr>
        <a:xfrm>
          <a:off x="2284265" y="219074"/>
          <a:ext cx="28853825" cy="1512743"/>
        </a:xfrm>
        <a:prstGeom prst="roundRect">
          <a:avLst>
            <a:gd name="adj" fmla="val 2494"/>
          </a:avLst>
        </a:prstGeom>
        <a:solidFill>
          <a:schemeClr val="bg1"/>
        </a:solidFill>
        <a:ln>
          <a:solidFill>
            <a:schemeClr val="tx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183572</xdr:colOff>
      <xdr:row>9</xdr:row>
      <xdr:rowOff>146338</xdr:rowOff>
    </xdr:from>
    <xdr:to>
      <xdr:col>10</xdr:col>
      <xdr:colOff>225137</xdr:colOff>
      <xdr:row>26</xdr:row>
      <xdr:rowOff>87827</xdr:rowOff>
    </xdr:to>
    <xdr:sp macro="" textlink="">
      <xdr:nvSpPr>
        <xdr:cNvPr id="5" name="Rectangle: Rounded Corners 4">
          <a:extLst>
            <a:ext uri="{FF2B5EF4-FFF2-40B4-BE49-F238E27FC236}">
              <a16:creationId xmlns:a16="http://schemas.microsoft.com/office/drawing/2014/main" id="{4C7ABDBE-C533-44CF-AB3D-EA8F8F72BC45}"/>
            </a:ext>
          </a:extLst>
        </xdr:cNvPr>
        <xdr:cNvSpPr/>
      </xdr:nvSpPr>
      <xdr:spPr>
        <a:xfrm>
          <a:off x="2296390" y="1860838"/>
          <a:ext cx="5496792" cy="3179989"/>
        </a:xfrm>
        <a:prstGeom prst="roundRect">
          <a:avLst>
            <a:gd name="adj" fmla="val 2494"/>
          </a:avLst>
        </a:prstGeom>
        <a:solidFill>
          <a:schemeClr val="bg1"/>
        </a:solidFill>
        <a:ln>
          <a:solidFill>
            <a:schemeClr val="tx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17</xdr:col>
      <xdr:colOff>483279</xdr:colOff>
      <xdr:row>1</xdr:row>
      <xdr:rowOff>142618</xdr:rowOff>
    </xdr:from>
    <xdr:ext cx="2938368" cy="655885"/>
    <xdr:sp macro="" textlink="">
      <xdr:nvSpPr>
        <xdr:cNvPr id="6" name="TextBox 5">
          <a:extLst>
            <a:ext uri="{FF2B5EF4-FFF2-40B4-BE49-F238E27FC236}">
              <a16:creationId xmlns:a16="http://schemas.microsoft.com/office/drawing/2014/main" id="{F5DCEFE4-3893-4A15-A197-69AE5E2F6EFA}"/>
            </a:ext>
          </a:extLst>
        </xdr:cNvPr>
        <xdr:cNvSpPr txBox="1"/>
      </xdr:nvSpPr>
      <xdr:spPr>
        <a:xfrm>
          <a:off x="12294279" y="333118"/>
          <a:ext cx="2938368"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600" b="1">
              <a:solidFill>
                <a:srgbClr val="002060"/>
              </a:solidFill>
              <a:latin typeface="+mn-lt"/>
            </a:rPr>
            <a:t>Total Revenue</a:t>
          </a:r>
        </a:p>
      </xdr:txBody>
    </xdr:sp>
    <xdr:clientData/>
  </xdr:oneCellAnchor>
  <xdr:oneCellAnchor>
    <xdr:from>
      <xdr:col>1</xdr:col>
      <xdr:colOff>259773</xdr:colOff>
      <xdr:row>10</xdr:row>
      <xdr:rowOff>21391</xdr:rowOff>
    </xdr:from>
    <xdr:ext cx="3907545" cy="655885"/>
    <xdr:sp macro="" textlink="">
      <xdr:nvSpPr>
        <xdr:cNvPr id="9" name="TextBox 8">
          <a:extLst>
            <a:ext uri="{FF2B5EF4-FFF2-40B4-BE49-F238E27FC236}">
              <a16:creationId xmlns:a16="http://schemas.microsoft.com/office/drawing/2014/main" id="{F4AB4B2C-8E80-4423-8261-C7CA9F59A990}"/>
            </a:ext>
          </a:extLst>
        </xdr:cNvPr>
        <xdr:cNvSpPr txBox="1"/>
      </xdr:nvSpPr>
      <xdr:spPr>
        <a:xfrm>
          <a:off x="2372591" y="1926391"/>
          <a:ext cx="3907545"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600" b="1">
              <a:solidFill>
                <a:srgbClr val="002060"/>
              </a:solidFill>
              <a:latin typeface="+mn-lt"/>
              <a:ea typeface="+mn-ea"/>
              <a:cs typeface="+mn-cs"/>
            </a:rPr>
            <a:t>Shipment Revenue</a:t>
          </a:r>
        </a:p>
      </xdr:txBody>
    </xdr:sp>
    <xdr:clientData/>
  </xdr:oneCellAnchor>
  <xdr:twoCellAnchor>
    <xdr:from>
      <xdr:col>1</xdr:col>
      <xdr:colOff>178173</xdr:colOff>
      <xdr:row>27</xdr:row>
      <xdr:rowOff>3361</xdr:rowOff>
    </xdr:from>
    <xdr:to>
      <xdr:col>34</xdr:col>
      <xdr:colOff>571501</xdr:colOff>
      <xdr:row>48</xdr:row>
      <xdr:rowOff>134471</xdr:rowOff>
    </xdr:to>
    <xdr:sp macro="" textlink="">
      <xdr:nvSpPr>
        <xdr:cNvPr id="10" name="Rectangle: Rounded Corners 9">
          <a:extLst>
            <a:ext uri="{FF2B5EF4-FFF2-40B4-BE49-F238E27FC236}">
              <a16:creationId xmlns:a16="http://schemas.microsoft.com/office/drawing/2014/main" id="{606A215E-1B07-49CA-AA04-1FB85F7A552D}"/>
            </a:ext>
          </a:extLst>
        </xdr:cNvPr>
        <xdr:cNvSpPr/>
      </xdr:nvSpPr>
      <xdr:spPr>
        <a:xfrm>
          <a:off x="2308309" y="5146861"/>
          <a:ext cx="20395828" cy="4131610"/>
        </a:xfrm>
        <a:prstGeom prst="roundRect">
          <a:avLst>
            <a:gd name="adj" fmla="val 2494"/>
          </a:avLst>
        </a:prstGeom>
        <a:solidFill>
          <a:schemeClr val="bg1"/>
        </a:solidFill>
        <a:ln>
          <a:solidFill>
            <a:schemeClr val="tx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403411</xdr:colOff>
      <xdr:row>27</xdr:row>
      <xdr:rowOff>40339</xdr:rowOff>
    </xdr:from>
    <xdr:ext cx="6142862" cy="655885"/>
    <xdr:sp macro="" textlink="">
      <xdr:nvSpPr>
        <xdr:cNvPr id="11" name="TextBox 10">
          <a:extLst>
            <a:ext uri="{FF2B5EF4-FFF2-40B4-BE49-F238E27FC236}">
              <a16:creationId xmlns:a16="http://schemas.microsoft.com/office/drawing/2014/main" id="{FC938FD9-6D74-4D61-ABF4-5486CB5EB0C3}"/>
            </a:ext>
          </a:extLst>
        </xdr:cNvPr>
        <xdr:cNvSpPr txBox="1"/>
      </xdr:nvSpPr>
      <xdr:spPr>
        <a:xfrm>
          <a:off x="2533547" y="5183839"/>
          <a:ext cx="6142862"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600" b="1">
              <a:solidFill>
                <a:srgbClr val="002060"/>
              </a:solidFill>
              <a:latin typeface="+mn-lt"/>
            </a:rPr>
            <a:t>Total Shipment - Monthly</a:t>
          </a:r>
        </a:p>
      </xdr:txBody>
    </xdr:sp>
    <xdr:clientData/>
  </xdr:oneCellAnchor>
  <xdr:twoCellAnchor>
    <xdr:from>
      <xdr:col>10</xdr:col>
      <xdr:colOff>472887</xdr:colOff>
      <xdr:row>9</xdr:row>
      <xdr:rowOff>157544</xdr:rowOff>
    </xdr:from>
    <xdr:to>
      <xdr:col>22</xdr:col>
      <xdr:colOff>502227</xdr:colOff>
      <xdr:row>26</xdr:row>
      <xdr:rowOff>101435</xdr:rowOff>
    </xdr:to>
    <xdr:sp macro="" textlink="">
      <xdr:nvSpPr>
        <xdr:cNvPr id="13" name="Rectangle: Rounded Corners 12">
          <a:extLst>
            <a:ext uri="{FF2B5EF4-FFF2-40B4-BE49-F238E27FC236}">
              <a16:creationId xmlns:a16="http://schemas.microsoft.com/office/drawing/2014/main" id="{DFA732F2-C6F6-418F-A69F-62486261E34D}"/>
            </a:ext>
          </a:extLst>
        </xdr:cNvPr>
        <xdr:cNvSpPr/>
      </xdr:nvSpPr>
      <xdr:spPr>
        <a:xfrm>
          <a:off x="8040932" y="1872044"/>
          <a:ext cx="7302977" cy="3182391"/>
        </a:xfrm>
        <a:prstGeom prst="roundRect">
          <a:avLst>
            <a:gd name="adj" fmla="val 2494"/>
          </a:avLst>
        </a:prstGeom>
        <a:solidFill>
          <a:schemeClr val="bg1"/>
        </a:solidFill>
        <a:ln>
          <a:solidFill>
            <a:schemeClr val="tx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11</xdr:col>
      <xdr:colOff>179616</xdr:colOff>
      <xdr:row>10</xdr:row>
      <xdr:rowOff>21391</xdr:rowOff>
    </xdr:from>
    <xdr:ext cx="5641800" cy="655885"/>
    <xdr:sp macro="" textlink="">
      <xdr:nvSpPr>
        <xdr:cNvPr id="15" name="TextBox 14">
          <a:extLst>
            <a:ext uri="{FF2B5EF4-FFF2-40B4-BE49-F238E27FC236}">
              <a16:creationId xmlns:a16="http://schemas.microsoft.com/office/drawing/2014/main" id="{68334E6A-293C-4E0E-93B1-A13A5A576D66}"/>
            </a:ext>
          </a:extLst>
        </xdr:cNvPr>
        <xdr:cNvSpPr txBox="1"/>
      </xdr:nvSpPr>
      <xdr:spPr>
        <a:xfrm>
          <a:off x="8353798" y="1926391"/>
          <a:ext cx="5641800"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600" b="1">
              <a:solidFill>
                <a:srgbClr val="002060"/>
              </a:solidFill>
              <a:latin typeface="+mn-lt"/>
            </a:rPr>
            <a:t>Total Shipment by Customer</a:t>
          </a:r>
        </a:p>
      </xdr:txBody>
    </xdr:sp>
    <xdr:clientData/>
  </xdr:oneCellAnchor>
  <xdr:oneCellAnchor>
    <xdr:from>
      <xdr:col>1</xdr:col>
      <xdr:colOff>307842</xdr:colOff>
      <xdr:row>1</xdr:row>
      <xdr:rowOff>110455</xdr:rowOff>
    </xdr:from>
    <xdr:ext cx="8015912" cy="781111"/>
    <xdr:sp macro="" textlink="">
      <xdr:nvSpPr>
        <xdr:cNvPr id="16" name="TextBox 15">
          <a:extLst>
            <a:ext uri="{FF2B5EF4-FFF2-40B4-BE49-F238E27FC236}">
              <a16:creationId xmlns:a16="http://schemas.microsoft.com/office/drawing/2014/main" id="{2AB94191-C15A-42EF-BDB7-7BDD74CC4CF0}"/>
            </a:ext>
          </a:extLst>
        </xdr:cNvPr>
        <xdr:cNvSpPr txBox="1"/>
      </xdr:nvSpPr>
      <xdr:spPr>
        <a:xfrm>
          <a:off x="2444163" y="300955"/>
          <a:ext cx="8015912" cy="781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4400" b="1">
              <a:solidFill>
                <a:srgbClr val="002060"/>
              </a:solidFill>
              <a:latin typeface="+mn-lt"/>
            </a:rPr>
            <a:t>Shipment Dashboard Monitoring</a:t>
          </a:r>
        </a:p>
      </xdr:txBody>
    </xdr:sp>
    <xdr:clientData/>
  </xdr:oneCellAnchor>
  <xdr:oneCellAnchor>
    <xdr:from>
      <xdr:col>1</xdr:col>
      <xdr:colOff>364992</xdr:colOff>
      <xdr:row>5</xdr:row>
      <xdr:rowOff>85962</xdr:rowOff>
    </xdr:from>
    <xdr:ext cx="2362698" cy="374141"/>
    <xdr:sp macro="" textlink="">
      <xdr:nvSpPr>
        <xdr:cNvPr id="17" name="TextBox 16">
          <a:extLst>
            <a:ext uri="{FF2B5EF4-FFF2-40B4-BE49-F238E27FC236}">
              <a16:creationId xmlns:a16="http://schemas.microsoft.com/office/drawing/2014/main" id="{65388F97-BCF3-427D-8982-9459F01026C6}"/>
            </a:ext>
          </a:extLst>
        </xdr:cNvPr>
        <xdr:cNvSpPr txBox="1"/>
      </xdr:nvSpPr>
      <xdr:spPr>
        <a:xfrm>
          <a:off x="2501313" y="1038462"/>
          <a:ext cx="236269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lumMod val="50000"/>
                </a:schemeClr>
              </a:solidFill>
              <a:latin typeface="+mn-lt"/>
            </a:rPr>
            <a:t>Business Development</a:t>
          </a:r>
        </a:p>
      </xdr:txBody>
    </xdr:sp>
    <xdr:clientData/>
  </xdr:oneCellAnchor>
  <xdr:oneCellAnchor>
    <xdr:from>
      <xdr:col>24</xdr:col>
      <xdr:colOff>260865</xdr:colOff>
      <xdr:row>1</xdr:row>
      <xdr:rowOff>135442</xdr:rowOff>
    </xdr:from>
    <xdr:ext cx="3110019" cy="655885"/>
    <xdr:sp macro="" textlink="">
      <xdr:nvSpPr>
        <xdr:cNvPr id="22" name="TextBox 21">
          <a:extLst>
            <a:ext uri="{FF2B5EF4-FFF2-40B4-BE49-F238E27FC236}">
              <a16:creationId xmlns:a16="http://schemas.microsoft.com/office/drawing/2014/main" id="{D30453AD-E87E-ABAF-22BB-D52FD43C191D}"/>
            </a:ext>
          </a:extLst>
        </xdr:cNvPr>
        <xdr:cNvSpPr txBox="1"/>
      </xdr:nvSpPr>
      <xdr:spPr>
        <a:xfrm>
          <a:off x="16314820" y="325942"/>
          <a:ext cx="3110019"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600" b="1">
              <a:solidFill>
                <a:srgbClr val="002060"/>
              </a:solidFill>
              <a:latin typeface="+mn-lt"/>
            </a:rPr>
            <a:t>Total Shipment</a:t>
          </a:r>
        </a:p>
      </xdr:txBody>
    </xdr:sp>
    <xdr:clientData/>
  </xdr:oneCellAnchor>
  <xdr:oneCellAnchor>
    <xdr:from>
      <xdr:col>1</xdr:col>
      <xdr:colOff>368949</xdr:colOff>
      <xdr:row>13</xdr:row>
      <xdr:rowOff>176512</xdr:rowOff>
    </xdr:from>
    <xdr:ext cx="991810" cy="374141"/>
    <xdr:sp macro="" textlink="">
      <xdr:nvSpPr>
        <xdr:cNvPr id="23" name="TextBox 22">
          <a:extLst>
            <a:ext uri="{FF2B5EF4-FFF2-40B4-BE49-F238E27FC236}">
              <a16:creationId xmlns:a16="http://schemas.microsoft.com/office/drawing/2014/main" id="{76745E2F-112E-BBE7-3296-8FCBFB42B62A}"/>
            </a:ext>
          </a:extLst>
        </xdr:cNvPr>
        <xdr:cNvSpPr txBox="1"/>
      </xdr:nvSpPr>
      <xdr:spPr>
        <a:xfrm>
          <a:off x="2481767" y="2653012"/>
          <a:ext cx="99181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lumMod val="50000"/>
                </a:schemeClr>
              </a:solidFill>
              <a:latin typeface="+mn-lt"/>
            </a:rPr>
            <a:t>On</a:t>
          </a:r>
          <a:r>
            <a:rPr lang="en-US" sz="1800" b="1" baseline="0">
              <a:solidFill>
                <a:schemeClr val="bg1">
                  <a:lumMod val="50000"/>
                </a:schemeClr>
              </a:solidFill>
              <a:latin typeface="+mn-lt"/>
            </a:rPr>
            <a:t> Time</a:t>
          </a:r>
          <a:endParaRPr lang="en-US" sz="1800" b="1">
            <a:solidFill>
              <a:schemeClr val="bg1">
                <a:lumMod val="50000"/>
              </a:schemeClr>
            </a:solidFill>
            <a:latin typeface="+mn-lt"/>
          </a:endParaRPr>
        </a:p>
      </xdr:txBody>
    </xdr:sp>
    <xdr:clientData/>
  </xdr:oneCellAnchor>
  <xdr:oneCellAnchor>
    <xdr:from>
      <xdr:col>1</xdr:col>
      <xdr:colOff>412493</xdr:colOff>
      <xdr:row>19</xdr:row>
      <xdr:rowOff>15945</xdr:rowOff>
    </xdr:from>
    <xdr:ext cx="592406" cy="374141"/>
    <xdr:sp macro="" textlink="">
      <xdr:nvSpPr>
        <xdr:cNvPr id="24" name="TextBox 23">
          <a:extLst>
            <a:ext uri="{FF2B5EF4-FFF2-40B4-BE49-F238E27FC236}">
              <a16:creationId xmlns:a16="http://schemas.microsoft.com/office/drawing/2014/main" id="{75D17434-342A-F75A-AC24-7A1420FC36BF}"/>
            </a:ext>
          </a:extLst>
        </xdr:cNvPr>
        <xdr:cNvSpPr txBox="1"/>
      </xdr:nvSpPr>
      <xdr:spPr>
        <a:xfrm>
          <a:off x="2525311" y="3635445"/>
          <a:ext cx="59240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lumMod val="50000"/>
                </a:schemeClr>
              </a:solidFill>
              <a:latin typeface="+mn-lt"/>
            </a:rPr>
            <a:t>Late</a:t>
          </a:r>
        </a:p>
      </xdr:txBody>
    </xdr:sp>
    <xdr:clientData/>
  </xdr:oneCellAnchor>
  <xdr:twoCellAnchor>
    <xdr:from>
      <xdr:col>1</xdr:col>
      <xdr:colOff>572738</xdr:colOff>
      <xdr:row>18</xdr:row>
      <xdr:rowOff>115041</xdr:rowOff>
    </xdr:from>
    <xdr:to>
      <xdr:col>7</xdr:col>
      <xdr:colOff>502228</xdr:colOff>
      <xdr:row>18</xdr:row>
      <xdr:rowOff>115041</xdr:rowOff>
    </xdr:to>
    <xdr:cxnSp macro="">
      <xdr:nvCxnSpPr>
        <xdr:cNvPr id="32" name="Straight Connector 31">
          <a:extLst>
            <a:ext uri="{FF2B5EF4-FFF2-40B4-BE49-F238E27FC236}">
              <a16:creationId xmlns:a16="http://schemas.microsoft.com/office/drawing/2014/main" id="{7627C4E8-223D-E2CC-3860-7D8B66050EEA}"/>
            </a:ext>
          </a:extLst>
        </xdr:cNvPr>
        <xdr:cNvCxnSpPr/>
      </xdr:nvCxnSpPr>
      <xdr:spPr>
        <a:xfrm>
          <a:off x="2685556" y="3544041"/>
          <a:ext cx="356630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19150</xdr:colOff>
      <xdr:row>9</xdr:row>
      <xdr:rowOff>136763</xdr:rowOff>
    </xdr:from>
    <xdr:to>
      <xdr:col>48</xdr:col>
      <xdr:colOff>31174</xdr:colOff>
      <xdr:row>48</xdr:row>
      <xdr:rowOff>138545</xdr:rowOff>
    </xdr:to>
    <xdr:sp macro="" textlink="">
      <xdr:nvSpPr>
        <xdr:cNvPr id="35" name="Rectangle: Rounded Corners 34">
          <a:extLst>
            <a:ext uri="{FF2B5EF4-FFF2-40B4-BE49-F238E27FC236}">
              <a16:creationId xmlns:a16="http://schemas.microsoft.com/office/drawing/2014/main" id="{D89B15D8-D819-E2A3-ADAC-606860A64BBE}"/>
            </a:ext>
          </a:extLst>
        </xdr:cNvPr>
        <xdr:cNvSpPr/>
      </xdr:nvSpPr>
      <xdr:spPr>
        <a:xfrm>
          <a:off x="24055076" y="1830096"/>
          <a:ext cx="8525728" cy="7339560"/>
        </a:xfrm>
        <a:prstGeom prst="roundRect">
          <a:avLst>
            <a:gd name="adj" fmla="val 2494"/>
          </a:avLst>
        </a:prstGeom>
        <a:solidFill>
          <a:schemeClr val="bg1"/>
        </a:solidFill>
        <a:ln>
          <a:solidFill>
            <a:schemeClr val="tx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35</xdr:col>
      <xdr:colOff>332015</xdr:colOff>
      <xdr:row>10</xdr:row>
      <xdr:rowOff>610</xdr:rowOff>
    </xdr:from>
    <xdr:ext cx="6011261" cy="655885"/>
    <xdr:sp macro="" textlink="">
      <xdr:nvSpPr>
        <xdr:cNvPr id="36" name="TextBox 35">
          <a:extLst>
            <a:ext uri="{FF2B5EF4-FFF2-40B4-BE49-F238E27FC236}">
              <a16:creationId xmlns:a16="http://schemas.microsoft.com/office/drawing/2014/main" id="{CDDBB366-C351-F186-4498-0A2140C3644B}"/>
            </a:ext>
          </a:extLst>
        </xdr:cNvPr>
        <xdr:cNvSpPr txBox="1"/>
      </xdr:nvSpPr>
      <xdr:spPr>
        <a:xfrm>
          <a:off x="23053470" y="1905610"/>
          <a:ext cx="6011261"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600" b="1">
              <a:solidFill>
                <a:srgbClr val="002060"/>
              </a:solidFill>
              <a:latin typeface="+mn-lt"/>
            </a:rPr>
            <a:t>Total Shipment by Destination</a:t>
          </a:r>
        </a:p>
      </xdr:txBody>
    </xdr:sp>
    <xdr:clientData/>
  </xdr:oneCellAnchor>
  <xdr:twoCellAnchor>
    <xdr:from>
      <xdr:col>1</xdr:col>
      <xdr:colOff>209649</xdr:colOff>
      <xdr:row>49</xdr:row>
      <xdr:rowOff>188717</xdr:rowOff>
    </xdr:from>
    <xdr:to>
      <xdr:col>16</xdr:col>
      <xdr:colOff>519546</xdr:colOff>
      <xdr:row>76</xdr:row>
      <xdr:rowOff>34636</xdr:rowOff>
    </xdr:to>
    <xdr:sp macro="" textlink="">
      <xdr:nvSpPr>
        <xdr:cNvPr id="37" name="Rectangle: Rounded Corners 36">
          <a:extLst>
            <a:ext uri="{FF2B5EF4-FFF2-40B4-BE49-F238E27FC236}">
              <a16:creationId xmlns:a16="http://schemas.microsoft.com/office/drawing/2014/main" id="{6246DE60-0EFF-600E-09AC-75BC2C8F6470}"/>
            </a:ext>
          </a:extLst>
        </xdr:cNvPr>
        <xdr:cNvSpPr/>
      </xdr:nvSpPr>
      <xdr:spPr>
        <a:xfrm>
          <a:off x="2322467" y="9523217"/>
          <a:ext cx="9401943" cy="4989419"/>
        </a:xfrm>
        <a:prstGeom prst="roundRect">
          <a:avLst>
            <a:gd name="adj" fmla="val 2494"/>
          </a:avLst>
        </a:prstGeom>
        <a:solidFill>
          <a:schemeClr val="bg1"/>
        </a:solidFill>
        <a:ln>
          <a:solidFill>
            <a:schemeClr val="tx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522514</xdr:colOff>
      <xdr:row>50</xdr:row>
      <xdr:rowOff>52564</xdr:rowOff>
    </xdr:from>
    <xdr:ext cx="6454203" cy="655885"/>
    <xdr:sp macro="" textlink="">
      <xdr:nvSpPr>
        <xdr:cNvPr id="38" name="TextBox 37">
          <a:extLst>
            <a:ext uri="{FF2B5EF4-FFF2-40B4-BE49-F238E27FC236}">
              <a16:creationId xmlns:a16="http://schemas.microsoft.com/office/drawing/2014/main" id="{9E654483-3927-BD61-6CD0-E5107C16E01F}"/>
            </a:ext>
          </a:extLst>
        </xdr:cNvPr>
        <xdr:cNvSpPr txBox="1"/>
      </xdr:nvSpPr>
      <xdr:spPr>
        <a:xfrm>
          <a:off x="2652650" y="9577564"/>
          <a:ext cx="6454203"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600" b="1">
              <a:solidFill>
                <a:srgbClr val="002060"/>
              </a:solidFill>
              <a:latin typeface="+mn-lt"/>
            </a:rPr>
            <a:t>Shipment Performance by Origin</a:t>
          </a:r>
        </a:p>
      </xdr:txBody>
    </xdr:sp>
    <xdr:clientData/>
  </xdr:oneCellAnchor>
  <xdr:twoCellAnchor>
    <xdr:from>
      <xdr:col>23</xdr:col>
      <xdr:colOff>19149</xdr:colOff>
      <xdr:row>9</xdr:row>
      <xdr:rowOff>171399</xdr:rowOff>
    </xdr:from>
    <xdr:to>
      <xdr:col>34</xdr:col>
      <xdr:colOff>536864</xdr:colOff>
      <xdr:row>26</xdr:row>
      <xdr:rowOff>115290</xdr:rowOff>
    </xdr:to>
    <xdr:sp macro="" textlink="">
      <xdr:nvSpPr>
        <xdr:cNvPr id="40" name="Rectangle: Rounded Corners 39">
          <a:extLst>
            <a:ext uri="{FF2B5EF4-FFF2-40B4-BE49-F238E27FC236}">
              <a16:creationId xmlns:a16="http://schemas.microsoft.com/office/drawing/2014/main" id="{5DDCE228-C2E2-7106-A11B-F80016EDF8D3}"/>
            </a:ext>
          </a:extLst>
        </xdr:cNvPr>
        <xdr:cNvSpPr/>
      </xdr:nvSpPr>
      <xdr:spPr>
        <a:xfrm>
          <a:off x="15466967" y="1885899"/>
          <a:ext cx="7185215" cy="3182391"/>
        </a:xfrm>
        <a:prstGeom prst="roundRect">
          <a:avLst>
            <a:gd name="adj" fmla="val 2494"/>
          </a:avLst>
        </a:prstGeom>
        <a:solidFill>
          <a:schemeClr val="bg1"/>
        </a:solidFill>
        <a:ln>
          <a:solidFill>
            <a:schemeClr val="tx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23</xdr:col>
      <xdr:colOff>332014</xdr:colOff>
      <xdr:row>10</xdr:row>
      <xdr:rowOff>35246</xdr:rowOff>
    </xdr:from>
    <xdr:ext cx="5157374" cy="655885"/>
    <xdr:sp macro="" textlink="">
      <xdr:nvSpPr>
        <xdr:cNvPr id="41" name="TextBox 40">
          <a:extLst>
            <a:ext uri="{FF2B5EF4-FFF2-40B4-BE49-F238E27FC236}">
              <a16:creationId xmlns:a16="http://schemas.microsoft.com/office/drawing/2014/main" id="{B6BE51F6-F2B4-E084-B173-A5F6B6FEC64E}"/>
            </a:ext>
          </a:extLst>
        </xdr:cNvPr>
        <xdr:cNvSpPr txBox="1"/>
      </xdr:nvSpPr>
      <xdr:spPr>
        <a:xfrm>
          <a:off x="15779832" y="1940246"/>
          <a:ext cx="5157374"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600" b="1">
              <a:solidFill>
                <a:srgbClr val="002060"/>
              </a:solidFill>
              <a:latin typeface="+mn-lt"/>
            </a:rPr>
            <a:t>Total Shipment by Service</a:t>
          </a:r>
        </a:p>
      </xdr:txBody>
    </xdr:sp>
    <xdr:clientData/>
  </xdr:oneCellAnchor>
  <xdr:twoCellAnchor>
    <xdr:from>
      <xdr:col>17</xdr:col>
      <xdr:colOff>244288</xdr:colOff>
      <xdr:row>50</xdr:row>
      <xdr:rowOff>15535</xdr:rowOff>
    </xdr:from>
    <xdr:to>
      <xdr:col>32</xdr:col>
      <xdr:colOff>554186</xdr:colOff>
      <xdr:row>76</xdr:row>
      <xdr:rowOff>51954</xdr:rowOff>
    </xdr:to>
    <xdr:sp macro="" textlink="">
      <xdr:nvSpPr>
        <xdr:cNvPr id="43" name="Rectangle: Rounded Corners 42">
          <a:extLst>
            <a:ext uri="{FF2B5EF4-FFF2-40B4-BE49-F238E27FC236}">
              <a16:creationId xmlns:a16="http://schemas.microsoft.com/office/drawing/2014/main" id="{F35BB59F-40A5-4D22-89C7-3D2912313528}"/>
            </a:ext>
          </a:extLst>
        </xdr:cNvPr>
        <xdr:cNvSpPr/>
      </xdr:nvSpPr>
      <xdr:spPr>
        <a:xfrm>
          <a:off x="12055288" y="9540535"/>
          <a:ext cx="9401943" cy="4989419"/>
        </a:xfrm>
        <a:prstGeom prst="roundRect">
          <a:avLst>
            <a:gd name="adj" fmla="val 2494"/>
          </a:avLst>
        </a:prstGeom>
        <a:solidFill>
          <a:schemeClr val="bg1"/>
        </a:solidFill>
        <a:ln>
          <a:solidFill>
            <a:schemeClr val="tx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17</xdr:col>
      <xdr:colOff>557153</xdr:colOff>
      <xdr:row>50</xdr:row>
      <xdr:rowOff>69882</xdr:rowOff>
    </xdr:from>
    <xdr:ext cx="6234720" cy="655885"/>
    <xdr:sp macro="" textlink="">
      <xdr:nvSpPr>
        <xdr:cNvPr id="44" name="TextBox 43">
          <a:extLst>
            <a:ext uri="{FF2B5EF4-FFF2-40B4-BE49-F238E27FC236}">
              <a16:creationId xmlns:a16="http://schemas.microsoft.com/office/drawing/2014/main" id="{4F6A3DCD-9D63-478D-9D1F-552D2CFEA852}"/>
            </a:ext>
          </a:extLst>
        </xdr:cNvPr>
        <xdr:cNvSpPr txBox="1"/>
      </xdr:nvSpPr>
      <xdr:spPr>
        <a:xfrm>
          <a:off x="12368153" y="9594882"/>
          <a:ext cx="6234720"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600" b="1">
              <a:solidFill>
                <a:srgbClr val="002060"/>
              </a:solidFill>
              <a:latin typeface="+mn-lt"/>
            </a:rPr>
            <a:t>Shipment Performance by Fleet</a:t>
          </a:r>
        </a:p>
      </xdr:txBody>
    </xdr:sp>
    <xdr:clientData/>
  </xdr:oneCellAnchor>
  <xdr:twoCellAnchor>
    <xdr:from>
      <xdr:col>33</xdr:col>
      <xdr:colOff>240821</xdr:colOff>
      <xdr:row>49</xdr:row>
      <xdr:rowOff>133299</xdr:rowOff>
    </xdr:from>
    <xdr:to>
      <xdr:col>48</xdr:col>
      <xdr:colOff>31173</xdr:colOff>
      <xdr:row>75</xdr:row>
      <xdr:rowOff>169718</xdr:rowOff>
    </xdr:to>
    <xdr:sp macro="" textlink="">
      <xdr:nvSpPr>
        <xdr:cNvPr id="45" name="Rectangle: Rounded Corners 44">
          <a:extLst>
            <a:ext uri="{FF2B5EF4-FFF2-40B4-BE49-F238E27FC236}">
              <a16:creationId xmlns:a16="http://schemas.microsoft.com/office/drawing/2014/main" id="{117E1F8F-1F70-4944-B50C-993F66AC1580}"/>
            </a:ext>
          </a:extLst>
        </xdr:cNvPr>
        <xdr:cNvSpPr/>
      </xdr:nvSpPr>
      <xdr:spPr>
        <a:xfrm>
          <a:off x="21750003" y="9467799"/>
          <a:ext cx="9401943" cy="4989419"/>
        </a:xfrm>
        <a:prstGeom prst="roundRect">
          <a:avLst>
            <a:gd name="adj" fmla="val 2494"/>
          </a:avLst>
        </a:prstGeom>
        <a:solidFill>
          <a:schemeClr val="bg1"/>
        </a:solidFill>
        <a:ln>
          <a:solidFill>
            <a:schemeClr val="tx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33</xdr:col>
      <xdr:colOff>553686</xdr:colOff>
      <xdr:row>49</xdr:row>
      <xdr:rowOff>187646</xdr:rowOff>
    </xdr:from>
    <xdr:ext cx="6656694" cy="655885"/>
    <xdr:sp macro="" textlink="">
      <xdr:nvSpPr>
        <xdr:cNvPr id="46" name="TextBox 45">
          <a:extLst>
            <a:ext uri="{FF2B5EF4-FFF2-40B4-BE49-F238E27FC236}">
              <a16:creationId xmlns:a16="http://schemas.microsoft.com/office/drawing/2014/main" id="{BB96BD8A-05DC-4863-9556-82A10A2F8211}"/>
            </a:ext>
          </a:extLst>
        </xdr:cNvPr>
        <xdr:cNvSpPr txBox="1"/>
      </xdr:nvSpPr>
      <xdr:spPr>
        <a:xfrm>
          <a:off x="22062868" y="9522146"/>
          <a:ext cx="6656694"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600" b="1">
              <a:solidFill>
                <a:srgbClr val="002060"/>
              </a:solidFill>
              <a:latin typeface="+mn-lt"/>
            </a:rPr>
            <a:t>Shipment Performance by Service</a:t>
          </a:r>
        </a:p>
      </xdr:txBody>
    </xdr:sp>
    <xdr:clientData/>
  </xdr:oneCellAnchor>
  <xdr:twoCellAnchor>
    <xdr:from>
      <xdr:col>11</xdr:col>
      <xdr:colOff>330200</xdr:colOff>
      <xdr:row>14</xdr:row>
      <xdr:rowOff>0</xdr:rowOff>
    </xdr:from>
    <xdr:to>
      <xdr:col>22</xdr:col>
      <xdr:colOff>101600</xdr:colOff>
      <xdr:row>25</xdr:row>
      <xdr:rowOff>50800</xdr:rowOff>
    </xdr:to>
    <xdr:graphicFrame macro="">
      <xdr:nvGraphicFramePr>
        <xdr:cNvPr id="31" name="Chart 30">
          <a:extLst>
            <a:ext uri="{FF2B5EF4-FFF2-40B4-BE49-F238E27FC236}">
              <a16:creationId xmlns:a16="http://schemas.microsoft.com/office/drawing/2014/main" id="{ABE08BA6-EF4D-4EFC-A639-825ED5A41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381000</xdr:colOff>
      <xdr:row>14</xdr:row>
      <xdr:rowOff>107898</xdr:rowOff>
    </xdr:from>
    <xdr:to>
      <xdr:col>34</xdr:col>
      <xdr:colOff>127000</xdr:colOff>
      <xdr:row>25</xdr:row>
      <xdr:rowOff>25399</xdr:rowOff>
    </xdr:to>
    <xdr:graphicFrame macro="">
      <xdr:nvGraphicFramePr>
        <xdr:cNvPr id="34" name="Chart 33">
          <a:extLst>
            <a:ext uri="{FF2B5EF4-FFF2-40B4-BE49-F238E27FC236}">
              <a16:creationId xmlns:a16="http://schemas.microsoft.com/office/drawing/2014/main" id="{AADC3BF2-B87F-4A83-B862-75054207C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399815</xdr:colOff>
      <xdr:row>15</xdr:row>
      <xdr:rowOff>47862</xdr:rowOff>
    </xdr:from>
    <xdr:to>
      <xdr:col>47</xdr:col>
      <xdr:colOff>305741</xdr:colOff>
      <xdr:row>46</xdr:row>
      <xdr:rowOff>141111</xdr:rowOff>
    </xdr:to>
    <mc:AlternateContent xmlns:mc="http://schemas.openxmlformats.org/markup-compatibility/2006">
      <mc:Choice xmlns:cx4="http://schemas.microsoft.com/office/drawing/2016/5/10/chartex" Requires="cx4">
        <xdr:graphicFrame macro="">
          <xdr:nvGraphicFramePr>
            <xdr:cNvPr id="39" name="Chart 38">
              <a:extLst>
                <a:ext uri="{FF2B5EF4-FFF2-40B4-BE49-F238E27FC236}">
                  <a16:creationId xmlns:a16="http://schemas.microsoft.com/office/drawing/2014/main" id="{21EB8678-0ACF-4204-9277-E889298B49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4435741" y="2870084"/>
              <a:ext cx="7808148" cy="592584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99614</xdr:colOff>
      <xdr:row>30</xdr:row>
      <xdr:rowOff>138045</xdr:rowOff>
    </xdr:from>
    <xdr:to>
      <xdr:col>33</xdr:col>
      <xdr:colOff>469348</xdr:colOff>
      <xdr:row>47</xdr:row>
      <xdr:rowOff>0</xdr:rowOff>
    </xdr:to>
    <xdr:graphicFrame macro="">
      <xdr:nvGraphicFramePr>
        <xdr:cNvPr id="47" name="Chart 46">
          <a:extLst>
            <a:ext uri="{FF2B5EF4-FFF2-40B4-BE49-F238E27FC236}">
              <a16:creationId xmlns:a16="http://schemas.microsoft.com/office/drawing/2014/main" id="{0DF60BAF-ED50-48C1-8E29-0CB6A8FD5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224205</xdr:colOff>
      <xdr:row>8</xdr:row>
      <xdr:rowOff>53435</xdr:rowOff>
    </xdr:from>
    <xdr:to>
      <xdr:col>0</xdr:col>
      <xdr:colOff>2926522</xdr:colOff>
      <xdr:row>25</xdr:row>
      <xdr:rowOff>27608</xdr:rowOff>
    </xdr:to>
    <mc:AlternateContent xmlns:mc="http://schemas.openxmlformats.org/markup-compatibility/2006">
      <mc:Choice xmlns:a14="http://schemas.microsoft.com/office/drawing/2010/main" Requires="a14">
        <xdr:graphicFrame macro="">
          <xdr:nvGraphicFramePr>
            <xdr:cNvPr id="48" name="Origin_Province 1">
              <a:extLst>
                <a:ext uri="{FF2B5EF4-FFF2-40B4-BE49-F238E27FC236}">
                  <a16:creationId xmlns:a16="http://schemas.microsoft.com/office/drawing/2014/main" id="{1F43FD13-5D50-4FDF-BCAB-3554EE34C8EA}"/>
                </a:ext>
              </a:extLst>
            </xdr:cNvPr>
            <xdr:cNvGraphicFramePr/>
          </xdr:nvGraphicFramePr>
          <xdr:xfrm>
            <a:off x="0" y="0"/>
            <a:ext cx="0" cy="0"/>
          </xdr:xfrm>
          <a:graphic>
            <a:graphicData uri="http://schemas.microsoft.com/office/drawing/2010/slicer">
              <sle:slicer xmlns:sle="http://schemas.microsoft.com/office/drawing/2010/slicer" name="Origin_Province 1"/>
            </a:graphicData>
          </a:graphic>
        </xdr:graphicFrame>
      </mc:Choice>
      <mc:Fallback>
        <xdr:sp macro="" textlink="">
          <xdr:nvSpPr>
            <xdr:cNvPr id="0" name=""/>
            <xdr:cNvSpPr>
              <a:spLocks noTextEdit="1"/>
            </xdr:cNvSpPr>
          </xdr:nvSpPr>
          <xdr:spPr>
            <a:xfrm>
              <a:off x="224205" y="1558620"/>
              <a:ext cx="2702317" cy="31726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220868</xdr:colOff>
      <xdr:row>27</xdr:row>
      <xdr:rowOff>0</xdr:rowOff>
    </xdr:from>
    <xdr:to>
      <xdr:col>0</xdr:col>
      <xdr:colOff>2871303</xdr:colOff>
      <xdr:row>33</xdr:row>
      <xdr:rowOff>19049</xdr:rowOff>
    </xdr:to>
    <mc:AlternateContent xmlns:mc="http://schemas.openxmlformats.org/markup-compatibility/2006">
      <mc:Choice xmlns:a14="http://schemas.microsoft.com/office/drawing/2010/main" Requires="a14">
        <xdr:graphicFrame macro="">
          <xdr:nvGraphicFramePr>
            <xdr:cNvPr id="49" name="Service_Type 1">
              <a:extLst>
                <a:ext uri="{FF2B5EF4-FFF2-40B4-BE49-F238E27FC236}">
                  <a16:creationId xmlns:a16="http://schemas.microsoft.com/office/drawing/2014/main" id="{26CEC639-9FC1-43C9-8299-37B6034F7944}"/>
                </a:ext>
              </a:extLst>
            </xdr:cNvPr>
            <xdr:cNvGraphicFramePr/>
          </xdr:nvGraphicFramePr>
          <xdr:xfrm>
            <a:off x="0" y="0"/>
            <a:ext cx="0" cy="0"/>
          </xdr:xfrm>
          <a:graphic>
            <a:graphicData uri="http://schemas.microsoft.com/office/drawing/2010/slicer">
              <sle:slicer xmlns:sle="http://schemas.microsoft.com/office/drawing/2010/slicer" name="Service_Type 1"/>
            </a:graphicData>
          </a:graphic>
        </xdr:graphicFrame>
      </mc:Choice>
      <mc:Fallback>
        <xdr:sp macro="" textlink="">
          <xdr:nvSpPr>
            <xdr:cNvPr id="0" name=""/>
            <xdr:cNvSpPr>
              <a:spLocks noTextEdit="1"/>
            </xdr:cNvSpPr>
          </xdr:nvSpPr>
          <xdr:spPr>
            <a:xfrm>
              <a:off x="220868" y="5080000"/>
              <a:ext cx="2650435" cy="11479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248478</xdr:colOff>
      <xdr:row>35</xdr:row>
      <xdr:rowOff>27609</xdr:rowOff>
    </xdr:from>
    <xdr:to>
      <xdr:col>0</xdr:col>
      <xdr:colOff>2844800</xdr:colOff>
      <xdr:row>40</xdr:row>
      <xdr:rowOff>19050</xdr:rowOff>
    </xdr:to>
    <mc:AlternateContent xmlns:mc="http://schemas.openxmlformats.org/markup-compatibility/2006">
      <mc:Choice xmlns:a14="http://schemas.microsoft.com/office/drawing/2010/main" Requires="a14">
        <xdr:graphicFrame macro="">
          <xdr:nvGraphicFramePr>
            <xdr:cNvPr id="50" name="Customer_Type 1">
              <a:extLst>
                <a:ext uri="{FF2B5EF4-FFF2-40B4-BE49-F238E27FC236}">
                  <a16:creationId xmlns:a16="http://schemas.microsoft.com/office/drawing/2014/main" id="{5AC3012F-B543-4B91-BAD1-A6517EB9020B}"/>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dr:sp macro="" textlink="">
          <xdr:nvSpPr>
            <xdr:cNvPr id="0" name=""/>
            <xdr:cNvSpPr>
              <a:spLocks noTextEdit="1"/>
            </xdr:cNvSpPr>
          </xdr:nvSpPr>
          <xdr:spPr>
            <a:xfrm>
              <a:off x="248478" y="6612794"/>
              <a:ext cx="2596322" cy="9321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181428</xdr:colOff>
      <xdr:row>5</xdr:row>
      <xdr:rowOff>36285</xdr:rowOff>
    </xdr:from>
    <xdr:to>
      <xdr:col>21</xdr:col>
      <xdr:colOff>401289</xdr:colOff>
      <xdr:row>7</xdr:row>
      <xdr:rowOff>181427</xdr:rowOff>
    </xdr:to>
    <xdr:pic>
      <xdr:nvPicPr>
        <xdr:cNvPr id="51" name="Picture 50">
          <a:extLst>
            <a:ext uri="{FF2B5EF4-FFF2-40B4-BE49-F238E27FC236}">
              <a16:creationId xmlns:a16="http://schemas.microsoft.com/office/drawing/2014/main" id="{EF3362E6-0030-4ACC-B5A6-27875D7D756B}"/>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49532" t="3448"/>
        <a:stretch/>
      </xdr:blipFill>
      <xdr:spPr bwMode="auto">
        <a:xfrm>
          <a:off x="13915571" y="943428"/>
          <a:ext cx="2070432" cy="507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519066</xdr:colOff>
      <xdr:row>54</xdr:row>
      <xdr:rowOff>0</xdr:rowOff>
    </xdr:from>
    <xdr:to>
      <xdr:col>16</xdr:col>
      <xdr:colOff>203199</xdr:colOff>
      <xdr:row>74</xdr:row>
      <xdr:rowOff>88899</xdr:rowOff>
    </xdr:to>
    <xdr:graphicFrame macro="">
      <xdr:nvGraphicFramePr>
        <xdr:cNvPr id="52" name="Chart 51">
          <a:extLst>
            <a:ext uri="{FF2B5EF4-FFF2-40B4-BE49-F238E27FC236}">
              <a16:creationId xmlns:a16="http://schemas.microsoft.com/office/drawing/2014/main" id="{73CA009B-B61B-4B9A-BB66-C3CF8F084E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587188</xdr:colOff>
      <xdr:row>54</xdr:row>
      <xdr:rowOff>28234</xdr:rowOff>
    </xdr:from>
    <xdr:to>
      <xdr:col>32</xdr:col>
      <xdr:colOff>304800</xdr:colOff>
      <xdr:row>75</xdr:row>
      <xdr:rowOff>12699</xdr:rowOff>
    </xdr:to>
    <xdr:graphicFrame macro="">
      <xdr:nvGraphicFramePr>
        <xdr:cNvPr id="53" name="Chart 52">
          <a:extLst>
            <a:ext uri="{FF2B5EF4-FFF2-40B4-BE49-F238E27FC236}">
              <a16:creationId xmlns:a16="http://schemas.microsoft.com/office/drawing/2014/main" id="{50055B7B-67F4-4F9C-892D-BD5B18EFD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34</xdr:col>
      <xdr:colOff>7602</xdr:colOff>
      <xdr:row>53</xdr:row>
      <xdr:rowOff>158698</xdr:rowOff>
    </xdr:from>
    <xdr:to>
      <xdr:col>47</xdr:col>
      <xdr:colOff>177800</xdr:colOff>
      <xdr:row>74</xdr:row>
      <xdr:rowOff>63500</xdr:rowOff>
    </xdr:to>
    <xdr:graphicFrame macro="">
      <xdr:nvGraphicFramePr>
        <xdr:cNvPr id="54" name="Chart 53">
          <a:extLst>
            <a:ext uri="{FF2B5EF4-FFF2-40B4-BE49-F238E27FC236}">
              <a16:creationId xmlns:a16="http://schemas.microsoft.com/office/drawing/2014/main" id="{E2C06DDB-FB3C-440B-8765-A85205EE8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25</xdr:col>
      <xdr:colOff>417285</xdr:colOff>
      <xdr:row>5</xdr:row>
      <xdr:rowOff>18143</xdr:rowOff>
    </xdr:from>
    <xdr:to>
      <xdr:col>27</xdr:col>
      <xdr:colOff>496180</xdr:colOff>
      <xdr:row>8</xdr:row>
      <xdr:rowOff>90713</xdr:rowOff>
    </xdr:to>
    <xdr:pic>
      <xdr:nvPicPr>
        <xdr:cNvPr id="55" name="Picture 54">
          <a:extLst>
            <a:ext uri="{FF2B5EF4-FFF2-40B4-BE49-F238E27FC236}">
              <a16:creationId xmlns:a16="http://schemas.microsoft.com/office/drawing/2014/main" id="{3D88056C-2120-4805-A856-47D05C07EEC6}"/>
            </a:ext>
          </a:extLst>
        </xdr:cNvPr>
        <xdr:cNvPicPr>
          <a:picLocks noChangeAspect="1" noChangeArrowheads="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l="70868"/>
        <a:stretch/>
      </xdr:blipFill>
      <xdr:spPr bwMode="auto">
        <a:xfrm>
          <a:off x="18469428" y="925286"/>
          <a:ext cx="1312609" cy="6168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163285</xdr:colOff>
      <xdr:row>15</xdr:row>
      <xdr:rowOff>108857</xdr:rowOff>
    </xdr:from>
    <xdr:to>
      <xdr:col>4</xdr:col>
      <xdr:colOff>598715</xdr:colOff>
      <xdr:row>18</xdr:row>
      <xdr:rowOff>73426</xdr:rowOff>
    </xdr:to>
    <xdr:pic>
      <xdr:nvPicPr>
        <xdr:cNvPr id="56" name="Picture 55">
          <a:extLst>
            <a:ext uri="{FF2B5EF4-FFF2-40B4-BE49-F238E27FC236}">
              <a16:creationId xmlns:a16="http://schemas.microsoft.com/office/drawing/2014/main" id="{4F597C0D-9372-4361-87FD-AEBF14B311B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027714" y="2830286"/>
          <a:ext cx="1669144" cy="5088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181429</xdr:colOff>
      <xdr:row>20</xdr:row>
      <xdr:rowOff>163286</xdr:rowOff>
    </xdr:from>
    <xdr:to>
      <xdr:col>4</xdr:col>
      <xdr:colOff>544286</xdr:colOff>
      <xdr:row>23</xdr:row>
      <xdr:rowOff>100064</xdr:rowOff>
    </xdr:to>
    <xdr:pic>
      <xdr:nvPicPr>
        <xdr:cNvPr id="59" name="Picture 58">
          <a:extLst>
            <a:ext uri="{FF2B5EF4-FFF2-40B4-BE49-F238E27FC236}">
              <a16:creationId xmlns:a16="http://schemas.microsoft.com/office/drawing/2014/main" id="{94144E7E-F67A-4085-9E37-8A81951BB0BC}"/>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4045858" y="3791857"/>
          <a:ext cx="1596571" cy="4810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inkpad T480" refreshedDate="46046.736873611109" createdVersion="6" refreshedVersion="6" minRefreshableVersion="3" recordCount="1200" xr:uid="{315AC9E5-9E65-4154-870C-54A412672A54}">
  <cacheSource type="worksheet">
    <worksheetSource name="tdata"/>
  </cacheSource>
  <cacheFields count="20">
    <cacheField name="Shipment_ID" numFmtId="0">
      <sharedItems/>
    </cacheField>
    <cacheField name="id_employee" numFmtId="0">
      <sharedItems/>
    </cacheField>
    <cacheField name="Shipment_Date" numFmtId="164">
      <sharedItems containsSemiMixedTypes="0" containsNonDate="0" containsDate="1" containsString="0" minDate="2023-01-01T00:00:00" maxDate="2025-01-01T00:00:00" count="578">
        <d v="2024-09-16T00:00:00"/>
        <d v="2023-11-30T00:00:00"/>
        <d v="2024-06-13T00:00:00"/>
        <d v="2023-06-12T00:00:00"/>
        <d v="2024-06-16T00:00:00"/>
        <d v="2024-02-02T00:00:00"/>
        <d v="2023-08-20T00:00:00"/>
        <d v="2024-06-05T00:00:00"/>
        <d v="2024-10-25T00:00:00"/>
        <d v="2024-08-26T00:00:00"/>
        <d v="2023-05-15T00:00:00"/>
        <d v="2024-08-19T00:00:00"/>
        <d v="2023-09-13T00:00:00"/>
        <d v="2024-02-11T00:00:00"/>
        <d v="2024-01-17T00:00:00"/>
        <d v="2024-07-05T00:00:00"/>
        <d v="2023-01-12T00:00:00"/>
        <d v="2023-12-19T00:00:00"/>
        <d v="2024-10-05T00:00:00"/>
        <d v="2023-07-30T00:00:00"/>
        <d v="2023-05-05T00:00:00"/>
        <d v="2024-04-21T00:00:00"/>
        <d v="2023-03-14T00:00:00"/>
        <d v="2024-09-09T00:00:00"/>
        <d v="2024-12-02T00:00:00"/>
        <d v="2023-09-06T00:00:00"/>
        <d v="2023-04-12T00:00:00"/>
        <d v="2024-02-14T00:00:00"/>
        <d v="2024-08-09T00:00:00"/>
        <d v="2024-06-06T00:00:00"/>
        <d v="2024-12-04T00:00:00"/>
        <d v="2024-04-13T00:00:00"/>
        <d v="2023-04-07T00:00:00"/>
        <d v="2024-09-28T00:00:00"/>
        <d v="2024-07-22T00:00:00"/>
        <d v="2023-09-15T00:00:00"/>
        <d v="2023-06-06T00:00:00"/>
        <d v="2023-10-27T00:00:00"/>
        <d v="2024-09-13T00:00:00"/>
        <d v="2024-01-01T00:00:00"/>
        <d v="2024-04-03T00:00:00"/>
        <d v="2023-11-29T00:00:00"/>
        <d v="2024-06-09T00:00:00"/>
        <d v="2023-11-02T00:00:00"/>
        <d v="2023-02-09T00:00:00"/>
        <d v="2023-11-06T00:00:00"/>
        <d v="2023-08-31T00:00:00"/>
        <d v="2024-06-07T00:00:00"/>
        <d v="2024-11-18T00:00:00"/>
        <d v="2024-05-07T00:00:00"/>
        <d v="2023-11-19T00:00:00"/>
        <d v="2024-10-29T00:00:00"/>
        <d v="2023-06-30T00:00:00"/>
        <d v="2023-05-03T00:00:00"/>
        <d v="2024-10-09T00:00:00"/>
        <d v="2023-09-03T00:00:00"/>
        <d v="2023-04-02T00:00:00"/>
        <d v="2024-10-18T00:00:00"/>
        <d v="2023-06-19T00:00:00"/>
        <d v="2023-05-28T00:00:00"/>
        <d v="2023-08-02T00:00:00"/>
        <d v="2023-03-04T00:00:00"/>
        <d v="2024-10-19T00:00:00"/>
        <d v="2024-10-07T00:00:00"/>
        <d v="2023-04-03T00:00:00"/>
        <d v="2024-05-10T00:00:00"/>
        <d v="2023-03-07T00:00:00"/>
        <d v="2024-01-31T00:00:00"/>
        <d v="2023-02-08T00:00:00"/>
        <d v="2024-08-13T00:00:00"/>
        <d v="2023-09-21T00:00:00"/>
        <d v="2023-04-06T00:00:00"/>
        <d v="2023-08-19T00:00:00"/>
        <d v="2024-12-16T00:00:00"/>
        <d v="2024-07-14T00:00:00"/>
        <d v="2024-01-25T00:00:00"/>
        <d v="2023-07-03T00:00:00"/>
        <d v="2024-03-25T00:00:00"/>
        <d v="2024-08-16T00:00:00"/>
        <d v="2023-11-24T00:00:00"/>
        <d v="2023-05-12T00:00:00"/>
        <d v="2024-05-19T00:00:00"/>
        <d v="2023-06-24T00:00:00"/>
        <d v="2023-04-01T00:00:00"/>
        <d v="2024-11-05T00:00:00"/>
        <d v="2024-09-01T00:00:00"/>
        <d v="2023-06-04T00:00:00"/>
        <d v="2024-01-24T00:00:00"/>
        <d v="2024-10-21T00:00:00"/>
        <d v="2023-01-06T00:00:00"/>
        <d v="2023-06-03T00:00:00"/>
        <d v="2023-03-23T00:00:00"/>
        <d v="2024-04-22T00:00:00"/>
        <d v="2023-03-11T00:00:00"/>
        <d v="2024-02-10T00:00:00"/>
        <d v="2023-07-09T00:00:00"/>
        <d v="2024-03-22T00:00:00"/>
        <d v="2024-01-09T00:00:00"/>
        <d v="2024-03-24T00:00:00"/>
        <d v="2023-04-23T00:00:00"/>
        <d v="2023-08-03T00:00:00"/>
        <d v="2024-03-26T00:00:00"/>
        <d v="2024-08-04T00:00:00"/>
        <d v="2024-07-27T00:00:00"/>
        <d v="2023-12-16T00:00:00"/>
        <d v="2024-03-15T00:00:00"/>
        <d v="2023-02-12T00:00:00"/>
        <d v="2023-10-02T00:00:00"/>
        <d v="2024-08-24T00:00:00"/>
        <d v="2023-07-16T00:00:00"/>
        <d v="2024-10-17T00:00:00"/>
        <d v="2024-08-10T00:00:00"/>
        <d v="2023-09-10T00:00:00"/>
        <d v="2024-08-28T00:00:00"/>
        <d v="2024-04-05T00:00:00"/>
        <d v="2023-07-05T00:00:00"/>
        <d v="2023-07-14T00:00:00"/>
        <d v="2023-03-26T00:00:00"/>
        <d v="2024-01-29T00:00:00"/>
        <d v="2023-12-02T00:00:00"/>
        <d v="2023-01-13T00:00:00"/>
        <d v="2023-03-13T00:00:00"/>
        <d v="2023-10-19T00:00:00"/>
        <d v="2023-06-02T00:00:00"/>
        <d v="2023-11-23T00:00:00"/>
        <d v="2023-06-26T00:00:00"/>
        <d v="2024-04-08T00:00:00"/>
        <d v="2023-02-26T00:00:00"/>
        <d v="2023-02-01T00:00:00"/>
        <d v="2024-04-25T00:00:00"/>
        <d v="2024-11-27T00:00:00"/>
        <d v="2023-02-19T00:00:00"/>
        <d v="2024-11-29T00:00:00"/>
        <d v="2023-08-05T00:00:00"/>
        <d v="2023-05-24T00:00:00"/>
        <d v="2024-07-28T00:00:00"/>
        <d v="2024-12-11T00:00:00"/>
        <d v="2024-08-05T00:00:00"/>
        <d v="2024-01-10T00:00:00"/>
        <d v="2024-04-18T00:00:00"/>
        <d v="2023-10-14T00:00:00"/>
        <d v="2023-06-09T00:00:00"/>
        <d v="2023-07-25T00:00:00"/>
        <d v="2024-03-16T00:00:00"/>
        <d v="2023-12-08T00:00:00"/>
        <d v="2023-04-18T00:00:00"/>
        <d v="2023-01-11T00:00:00"/>
        <d v="2023-07-23T00:00:00"/>
        <d v="2023-03-09T00:00:00"/>
        <d v="2024-05-12T00:00:00"/>
        <d v="2024-02-05T00:00:00"/>
        <d v="2023-06-07T00:00:00"/>
        <d v="2023-02-21T00:00:00"/>
        <d v="2023-02-18T00:00:00"/>
        <d v="2024-12-23T00:00:00"/>
        <d v="2024-06-03T00:00:00"/>
        <d v="2024-06-21T00:00:00"/>
        <d v="2023-08-22T00:00:00"/>
        <d v="2023-03-24T00:00:00"/>
        <d v="2023-09-09T00:00:00"/>
        <d v="2023-03-29T00:00:00"/>
        <d v="2024-12-09T00:00:00"/>
        <d v="2024-01-27T00:00:00"/>
        <d v="2023-03-18T00:00:00"/>
        <d v="2024-09-25T00:00:00"/>
        <d v="2024-04-06T00:00:00"/>
        <d v="2023-10-16T00:00:00"/>
        <d v="2023-12-26T00:00:00"/>
        <d v="2023-04-30T00:00:00"/>
        <d v="2024-06-10T00:00:00"/>
        <d v="2024-08-17T00:00:00"/>
        <d v="2023-08-28T00:00:00"/>
        <d v="2023-04-22T00:00:00"/>
        <d v="2024-12-14T00:00:00"/>
        <d v="2024-11-22T00:00:00"/>
        <d v="2023-01-02T00:00:00"/>
        <d v="2024-09-23T00:00:00"/>
        <d v="2024-03-29T00:00:00"/>
        <d v="2024-07-23T00:00:00"/>
        <d v="2024-05-24T00:00:00"/>
        <d v="2023-12-27T00:00:00"/>
        <d v="2024-10-06T00:00:00"/>
        <d v="2023-05-27T00:00:00"/>
        <d v="2023-11-20T00:00:00"/>
        <d v="2023-11-14T00:00:00"/>
        <d v="2024-11-24T00:00:00"/>
        <d v="2023-07-22T00:00:00"/>
        <d v="2023-10-11T00:00:00"/>
        <d v="2023-04-08T00:00:00"/>
        <d v="2024-01-07T00:00:00"/>
        <d v="2024-05-20T00:00:00"/>
        <d v="2023-12-25T00:00:00"/>
        <d v="2024-07-21T00:00:00"/>
        <d v="2023-03-15T00:00:00"/>
        <d v="2024-03-09T00:00:00"/>
        <d v="2024-01-21T00:00:00"/>
        <d v="2023-04-19T00:00:00"/>
        <d v="2023-10-10T00:00:00"/>
        <d v="2023-05-21T00:00:00"/>
        <d v="2023-10-29T00:00:00"/>
        <d v="2023-06-23T00:00:00"/>
        <d v="2024-12-29T00:00:00"/>
        <d v="2023-05-25T00:00:00"/>
        <d v="2023-02-25T00:00:00"/>
        <d v="2023-12-09T00:00:00"/>
        <d v="2024-06-19T00:00:00"/>
        <d v="2024-07-13T00:00:00"/>
        <d v="2024-12-10T00:00:00"/>
        <d v="2024-09-19T00:00:00"/>
        <d v="2024-05-02T00:00:00"/>
        <d v="2023-06-18T00:00:00"/>
        <d v="2023-02-22T00:00:00"/>
        <d v="2024-10-01T00:00:00"/>
        <d v="2023-04-15T00:00:00"/>
        <d v="2023-11-09T00:00:00"/>
        <d v="2023-08-08T00:00:00"/>
        <d v="2024-08-27T00:00:00"/>
        <d v="2023-02-04T00:00:00"/>
        <d v="2023-05-11T00:00:00"/>
        <d v="2023-11-22T00:00:00"/>
        <d v="2023-01-27T00:00:00"/>
        <d v="2023-09-22T00:00:00"/>
        <d v="2023-05-16T00:00:00"/>
        <d v="2024-04-23T00:00:00"/>
        <d v="2023-10-31T00:00:00"/>
        <d v="2024-01-28T00:00:00"/>
        <d v="2024-05-01T00:00:00"/>
        <d v="2024-11-16T00:00:00"/>
        <d v="2023-01-23T00:00:00"/>
        <d v="2024-04-30T00:00:00"/>
        <d v="2023-12-31T00:00:00"/>
        <d v="2024-11-11T00:00:00"/>
        <d v="2024-08-18T00:00:00"/>
        <d v="2024-06-25T00:00:00"/>
        <d v="2023-02-05T00:00:00"/>
        <d v="2024-01-13T00:00:00"/>
        <d v="2024-07-03T00:00:00"/>
        <d v="2023-05-07T00:00:00"/>
        <d v="2024-10-20T00:00:00"/>
        <d v="2024-02-06T00:00:00"/>
        <d v="2023-12-11T00:00:00"/>
        <d v="2024-11-20T00:00:00"/>
        <d v="2024-09-02T00:00:00"/>
        <d v="2023-01-19T00:00:00"/>
        <d v="2024-07-07T00:00:00"/>
        <d v="2024-11-04T00:00:00"/>
        <d v="2024-12-27T00:00:00"/>
        <d v="2023-11-28T00:00:00"/>
        <d v="2023-03-01T00:00:00"/>
        <d v="2024-01-15T00:00:00"/>
        <d v="2024-04-12T00:00:00"/>
        <d v="2024-06-24T00:00:00"/>
        <d v="2024-11-09T00:00:00"/>
        <d v="2023-05-22T00:00:00"/>
        <d v="2024-07-24T00:00:00"/>
        <d v="2023-07-07T00:00:00"/>
        <d v="2023-05-02T00:00:00"/>
        <d v="2024-08-07T00:00:00"/>
        <d v="2023-09-24T00:00:00"/>
        <d v="2024-09-11T00:00:00"/>
        <d v="2024-11-26T00:00:00"/>
        <d v="2023-09-11T00:00:00"/>
        <d v="2023-08-15T00:00:00"/>
        <d v="2024-04-11T00:00:00"/>
        <d v="2023-10-13T00:00:00"/>
        <d v="2023-08-10T00:00:00"/>
        <d v="2024-02-15T00:00:00"/>
        <d v="2024-06-15T00:00:00"/>
        <d v="2023-06-10T00:00:00"/>
        <d v="2023-12-30T00:00:00"/>
        <d v="2023-07-29T00:00:00"/>
        <d v="2023-09-23T00:00:00"/>
        <d v="2023-02-28T00:00:00"/>
        <d v="2023-02-13T00:00:00"/>
        <d v="2024-06-17T00:00:00"/>
        <d v="2023-07-20T00:00:00"/>
        <d v="2023-12-13T00:00:00"/>
        <d v="2023-12-07T00:00:00"/>
        <d v="2023-11-05T00:00:00"/>
        <d v="2023-09-18T00:00:00"/>
        <d v="2024-03-27T00:00:00"/>
        <d v="2023-02-03T00:00:00"/>
        <d v="2024-03-30T00:00:00"/>
        <d v="2024-05-30T00:00:00"/>
        <d v="2023-10-04T00:00:00"/>
        <d v="2023-10-12T00:00:00"/>
        <d v="2023-01-17T00:00:00"/>
        <d v="2024-03-31T00:00:00"/>
        <d v="2024-09-07T00:00:00"/>
        <d v="2024-07-02T00:00:00"/>
        <d v="2023-05-01T00:00:00"/>
        <d v="2024-02-26T00:00:00"/>
        <d v="2024-12-08T00:00:00"/>
        <d v="2024-10-03T00:00:00"/>
        <d v="2024-01-16T00:00:00"/>
        <d v="2023-04-14T00:00:00"/>
        <d v="2023-08-25T00:00:00"/>
        <d v="2024-12-18T00:00:00"/>
        <d v="2024-02-21T00:00:00"/>
        <d v="2024-04-14T00:00:00"/>
        <d v="2023-01-16T00:00:00"/>
        <d v="2023-02-07T00:00:00"/>
        <d v="2023-12-22T00:00:00"/>
        <d v="2023-07-17T00:00:00"/>
        <d v="2024-10-22T00:00:00"/>
        <d v="2024-09-17T00:00:00"/>
        <d v="2023-03-05T00:00:00"/>
        <d v="2024-12-21T00:00:00"/>
        <d v="2023-03-03T00:00:00"/>
        <d v="2023-03-19T00:00:00"/>
        <d v="2024-05-26T00:00:00"/>
        <d v="2023-08-07T00:00:00"/>
        <d v="2024-02-29T00:00:00"/>
        <d v="2024-04-10T00:00:00"/>
        <d v="2023-03-31T00:00:00"/>
        <d v="2023-04-10T00:00:00"/>
        <d v="2023-03-21T00:00:00"/>
        <d v="2023-07-04T00:00:00"/>
        <d v="2024-02-25T00:00:00"/>
        <d v="2024-03-10T00:00:00"/>
        <d v="2023-03-06T00:00:00"/>
        <d v="2023-08-23T00:00:00"/>
        <d v="2024-09-15T00:00:00"/>
        <d v="2024-03-19T00:00:00"/>
        <d v="2024-07-01T00:00:00"/>
        <d v="2024-02-16T00:00:00"/>
        <d v="2023-11-12T00:00:00"/>
        <d v="2024-04-04T00:00:00"/>
        <d v="2024-02-09T00:00:00"/>
        <d v="2024-10-31T00:00:00"/>
        <d v="2023-03-27T00:00:00"/>
        <d v="2023-03-16T00:00:00"/>
        <d v="2024-03-08T00:00:00"/>
        <d v="2023-09-12T00:00:00"/>
        <d v="2024-12-31T00:00:00"/>
        <d v="2024-03-14T00:00:00"/>
        <d v="2023-07-13T00:00:00"/>
        <d v="2024-08-22T00:00:00"/>
        <d v="2023-07-02T00:00:00"/>
        <d v="2023-09-05T00:00:00"/>
        <d v="2023-10-17T00:00:00"/>
        <d v="2023-09-17T00:00:00"/>
        <d v="2024-07-26T00:00:00"/>
        <d v="2023-07-11T00:00:00"/>
        <d v="2023-08-12T00:00:00"/>
        <d v="2024-06-18T00:00:00"/>
        <d v="2024-05-09T00:00:00"/>
        <d v="2023-10-24T00:00:00"/>
        <d v="2024-05-31T00:00:00"/>
        <d v="2023-10-28T00:00:00"/>
        <d v="2023-06-08T00:00:00"/>
        <d v="2024-01-26T00:00:00"/>
        <d v="2023-08-14T00:00:00"/>
        <d v="2024-02-24T00:00:00"/>
        <d v="2024-04-15T00:00:00"/>
        <d v="2023-07-08T00:00:00"/>
        <d v="2023-10-05T00:00:00"/>
        <d v="2024-04-20T00:00:00"/>
        <d v="2024-05-21T00:00:00"/>
        <d v="2023-04-21T00:00:00"/>
        <d v="2024-05-03T00:00:00"/>
        <d v="2024-09-26T00:00:00"/>
        <d v="2023-08-27T00:00:00"/>
        <d v="2023-11-13T00:00:00"/>
        <d v="2024-03-01T00:00:00"/>
        <d v="2024-10-26T00:00:00"/>
        <d v="2023-09-30T00:00:00"/>
        <d v="2024-07-04T00:00:00"/>
        <d v="2023-01-25T00:00:00"/>
        <d v="2024-02-23T00:00:00"/>
        <d v="2024-05-27T00:00:00"/>
        <d v="2024-08-15T00:00:00"/>
        <d v="2024-06-01T00:00:00"/>
        <d v="2024-11-21T00:00:00"/>
        <d v="2023-12-04T00:00:00"/>
        <d v="2023-10-21T00:00:00"/>
        <d v="2024-03-02T00:00:00"/>
        <d v="2024-06-28T00:00:00"/>
        <d v="2024-05-25T00:00:00"/>
        <d v="2023-10-25T00:00:00"/>
        <d v="2024-07-11T00:00:00"/>
        <d v="2024-07-31T00:00:00"/>
        <d v="2023-12-29T00:00:00"/>
        <d v="2023-08-11T00:00:00"/>
        <d v="2023-11-17T00:00:00"/>
        <d v="2024-01-06T00:00:00"/>
        <d v="2023-01-31T00:00:00"/>
        <d v="2024-05-28T00:00:00"/>
        <d v="2024-07-17T00:00:00"/>
        <d v="2024-08-02T00:00:00"/>
        <d v="2024-04-07T00:00:00"/>
        <d v="2023-04-27T00:00:00"/>
        <d v="2024-12-17T00:00:00"/>
        <d v="2024-01-18T00:00:00"/>
        <d v="2023-01-21T00:00:00"/>
        <d v="2023-03-08T00:00:00"/>
        <d v="2024-03-28T00:00:00"/>
        <d v="2023-11-04T00:00:00"/>
        <d v="2024-01-23T00:00:00"/>
        <d v="2024-03-12T00:00:00"/>
        <d v="2023-08-13T00:00:00"/>
        <d v="2023-09-16T00:00:00"/>
        <d v="2023-01-09T00:00:00"/>
        <d v="2023-12-28T00:00:00"/>
        <d v="2023-01-28T00:00:00"/>
        <d v="2024-11-03T00:00:00"/>
        <d v="2023-06-15T00:00:00"/>
        <d v="2023-07-26T00:00:00"/>
        <d v="2023-03-30T00:00:00"/>
        <d v="2024-12-28T00:00:00"/>
        <d v="2024-04-29T00:00:00"/>
        <d v="2023-12-10T00:00:00"/>
        <d v="2023-01-30T00:00:00"/>
        <d v="2024-08-21T00:00:00"/>
        <d v="2024-01-02T00:00:00"/>
        <d v="2024-03-03T00:00:00"/>
        <d v="2023-12-21T00:00:00"/>
        <d v="2023-10-23T00:00:00"/>
        <d v="2023-11-27T00:00:00"/>
        <d v="2024-08-25T00:00:00"/>
        <d v="2024-12-07T00:00:00"/>
        <d v="2024-07-15T00:00:00"/>
        <d v="2024-08-30T00:00:00"/>
        <d v="2024-09-20T00:00:00"/>
        <d v="2023-05-10T00:00:00"/>
        <d v="2023-03-17T00:00:00"/>
        <d v="2023-04-16T00:00:00"/>
        <d v="2024-02-04T00:00:00"/>
        <d v="2023-07-28T00:00:00"/>
        <d v="2023-08-09T00:00:00"/>
        <d v="2024-10-30T00:00:00"/>
        <d v="2024-03-11T00:00:00"/>
        <d v="2024-07-12T00:00:00"/>
        <d v="2024-09-03T00:00:00"/>
        <d v="2024-10-13T00:00:00"/>
        <d v="2023-09-07T00:00:00"/>
        <d v="2023-02-10T00:00:00"/>
        <d v="2023-12-23T00:00:00"/>
        <d v="2023-03-22T00:00:00"/>
        <d v="2023-11-03T00:00:00"/>
        <d v="2024-04-01T00:00:00"/>
        <d v="2024-04-24T00:00:00"/>
        <d v="2023-10-26T00:00:00"/>
        <d v="2023-05-31T00:00:00"/>
        <d v="2023-09-02T00:00:00"/>
        <d v="2023-01-01T00:00:00"/>
        <d v="2024-11-13T00:00:00"/>
        <d v="2023-01-29T00:00:00"/>
        <d v="2023-11-08T00:00:00"/>
        <d v="2023-10-06T00:00:00"/>
        <d v="2023-10-22T00:00:00"/>
        <d v="2023-01-07T00:00:00"/>
        <d v="2023-10-01T00:00:00"/>
        <d v="2023-05-13T00:00:00"/>
        <d v="2024-03-18T00:00:00"/>
        <d v="2024-11-19T00:00:00"/>
        <d v="2024-02-28T00:00:00"/>
        <d v="2023-06-11T00:00:00"/>
        <d v="2024-07-10T00:00:00"/>
        <d v="2024-11-07T00:00:00"/>
        <d v="2023-02-17T00:00:00"/>
        <d v="2023-07-15T00:00:00"/>
        <d v="2024-06-22T00:00:00"/>
        <d v="2023-02-20T00:00:00"/>
        <d v="2024-05-23T00:00:00"/>
        <d v="2023-10-15T00:00:00"/>
        <d v="2023-12-14T00:00:00"/>
        <d v="2024-07-18T00:00:00"/>
        <d v="2024-01-14T00:00:00"/>
        <d v="2024-02-13T00:00:00"/>
        <d v="2024-04-26T00:00:00"/>
        <d v="2023-07-31T00:00:00"/>
        <d v="2023-10-08T00:00:00"/>
        <d v="2024-12-22T00:00:00"/>
        <d v="2024-05-17T00:00:00"/>
        <d v="2024-12-19T00:00:00"/>
        <d v="2023-01-03T00:00:00"/>
        <d v="2023-01-15T00:00:00"/>
        <d v="2023-01-18T00:00:00"/>
        <d v="2024-11-28T00:00:00"/>
        <d v="2023-01-24T00:00:00"/>
        <d v="2023-07-12T00:00:00"/>
        <d v="2024-01-04T00:00:00"/>
        <d v="2023-09-28T00:00:00"/>
        <d v="2024-02-19T00:00:00"/>
        <d v="2023-10-30T00:00:00"/>
        <d v="2023-04-13T00:00:00"/>
        <d v="2024-09-29T00:00:00"/>
        <d v="2024-12-13T00:00:00"/>
        <d v="2024-11-08T00:00:00"/>
        <d v="2024-11-10T00:00:00"/>
        <d v="2024-09-30T00:00:00"/>
        <d v="2024-03-07T00:00:00"/>
        <d v="2024-06-23T00:00:00"/>
        <d v="2023-11-01T00:00:00"/>
        <d v="2023-12-24T00:00:00"/>
        <d v="2023-06-13T00:00:00"/>
        <d v="2024-11-25T00:00:00"/>
        <d v="2024-12-15T00:00:00"/>
        <d v="2023-09-19T00:00:00"/>
        <d v="2024-09-10T00:00:00"/>
        <d v="2023-09-14T00:00:00"/>
        <d v="2023-05-18T00:00:00"/>
        <d v="2023-07-18T00:00:00"/>
        <d v="2024-01-03T00:00:00"/>
        <d v="2024-02-17T00:00:00"/>
        <d v="2024-10-12T00:00:00"/>
        <d v="2024-03-20T00:00:00"/>
        <d v="2023-02-16T00:00:00"/>
        <d v="2023-02-24T00:00:00"/>
        <d v="2024-03-05T00:00:00"/>
        <d v="2023-04-11T00:00:00"/>
        <d v="2024-07-29T00:00:00"/>
        <d v="2024-04-02T00:00:00"/>
        <d v="2024-07-20T00:00:00"/>
        <d v="2024-04-09T00:00:00"/>
        <d v="2023-06-28T00:00:00"/>
        <d v="2024-03-06T00:00:00"/>
        <d v="2023-07-24T00:00:00"/>
        <d v="2023-03-10T00:00:00"/>
        <d v="2023-08-06T00:00:00"/>
        <d v="2023-11-25T00:00:00"/>
        <d v="2024-05-18T00:00:00"/>
        <d v="2024-12-25T00:00:00"/>
        <d v="2023-05-04T00:00:00"/>
        <d v="2024-09-24T00:00:00"/>
        <d v="2023-01-22T00:00:00"/>
        <d v="2024-08-03T00:00:00"/>
        <d v="2024-12-01T00:00:00"/>
        <d v="2024-03-23T00:00:00"/>
        <d v="2024-10-11T00:00:00"/>
        <d v="2023-08-16T00:00:00"/>
        <d v="2024-09-14T00:00:00"/>
        <d v="2024-12-26T00:00:00"/>
        <d v="2024-08-31T00:00:00"/>
        <d v="2023-09-25T00:00:00"/>
        <d v="2023-07-27T00:00:00"/>
        <d v="2024-09-12T00:00:00"/>
        <d v="2024-04-16T00:00:00"/>
        <d v="2024-12-12T00:00:00"/>
        <d v="2024-06-30T00:00:00"/>
        <d v="2024-01-22T00:00:00"/>
        <d v="2023-10-07T00:00:00"/>
        <d v="2024-02-07T00:00:00"/>
        <d v="2024-07-25T00:00:00"/>
        <d v="2023-07-10T00:00:00"/>
        <d v="2024-04-27T00:00:00"/>
        <d v="2023-06-27T00:00:00"/>
        <d v="2024-05-29T00:00:00"/>
        <d v="2024-07-06T00:00:00"/>
        <d v="2023-04-26T00:00:00"/>
        <d v="2023-06-05T00:00:00"/>
        <d v="2023-08-01T00:00:00"/>
        <d v="2024-05-14T00:00:00"/>
        <d v="2024-10-08T00:00:00"/>
        <d v="2024-03-17T00:00:00"/>
        <d v="2024-10-24T00:00:00"/>
        <d v="2024-09-21T00:00:00"/>
        <d v="2023-05-19T00:00:00"/>
        <d v="2024-07-09T00:00:00"/>
        <d v="2024-06-29T00:00:00"/>
        <d v="2024-03-13T00:00:00"/>
        <d v="2023-07-21T00:00:00"/>
        <d v="2023-04-24T00:00:00"/>
        <d v="2023-12-15T00:00:00"/>
        <d v="2024-08-23T00:00:00"/>
        <d v="2024-10-02T00:00:00"/>
        <d v="2023-12-01T00:00:00"/>
        <d v="2024-05-06T00:00:00"/>
        <d v="2024-10-04T00:00:00"/>
        <d v="2024-09-18T00:00:00"/>
        <d v="2023-08-17T00:00:00"/>
        <d v="2024-05-16T00:00:00"/>
        <d v="2024-12-30T00:00:00"/>
        <d v="2024-01-19T00:00:00"/>
        <d v="2024-04-17T00:00:00"/>
        <d v="2024-11-17T00:00:00"/>
        <d v="2024-05-08T00:00:00"/>
      </sharedItems>
      <fieldGroup par="19" base="2">
        <rangePr groupBy="months" startDate="2023-01-01T00:00:00" endDate="2025-01-01T00:00:00"/>
        <groupItems count="14">
          <s v="&lt;1/1/2023"/>
          <s v="Jan"/>
          <s v="Feb"/>
          <s v="Mar"/>
          <s v="Apr"/>
          <s v="May"/>
          <s v="Jun"/>
          <s v="Jul"/>
          <s v="Aug"/>
          <s v="Sep"/>
          <s v="Oct"/>
          <s v="Nov"/>
          <s v="Dec"/>
          <s v="&gt;1/1/2025"/>
        </groupItems>
      </fieldGroup>
    </cacheField>
    <cacheField name="Received_date" numFmtId="164">
      <sharedItems containsSemiMixedTypes="0" containsNonDate="0" containsDate="1" containsString="0" minDate="2023-01-03T00:00:00" maxDate="2025-01-06T00:00:00"/>
    </cacheField>
    <cacheField name="Origin_Province" numFmtId="0">
      <sharedItems count="10">
        <s v="Banten"/>
        <s v="Jawa Barat"/>
        <s v="Bali"/>
        <s v="Jawa Timur"/>
        <s v="Sulawesi Selatan"/>
        <s v="Sumatera Utara"/>
        <s v="Sumatera Selatan"/>
        <s v="DKI Jakarta"/>
        <s v="Jawa Tengah"/>
        <s v="Kalimantan Timur"/>
      </sharedItems>
    </cacheField>
    <cacheField name="Destination_Province" numFmtId="0">
      <sharedItems count="10">
        <s v="Sulawesi Selatan"/>
        <s v="DKI Jakarta"/>
        <s v="Jawa Barat"/>
        <s v="Banten"/>
        <s v="Jawa Tengah"/>
        <s v="Sumatera Selatan"/>
        <s v="Bali"/>
        <s v="Jawa Timur"/>
        <s v="Kalimantan Timur"/>
        <s v="Sumatera Utara"/>
      </sharedItems>
    </cacheField>
    <cacheField name="Service_Type" numFmtId="0">
      <sharedItems count="3">
        <s v="STD"/>
        <s v="NED"/>
        <s v="ECO"/>
      </sharedItems>
    </cacheField>
    <cacheField name="Customer_Type" numFmtId="0">
      <sharedItems count="2">
        <s v="Corporate"/>
        <s v="Retail"/>
      </sharedItems>
    </cacheField>
    <cacheField name="Weight_KG" numFmtId="0">
      <sharedItems containsSemiMixedTypes="0" containsString="0" containsNumber="1" minValue="0.51" maxValue="10.49"/>
    </cacheField>
    <cacheField name="Weight Group" numFmtId="0">
      <sharedItems/>
    </cacheField>
    <cacheField name="Delivery_Days" numFmtId="0">
      <sharedItems containsSemiMixedTypes="0" containsString="0" containsNumber="1" containsInteger="1" minValue="0" maxValue="11"/>
    </cacheField>
    <cacheField name="SLA_Days" numFmtId="0">
      <sharedItems containsSemiMixedTypes="0" containsString="0" containsNumber="1" containsInteger="1" minValue="1" maxValue="5"/>
    </cacheField>
    <cacheField name="Delivery_Status" numFmtId="0">
      <sharedItems count="2">
        <s v="Late"/>
        <s v="On Time"/>
      </sharedItems>
    </cacheField>
    <cacheField name="price_per_kilo" numFmtId="0">
      <sharedItems containsSemiMixedTypes="0" containsString="0" containsNumber="1" containsInteger="1" minValue="9000" maxValue="12000"/>
    </cacheField>
    <cacheField name="total_price" numFmtId="0">
      <sharedItems containsSemiMixedTypes="0" containsString="0" containsNumber="1" minValue="4860" maxValue="125880"/>
    </cacheField>
    <cacheField name="name_employee" numFmtId="0">
      <sharedItems/>
    </cacheField>
    <cacheField name="status_employee" numFmtId="0">
      <sharedItems/>
    </cacheField>
    <cacheField name="employee_fleet" numFmtId="0">
      <sharedItems count="2">
        <s v="rider"/>
        <s v="driver"/>
      </sharedItems>
    </cacheField>
    <cacheField name="Quarters" numFmtId="0" databaseField="0">
      <fieldGroup base="2">
        <rangePr groupBy="quarters" startDate="2023-01-01T00:00:00" endDate="2025-01-01T00:00:00"/>
        <groupItems count="6">
          <s v="&lt;1/1/2023"/>
          <s v="Qtr1"/>
          <s v="Qtr2"/>
          <s v="Qtr3"/>
          <s v="Qtr4"/>
          <s v="&gt;1/1/2025"/>
        </groupItems>
      </fieldGroup>
    </cacheField>
    <cacheField name="Years" numFmtId="0" databaseField="0">
      <fieldGroup base="2">
        <rangePr groupBy="years" startDate="2023-01-01T00:00:00" endDate="2025-01-01T00:00:00"/>
        <groupItems count="5">
          <s v="&lt;1/1/2023"/>
          <s v="2023"/>
          <s v="2024"/>
          <s v="2025"/>
          <s v="&gt;1/1/2025"/>
        </groupItems>
      </fieldGroup>
    </cacheField>
  </cacheFields>
  <extLst>
    <ext xmlns:x14="http://schemas.microsoft.com/office/spreadsheetml/2009/9/main" uri="{725AE2AE-9491-48be-B2B4-4EB974FC3084}">
      <x14:pivotCacheDefinition pivotCacheId="6132634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SHP00001"/>
    <s v="EMP001"/>
    <x v="0"/>
    <d v="2024-09-22T00:00:00"/>
    <x v="0"/>
    <x v="0"/>
    <x v="0"/>
    <x v="0"/>
    <n v="8.52"/>
    <s v="&gt;5kg"/>
    <n v="6"/>
    <n v="3"/>
    <x v="0"/>
    <n v="10000"/>
    <n v="85200"/>
    <s v="Andi Pratama"/>
    <s v="internal"/>
    <x v="0"/>
  </r>
  <r>
    <s v="SHP00002"/>
    <s v="EMP002"/>
    <x v="1"/>
    <d v="2023-11-30T00:00:00"/>
    <x v="1"/>
    <x v="1"/>
    <x v="1"/>
    <x v="1"/>
    <n v="2.4300000000000002"/>
    <s v="&lt; 5kg"/>
    <n v="0"/>
    <n v="1"/>
    <x v="1"/>
    <n v="12000"/>
    <n v="29160.000000000004"/>
    <s v="Budi Santoso"/>
    <s v="internal"/>
    <x v="1"/>
  </r>
  <r>
    <s v="SHP00003"/>
    <s v="EMP003"/>
    <x v="2"/>
    <d v="2024-06-14T00:00:00"/>
    <x v="2"/>
    <x v="2"/>
    <x v="1"/>
    <x v="1"/>
    <n v="1.48"/>
    <s v="&lt; 5kg"/>
    <n v="1"/>
    <n v="1"/>
    <x v="1"/>
    <n v="12000"/>
    <n v="17760"/>
    <s v="Citra Lestari"/>
    <s v="crowd source"/>
    <x v="0"/>
  </r>
  <r>
    <s v="SHP00004"/>
    <s v="EMP004"/>
    <x v="3"/>
    <d v="2023-06-13T00:00:00"/>
    <x v="3"/>
    <x v="1"/>
    <x v="1"/>
    <x v="0"/>
    <n v="4.71"/>
    <s v="&lt; 5kg"/>
    <n v="1"/>
    <n v="1"/>
    <x v="1"/>
    <n v="12000"/>
    <n v="56520"/>
    <s v="Dedi Saputra"/>
    <s v="crowd source"/>
    <x v="1"/>
  </r>
  <r>
    <s v="SHP00005"/>
    <s v="EMP005"/>
    <x v="4"/>
    <d v="2024-06-20T00:00:00"/>
    <x v="4"/>
    <x v="1"/>
    <x v="0"/>
    <x v="1"/>
    <n v="8.76"/>
    <s v="&gt;5kg"/>
    <n v="4"/>
    <n v="3"/>
    <x v="0"/>
    <n v="10000"/>
    <n v="87600"/>
    <s v="Eko Nugroho"/>
    <s v="internal"/>
    <x v="0"/>
  </r>
  <r>
    <s v="SHP00006"/>
    <s v="EMP006"/>
    <x v="5"/>
    <d v="2024-02-04T00:00:00"/>
    <x v="5"/>
    <x v="3"/>
    <x v="2"/>
    <x v="1"/>
    <n v="1.59"/>
    <s v="&lt; 5kg"/>
    <n v="2"/>
    <n v="5"/>
    <x v="1"/>
    <n v="9000"/>
    <n v="14310"/>
    <s v="Fajar Hidayat"/>
    <s v="internal"/>
    <x v="1"/>
  </r>
  <r>
    <s v="SHP00007"/>
    <s v="EMP007"/>
    <x v="6"/>
    <d v="2023-08-30T00:00:00"/>
    <x v="6"/>
    <x v="4"/>
    <x v="0"/>
    <x v="0"/>
    <n v="10.02"/>
    <s v="&gt;5kg"/>
    <n v="10"/>
    <n v="3"/>
    <x v="0"/>
    <n v="10000"/>
    <n v="100200"/>
    <s v="Gita Rahmawati"/>
    <s v="crowd source"/>
    <x v="0"/>
  </r>
  <r>
    <s v="SHP00008"/>
    <s v="EMP008"/>
    <x v="7"/>
    <d v="2024-06-09T00:00:00"/>
    <x v="7"/>
    <x v="0"/>
    <x v="1"/>
    <x v="0"/>
    <n v="5.26"/>
    <s v="&gt;5kg"/>
    <n v="4"/>
    <n v="1"/>
    <x v="0"/>
    <n v="12000"/>
    <n v="63120"/>
    <s v="Hendra Wijaya"/>
    <s v="internal"/>
    <x v="1"/>
  </r>
  <r>
    <s v="SHP00009"/>
    <s v="EMP009"/>
    <x v="8"/>
    <d v="2024-10-29T00:00:00"/>
    <x v="8"/>
    <x v="3"/>
    <x v="0"/>
    <x v="1"/>
    <n v="8.8699999999999992"/>
    <s v="&gt;5kg"/>
    <n v="4"/>
    <n v="3"/>
    <x v="0"/>
    <n v="10000"/>
    <n v="88699.999999999985"/>
    <s v="Indah Permata"/>
    <s v="crowd source"/>
    <x v="0"/>
  </r>
  <r>
    <s v="SHP00010"/>
    <s v="EMP010"/>
    <x v="4"/>
    <d v="2024-06-16T00:00:00"/>
    <x v="9"/>
    <x v="3"/>
    <x v="1"/>
    <x v="1"/>
    <n v="2.42"/>
    <s v="&lt; 5kg"/>
    <n v="0"/>
    <n v="1"/>
    <x v="1"/>
    <n v="12000"/>
    <n v="29040"/>
    <s v="Joko Susilo"/>
    <s v="internal"/>
    <x v="1"/>
  </r>
  <r>
    <s v="SHP00011"/>
    <s v="EMP011"/>
    <x v="9"/>
    <d v="2024-08-28T00:00:00"/>
    <x v="0"/>
    <x v="5"/>
    <x v="0"/>
    <x v="0"/>
    <n v="2.87"/>
    <s v="&lt; 5kg"/>
    <n v="2"/>
    <n v="3"/>
    <x v="1"/>
    <n v="10000"/>
    <n v="28700"/>
    <s v="Kurniawan Putra"/>
    <s v="crowd source"/>
    <x v="1"/>
  </r>
  <r>
    <s v="SHP00012"/>
    <s v="EMP012"/>
    <x v="10"/>
    <d v="2023-05-19T00:00:00"/>
    <x v="1"/>
    <x v="1"/>
    <x v="1"/>
    <x v="0"/>
    <n v="9"/>
    <s v="&gt;5kg"/>
    <n v="4"/>
    <n v="1"/>
    <x v="0"/>
    <n v="12000"/>
    <n v="108000"/>
    <s v="Lina Marlina"/>
    <s v="internal"/>
    <x v="0"/>
  </r>
  <r>
    <s v="SHP00013"/>
    <s v="EMP013"/>
    <x v="11"/>
    <d v="2024-08-23T00:00:00"/>
    <x v="2"/>
    <x v="3"/>
    <x v="0"/>
    <x v="0"/>
    <n v="9.6999999999999993"/>
    <s v="&gt;5kg"/>
    <n v="4"/>
    <n v="3"/>
    <x v="0"/>
    <n v="10000"/>
    <n v="97000"/>
    <s v="Rizky Ananda"/>
    <s v="crowd source"/>
    <x v="0"/>
  </r>
  <r>
    <s v="SHP00014"/>
    <s v="EMP014"/>
    <x v="12"/>
    <d v="2023-09-13T00:00:00"/>
    <x v="3"/>
    <x v="5"/>
    <x v="1"/>
    <x v="1"/>
    <n v="7.23"/>
    <s v="&gt;5kg"/>
    <n v="0"/>
    <n v="1"/>
    <x v="1"/>
    <n v="12000"/>
    <n v="86760"/>
    <s v="Nanda Prakoso"/>
    <s v="internal"/>
    <x v="1"/>
  </r>
  <r>
    <s v="SHP00015"/>
    <s v="EMP015"/>
    <x v="13"/>
    <d v="2024-02-19T00:00:00"/>
    <x v="4"/>
    <x v="4"/>
    <x v="0"/>
    <x v="0"/>
    <n v="3.7"/>
    <s v="&lt; 5kg"/>
    <n v="8"/>
    <n v="3"/>
    <x v="0"/>
    <n v="10000"/>
    <n v="37000"/>
    <s v="Oktavian Yusuf"/>
    <s v="crowd source"/>
    <x v="1"/>
  </r>
  <r>
    <s v="SHP00016"/>
    <s v="EMP016"/>
    <x v="14"/>
    <d v="2024-01-18T00:00:00"/>
    <x v="5"/>
    <x v="2"/>
    <x v="0"/>
    <x v="1"/>
    <n v="4.12"/>
    <s v="&lt; 5kg"/>
    <n v="1"/>
    <n v="3"/>
    <x v="1"/>
    <n v="10000"/>
    <n v="41200"/>
    <s v="Putri Ayu Lestari"/>
    <s v="internal"/>
    <x v="0"/>
  </r>
  <r>
    <s v="SHP00017"/>
    <s v="EMP017"/>
    <x v="15"/>
    <d v="2024-07-09T00:00:00"/>
    <x v="6"/>
    <x v="6"/>
    <x v="1"/>
    <x v="1"/>
    <n v="5.13"/>
    <s v="&gt;5kg"/>
    <n v="4"/>
    <n v="1"/>
    <x v="0"/>
    <n v="12000"/>
    <n v="61560"/>
    <s v="Rafi Maulana"/>
    <s v="internal"/>
    <x v="0"/>
  </r>
  <r>
    <s v="SHP00018"/>
    <s v="EMP018"/>
    <x v="16"/>
    <d v="2023-01-16T00:00:00"/>
    <x v="7"/>
    <x v="2"/>
    <x v="1"/>
    <x v="1"/>
    <n v="9.52"/>
    <s v="&gt;5kg"/>
    <n v="4"/>
    <n v="1"/>
    <x v="0"/>
    <n v="12000"/>
    <n v="114240"/>
    <s v="Sari Puspita"/>
    <s v="crowd source"/>
    <x v="0"/>
  </r>
  <r>
    <s v="SHP00019"/>
    <s v="EMP019"/>
    <x v="17"/>
    <d v="2023-12-24T00:00:00"/>
    <x v="8"/>
    <x v="5"/>
    <x v="2"/>
    <x v="1"/>
    <n v="9.9"/>
    <s v="&gt;5kg"/>
    <n v="5"/>
    <n v="5"/>
    <x v="1"/>
    <n v="9000"/>
    <n v="89100"/>
    <s v="Teguh Wibowo"/>
    <s v="internal"/>
    <x v="1"/>
  </r>
  <r>
    <s v="SHP00020"/>
    <s v="EMP020"/>
    <x v="18"/>
    <d v="2024-10-06T00:00:00"/>
    <x v="9"/>
    <x v="7"/>
    <x v="1"/>
    <x v="1"/>
    <n v="4.26"/>
    <s v="&lt; 5kg"/>
    <n v="1"/>
    <n v="1"/>
    <x v="1"/>
    <n v="12000"/>
    <n v="51120"/>
    <s v="Umi Kalsum"/>
    <s v="crowd source"/>
    <x v="0"/>
  </r>
  <r>
    <s v="SHP00021"/>
    <s v="EMP021"/>
    <x v="19"/>
    <d v="2023-07-30T00:00:00"/>
    <x v="0"/>
    <x v="6"/>
    <x v="0"/>
    <x v="0"/>
    <n v="3"/>
    <s v="&lt; 5kg"/>
    <n v="0"/>
    <n v="3"/>
    <x v="1"/>
    <n v="10000"/>
    <n v="30000"/>
    <s v="Vina Oktaviani"/>
    <s v="internal"/>
    <x v="0"/>
  </r>
  <r>
    <s v="SHP00022"/>
    <s v="EMP022"/>
    <x v="20"/>
    <d v="2023-05-05T00:00:00"/>
    <x v="1"/>
    <x v="2"/>
    <x v="1"/>
    <x v="0"/>
    <n v="10.039999999999999"/>
    <s v="&gt;5kg"/>
    <n v="0"/>
    <n v="1"/>
    <x v="1"/>
    <n v="12000"/>
    <n v="120479.99999999999"/>
    <s v="Wahyu Setiawan"/>
    <s v="crowd source"/>
    <x v="1"/>
  </r>
  <r>
    <s v="SHP00023"/>
    <s v="EMP023"/>
    <x v="21"/>
    <d v="2024-04-21T00:00:00"/>
    <x v="2"/>
    <x v="2"/>
    <x v="0"/>
    <x v="0"/>
    <n v="2.88"/>
    <s v="&lt; 5kg"/>
    <n v="0"/>
    <n v="3"/>
    <x v="1"/>
    <n v="10000"/>
    <n v="28800"/>
    <s v="Yogi Firmansyah"/>
    <s v="internal"/>
    <x v="1"/>
  </r>
  <r>
    <s v="SHP00024"/>
    <s v="EMP024"/>
    <x v="22"/>
    <d v="2023-03-24T00:00:00"/>
    <x v="3"/>
    <x v="0"/>
    <x v="2"/>
    <x v="0"/>
    <n v="4.9800000000000004"/>
    <s v="&lt; 5kg"/>
    <n v="10"/>
    <n v="5"/>
    <x v="0"/>
    <n v="9000"/>
    <n v="44820.000000000007"/>
    <s v="Zainal Abidin"/>
    <s v="crowd source"/>
    <x v="1"/>
  </r>
  <r>
    <s v="SHP00025"/>
    <s v="EMP025"/>
    <x v="23"/>
    <d v="2024-09-20T00:00:00"/>
    <x v="4"/>
    <x v="0"/>
    <x v="0"/>
    <x v="1"/>
    <n v="6.85"/>
    <s v="&gt;5kg"/>
    <n v="11"/>
    <n v="3"/>
    <x v="0"/>
    <n v="10000"/>
    <n v="68500"/>
    <s v="Ahmad Fauzi"/>
    <s v="internal"/>
    <x v="0"/>
  </r>
  <r>
    <s v="SHP00026"/>
    <s v="EMP026"/>
    <x v="24"/>
    <d v="2024-12-11T00:00:00"/>
    <x v="5"/>
    <x v="4"/>
    <x v="0"/>
    <x v="0"/>
    <n v="7.48"/>
    <s v="&gt;5kg"/>
    <n v="9"/>
    <n v="3"/>
    <x v="0"/>
    <n v="10000"/>
    <n v="74800"/>
    <s v="Bayu Ramadhan"/>
    <s v="crowd source"/>
    <x v="0"/>
  </r>
  <r>
    <s v="SHP00027"/>
    <s v="EMP027"/>
    <x v="25"/>
    <d v="2023-09-17T00:00:00"/>
    <x v="6"/>
    <x v="8"/>
    <x v="2"/>
    <x v="0"/>
    <n v="9.85"/>
    <s v="&gt;5kg"/>
    <n v="11"/>
    <n v="5"/>
    <x v="0"/>
    <n v="9000"/>
    <n v="88650"/>
    <s v="Cindy Oktavia"/>
    <s v="internal"/>
    <x v="0"/>
  </r>
  <r>
    <s v="SHP00028"/>
    <s v="EMP028"/>
    <x v="26"/>
    <d v="2023-04-15T00:00:00"/>
    <x v="7"/>
    <x v="9"/>
    <x v="2"/>
    <x v="0"/>
    <n v="7.86"/>
    <s v="&gt;5kg"/>
    <n v="3"/>
    <n v="5"/>
    <x v="1"/>
    <n v="9000"/>
    <n v="70740"/>
    <s v="Dian Pramudya"/>
    <s v="crowd source"/>
    <x v="1"/>
  </r>
  <r>
    <s v="SHP00029"/>
    <s v="EMP029"/>
    <x v="27"/>
    <d v="2024-02-14T00:00:00"/>
    <x v="8"/>
    <x v="3"/>
    <x v="0"/>
    <x v="1"/>
    <n v="7.35"/>
    <s v="&gt;5kg"/>
    <n v="0"/>
    <n v="3"/>
    <x v="1"/>
    <n v="10000"/>
    <n v="73500"/>
    <s v="Erwin Kurniawan"/>
    <s v="internal"/>
    <x v="1"/>
  </r>
  <r>
    <s v="SHP00030"/>
    <s v="EMP030"/>
    <x v="28"/>
    <d v="2024-08-13T00:00:00"/>
    <x v="9"/>
    <x v="2"/>
    <x v="0"/>
    <x v="0"/>
    <n v="5.1100000000000003"/>
    <s v="&gt;5kg"/>
    <n v="4"/>
    <n v="3"/>
    <x v="0"/>
    <n v="10000"/>
    <n v="51100"/>
    <s v="Fitri Handayani"/>
    <s v="crowd source"/>
    <x v="0"/>
  </r>
  <r>
    <s v="SHP00031"/>
    <s v="EMP031"/>
    <x v="29"/>
    <d v="2024-06-10T00:00:00"/>
    <x v="0"/>
    <x v="9"/>
    <x v="2"/>
    <x v="1"/>
    <n v="5.63"/>
    <s v="&gt;5kg"/>
    <n v="4"/>
    <n v="5"/>
    <x v="1"/>
    <n v="9000"/>
    <n v="50670"/>
    <s v="Gilang Saputra"/>
    <s v="internal"/>
    <x v="0"/>
  </r>
  <r>
    <s v="SHP00032"/>
    <s v="EMP032"/>
    <x v="30"/>
    <d v="2024-12-10T00:00:00"/>
    <x v="1"/>
    <x v="9"/>
    <x v="0"/>
    <x v="0"/>
    <n v="3.04"/>
    <s v="&lt; 5kg"/>
    <n v="6"/>
    <n v="3"/>
    <x v="0"/>
    <n v="10000"/>
    <n v="30400"/>
    <s v="Hariyanto"/>
    <s v="crowd source"/>
    <x v="1"/>
  </r>
  <r>
    <s v="SHP00033"/>
    <s v="EMP033"/>
    <x v="31"/>
    <d v="2024-04-20T00:00:00"/>
    <x v="2"/>
    <x v="8"/>
    <x v="2"/>
    <x v="0"/>
    <n v="6.78"/>
    <s v="&gt;5kg"/>
    <n v="7"/>
    <n v="5"/>
    <x v="0"/>
    <n v="9000"/>
    <n v="61020"/>
    <s v="Intan Maharani"/>
    <s v="internal"/>
    <x v="0"/>
  </r>
  <r>
    <s v="SHP00034"/>
    <s v="EMP034"/>
    <x v="32"/>
    <d v="2023-04-10T00:00:00"/>
    <x v="3"/>
    <x v="0"/>
    <x v="2"/>
    <x v="0"/>
    <n v="2.54"/>
    <s v="&lt; 5kg"/>
    <n v="3"/>
    <n v="5"/>
    <x v="1"/>
    <n v="9000"/>
    <n v="22860"/>
    <s v="Jefri Alamsyah"/>
    <s v="internal"/>
    <x v="1"/>
  </r>
  <r>
    <s v="SHP00035"/>
    <s v="EMP035"/>
    <x v="33"/>
    <d v="2024-10-09T00:00:00"/>
    <x v="4"/>
    <x v="8"/>
    <x v="1"/>
    <x v="0"/>
    <n v="1.59"/>
    <s v="&lt; 5kg"/>
    <n v="11"/>
    <n v="1"/>
    <x v="0"/>
    <n v="12000"/>
    <n v="19080"/>
    <s v="Kartika Sari"/>
    <s v="crowd source"/>
    <x v="0"/>
  </r>
  <r>
    <s v="SHP00036"/>
    <s v="EMP036"/>
    <x v="34"/>
    <d v="2024-07-26T00:00:00"/>
    <x v="5"/>
    <x v="9"/>
    <x v="0"/>
    <x v="1"/>
    <n v="2.06"/>
    <s v="&lt; 5kg"/>
    <n v="4"/>
    <n v="3"/>
    <x v="0"/>
    <n v="10000"/>
    <n v="20600"/>
    <s v="Lukman Hakim"/>
    <s v="internal"/>
    <x v="1"/>
  </r>
  <r>
    <s v="SHP00037"/>
    <s v="EMP037"/>
    <x v="35"/>
    <d v="2023-09-18T00:00:00"/>
    <x v="6"/>
    <x v="5"/>
    <x v="2"/>
    <x v="0"/>
    <n v="4.9400000000000004"/>
    <s v="&lt; 5kg"/>
    <n v="3"/>
    <n v="5"/>
    <x v="1"/>
    <n v="9000"/>
    <n v="44460"/>
    <s v="Mega Puspitasari"/>
    <s v="internal"/>
    <x v="0"/>
  </r>
  <r>
    <s v="SHP00038"/>
    <s v="EMP038"/>
    <x v="18"/>
    <d v="2024-10-07T00:00:00"/>
    <x v="7"/>
    <x v="5"/>
    <x v="0"/>
    <x v="0"/>
    <n v="8.66"/>
    <s v="&gt;5kg"/>
    <n v="2"/>
    <n v="3"/>
    <x v="1"/>
    <n v="10000"/>
    <n v="86600"/>
    <s v="Niko Prasetyo"/>
    <s v="crowd source"/>
    <x v="1"/>
  </r>
  <r>
    <s v="SHP00039"/>
    <s v="EMP039"/>
    <x v="36"/>
    <d v="2023-06-07T00:00:00"/>
    <x v="8"/>
    <x v="7"/>
    <x v="1"/>
    <x v="1"/>
    <n v="2.65"/>
    <s v="&lt; 5kg"/>
    <n v="1"/>
    <n v="1"/>
    <x v="1"/>
    <n v="12000"/>
    <n v="31800"/>
    <s v="Olivia Putri"/>
    <s v="internal"/>
    <x v="0"/>
  </r>
  <r>
    <s v="SHP00040"/>
    <s v="EMP040"/>
    <x v="37"/>
    <d v="2023-10-29T00:00:00"/>
    <x v="9"/>
    <x v="3"/>
    <x v="2"/>
    <x v="1"/>
    <n v="1.93"/>
    <s v="&lt; 5kg"/>
    <n v="2"/>
    <n v="5"/>
    <x v="1"/>
    <n v="9000"/>
    <n v="17370"/>
    <s v="Prasetyo Utomo"/>
    <s v="internal"/>
    <x v="1"/>
  </r>
  <r>
    <s v="SHP00041"/>
    <s v="EMP041"/>
    <x v="38"/>
    <d v="2024-09-15T00:00:00"/>
    <x v="0"/>
    <x v="4"/>
    <x v="0"/>
    <x v="1"/>
    <n v="1.95"/>
    <s v="&lt; 5kg"/>
    <n v="2"/>
    <n v="3"/>
    <x v="1"/>
    <n v="10000"/>
    <n v="19500"/>
    <s v="Qori Annisa"/>
    <s v="crowd source"/>
    <x v="0"/>
  </r>
  <r>
    <s v="SHP00042"/>
    <s v="EMP042"/>
    <x v="39"/>
    <d v="2024-01-07T00:00:00"/>
    <x v="1"/>
    <x v="9"/>
    <x v="2"/>
    <x v="0"/>
    <n v="8.5500000000000007"/>
    <s v="&gt;5kg"/>
    <n v="6"/>
    <n v="5"/>
    <x v="0"/>
    <n v="9000"/>
    <n v="76950"/>
    <s v="Rangga Saptonugroho"/>
    <s v="crowd source"/>
    <x v="1"/>
  </r>
  <r>
    <s v="SHP00043"/>
    <s v="EMP043"/>
    <x v="40"/>
    <d v="2024-04-07T00:00:00"/>
    <x v="2"/>
    <x v="2"/>
    <x v="0"/>
    <x v="1"/>
    <n v="6.12"/>
    <s v="&gt;5kg"/>
    <n v="4"/>
    <n v="3"/>
    <x v="0"/>
    <n v="10000"/>
    <n v="61200"/>
    <s v="Sinta Dewi"/>
    <s v="internal"/>
    <x v="0"/>
  </r>
  <r>
    <s v="SHP00044"/>
    <s v="EMP044"/>
    <x v="41"/>
    <d v="2023-12-08T00:00:00"/>
    <x v="3"/>
    <x v="7"/>
    <x v="2"/>
    <x v="0"/>
    <n v="2.74"/>
    <s v="&lt; 5kg"/>
    <n v="9"/>
    <n v="5"/>
    <x v="0"/>
    <n v="9000"/>
    <n v="24660.000000000004"/>
    <s v="Taufik Hidayat"/>
    <s v="internal"/>
    <x v="1"/>
  </r>
  <r>
    <s v="SHP00045"/>
    <s v="EMP045"/>
    <x v="42"/>
    <d v="2024-06-19T00:00:00"/>
    <x v="4"/>
    <x v="8"/>
    <x v="2"/>
    <x v="1"/>
    <n v="2.46"/>
    <s v="&lt; 5kg"/>
    <n v="10"/>
    <n v="5"/>
    <x v="0"/>
    <n v="9000"/>
    <n v="22140"/>
    <s v="Usman Ali"/>
    <s v="crowd source"/>
    <x v="0"/>
  </r>
  <r>
    <s v="SHP00046"/>
    <s v="EMP046"/>
    <x v="43"/>
    <d v="2023-11-06T00:00:00"/>
    <x v="5"/>
    <x v="1"/>
    <x v="0"/>
    <x v="1"/>
    <n v="8.2100000000000009"/>
    <s v="&gt;5kg"/>
    <n v="4"/>
    <n v="3"/>
    <x v="0"/>
    <n v="10000"/>
    <n v="82100.000000000015"/>
    <s v="Vivi Lestari"/>
    <s v="internal"/>
    <x v="0"/>
  </r>
  <r>
    <s v="SHP00047"/>
    <s v="EMP047"/>
    <x v="44"/>
    <d v="2023-02-12T00:00:00"/>
    <x v="6"/>
    <x v="1"/>
    <x v="0"/>
    <x v="0"/>
    <n v="8.42"/>
    <s v="&gt;5kg"/>
    <n v="3"/>
    <n v="3"/>
    <x v="1"/>
    <n v="10000"/>
    <n v="84200"/>
    <s v="Wawan Setiabudi"/>
    <s v="internal"/>
    <x v="1"/>
  </r>
  <r>
    <s v="SHP00048"/>
    <s v="EMP048"/>
    <x v="45"/>
    <d v="2023-11-10T00:00:00"/>
    <x v="7"/>
    <x v="2"/>
    <x v="2"/>
    <x v="1"/>
    <n v="7.14"/>
    <s v="&gt;5kg"/>
    <n v="4"/>
    <n v="5"/>
    <x v="1"/>
    <n v="9000"/>
    <n v="64260"/>
    <s v="Xenia Maharani"/>
    <s v="crowd source"/>
    <x v="0"/>
  </r>
  <r>
    <s v="SHP00049"/>
    <s v="EMP049"/>
    <x v="46"/>
    <d v="2023-09-02T00:00:00"/>
    <x v="8"/>
    <x v="7"/>
    <x v="0"/>
    <x v="0"/>
    <n v="0.87"/>
    <s v="&lt; 5kg"/>
    <n v="2"/>
    <n v="3"/>
    <x v="1"/>
    <n v="10000"/>
    <n v="8700"/>
    <s v="Yoga Pradana"/>
    <s v="internal"/>
    <x v="0"/>
  </r>
  <r>
    <s v="SHP00050"/>
    <s v="EMP050"/>
    <x v="47"/>
    <d v="2024-06-07T00:00:00"/>
    <x v="9"/>
    <x v="1"/>
    <x v="0"/>
    <x v="0"/>
    <n v="3.6"/>
    <s v="&lt; 5kg"/>
    <n v="0"/>
    <n v="3"/>
    <x v="1"/>
    <n v="10000"/>
    <n v="36000"/>
    <s v="Zulfikar Ramadhan"/>
    <s v="crowd source"/>
    <x v="1"/>
  </r>
  <r>
    <s v="SHP00051"/>
    <s v="EMP051"/>
    <x v="48"/>
    <d v="2024-11-19T00:00:00"/>
    <x v="0"/>
    <x v="0"/>
    <x v="1"/>
    <x v="1"/>
    <n v="2.4300000000000002"/>
    <s v="&lt; 5kg"/>
    <n v="1"/>
    <n v="1"/>
    <x v="1"/>
    <n v="12000"/>
    <n v="29160.000000000004"/>
    <s v="Aditya Saputra"/>
    <s v="internal"/>
    <x v="0"/>
  </r>
  <r>
    <s v="SHP00052"/>
    <s v="EMP052"/>
    <x v="3"/>
    <d v="2023-06-16T00:00:00"/>
    <x v="1"/>
    <x v="5"/>
    <x v="0"/>
    <x v="0"/>
    <n v="6.24"/>
    <s v="&gt;5kg"/>
    <n v="4"/>
    <n v="3"/>
    <x v="0"/>
    <n v="10000"/>
    <n v="62400"/>
    <s v="Bella Oktaviani"/>
    <s v="internal"/>
    <x v="0"/>
  </r>
  <r>
    <s v="SHP00053"/>
    <s v="EMP053"/>
    <x v="11"/>
    <d v="2024-08-20T00:00:00"/>
    <x v="2"/>
    <x v="4"/>
    <x v="0"/>
    <x v="1"/>
    <n v="6.22"/>
    <s v="&gt;5kg"/>
    <n v="1"/>
    <n v="3"/>
    <x v="1"/>
    <n v="10000"/>
    <n v="62200"/>
    <s v="Chandra Wijaya"/>
    <s v="crowd source"/>
    <x v="1"/>
  </r>
  <r>
    <s v="SHP00054"/>
    <s v="EMP054"/>
    <x v="49"/>
    <d v="2024-05-11T00:00:00"/>
    <x v="3"/>
    <x v="2"/>
    <x v="0"/>
    <x v="0"/>
    <n v="10.220000000000001"/>
    <s v="&gt;5kg"/>
    <n v="4"/>
    <n v="3"/>
    <x v="0"/>
    <n v="10000"/>
    <n v="102200"/>
    <s v="Dewi Sartika"/>
    <s v="internal"/>
    <x v="0"/>
  </r>
  <r>
    <s v="SHP00055"/>
    <s v="EMP055"/>
    <x v="50"/>
    <d v="2023-11-29T00:00:00"/>
    <x v="4"/>
    <x v="8"/>
    <x v="2"/>
    <x v="1"/>
    <n v="8.8000000000000007"/>
    <s v="&gt;5kg"/>
    <n v="10"/>
    <n v="5"/>
    <x v="0"/>
    <n v="9000"/>
    <n v="79200"/>
    <s v="Edi Kurniawan"/>
    <s v="internal"/>
    <x v="1"/>
  </r>
  <r>
    <s v="SHP00056"/>
    <s v="EMP056"/>
    <x v="51"/>
    <d v="2024-11-04T00:00:00"/>
    <x v="5"/>
    <x v="9"/>
    <x v="2"/>
    <x v="0"/>
    <n v="9.1300000000000008"/>
    <s v="&gt;5kg"/>
    <n v="6"/>
    <n v="5"/>
    <x v="0"/>
    <n v="9000"/>
    <n v="82170"/>
    <s v="Farah Nabila"/>
    <s v="crowd source"/>
    <x v="0"/>
  </r>
  <r>
    <s v="SHP00057"/>
    <s v="EMP057"/>
    <x v="52"/>
    <d v="2023-07-04T00:00:00"/>
    <x v="6"/>
    <x v="3"/>
    <x v="0"/>
    <x v="0"/>
    <n v="6.72"/>
    <s v="&gt;5kg"/>
    <n v="4"/>
    <n v="3"/>
    <x v="0"/>
    <n v="10000"/>
    <n v="67200"/>
    <s v="Galih Pratomo"/>
    <s v="internal"/>
    <x v="0"/>
  </r>
  <r>
    <s v="SHP00058"/>
    <s v="EMP058"/>
    <x v="53"/>
    <d v="2023-05-04T00:00:00"/>
    <x v="7"/>
    <x v="1"/>
    <x v="1"/>
    <x v="0"/>
    <n v="10.25"/>
    <s v="&gt;5kg"/>
    <n v="1"/>
    <n v="1"/>
    <x v="1"/>
    <n v="12000"/>
    <n v="123000"/>
    <s v="Hadi Purnomo"/>
    <s v="crowd source"/>
    <x v="1"/>
  </r>
  <r>
    <s v="SHP00059"/>
    <s v="EMP059"/>
    <x v="54"/>
    <d v="2024-10-13T00:00:00"/>
    <x v="8"/>
    <x v="2"/>
    <x v="0"/>
    <x v="1"/>
    <n v="9.0500000000000007"/>
    <s v="&gt;5kg"/>
    <n v="4"/>
    <n v="3"/>
    <x v="0"/>
    <n v="10000"/>
    <n v="90500"/>
    <s v="Ika Lestari"/>
    <s v="internal"/>
    <x v="0"/>
  </r>
  <r>
    <s v="SHP00060"/>
    <s v="EMP060"/>
    <x v="53"/>
    <d v="2023-05-04T00:00:00"/>
    <x v="9"/>
    <x v="2"/>
    <x v="2"/>
    <x v="0"/>
    <n v="0.73"/>
    <s v="&lt; 5kg"/>
    <n v="1"/>
    <n v="5"/>
    <x v="1"/>
    <n v="9000"/>
    <n v="6570"/>
    <s v="Jamil Akbar"/>
    <s v="internal"/>
    <x v="1"/>
  </r>
  <r>
    <s v="SHP00061"/>
    <s v="EMP061"/>
    <x v="55"/>
    <d v="2023-09-07T00:00:00"/>
    <x v="0"/>
    <x v="2"/>
    <x v="1"/>
    <x v="0"/>
    <n v="8.75"/>
    <s v="&gt;5kg"/>
    <n v="4"/>
    <n v="1"/>
    <x v="0"/>
    <n v="12000"/>
    <n v="105000"/>
    <s v="Kevin Sanjaya"/>
    <s v="crowd source"/>
    <x v="0"/>
  </r>
  <r>
    <s v="SHP00062"/>
    <s v="EMP062"/>
    <x v="56"/>
    <d v="2023-04-06T00:00:00"/>
    <x v="1"/>
    <x v="1"/>
    <x v="0"/>
    <x v="0"/>
    <n v="8.84"/>
    <s v="&gt;5kg"/>
    <n v="4"/>
    <n v="3"/>
    <x v="0"/>
    <n v="10000"/>
    <n v="88400"/>
    <s v="Laila Nuraini"/>
    <s v="internal"/>
    <x v="0"/>
  </r>
  <r>
    <s v="SHP00063"/>
    <s v="EMP063"/>
    <x v="57"/>
    <d v="2024-10-21T00:00:00"/>
    <x v="2"/>
    <x v="1"/>
    <x v="2"/>
    <x v="1"/>
    <n v="7.6"/>
    <s v="&gt;5kg"/>
    <n v="3"/>
    <n v="5"/>
    <x v="1"/>
    <n v="9000"/>
    <n v="68400"/>
    <s v="Miko Setiawan"/>
    <s v="crowd source"/>
    <x v="1"/>
  </r>
  <r>
    <s v="SHP00064"/>
    <s v="EMP064"/>
    <x v="58"/>
    <d v="2023-06-19T00:00:00"/>
    <x v="3"/>
    <x v="2"/>
    <x v="1"/>
    <x v="1"/>
    <n v="0.53"/>
    <s v="&lt; 5kg"/>
    <n v="0"/>
    <n v="1"/>
    <x v="1"/>
    <n v="12000"/>
    <n v="6360"/>
    <s v="Nisa Aulia"/>
    <s v="internal"/>
    <x v="0"/>
  </r>
  <r>
    <s v="SHP00065"/>
    <s v="EMP065"/>
    <x v="59"/>
    <d v="2023-05-28T00:00:00"/>
    <x v="4"/>
    <x v="6"/>
    <x v="0"/>
    <x v="1"/>
    <n v="1.81"/>
    <s v="&lt; 5kg"/>
    <n v="0"/>
    <n v="3"/>
    <x v="1"/>
    <n v="10000"/>
    <n v="18100"/>
    <s v="Oki Pramono"/>
    <s v="internal"/>
    <x v="1"/>
  </r>
  <r>
    <s v="SHP00066"/>
    <s v="EMP066"/>
    <x v="17"/>
    <d v="2023-12-20T00:00:00"/>
    <x v="5"/>
    <x v="4"/>
    <x v="1"/>
    <x v="0"/>
    <n v="1.77"/>
    <s v="&lt; 5kg"/>
    <n v="1"/>
    <n v="1"/>
    <x v="1"/>
    <n v="12000"/>
    <n v="21240"/>
    <s v="Putra Mahendra"/>
    <s v="crowd source"/>
    <x v="0"/>
  </r>
  <r>
    <s v="SHP00067"/>
    <s v="EMP067"/>
    <x v="60"/>
    <d v="2023-08-06T00:00:00"/>
    <x v="6"/>
    <x v="7"/>
    <x v="1"/>
    <x v="0"/>
    <n v="9.5399999999999991"/>
    <s v="&gt;5kg"/>
    <n v="4"/>
    <n v="1"/>
    <x v="0"/>
    <n v="12000"/>
    <n v="114479.99999999999"/>
    <s v="Qolbi Ramadhani"/>
    <s v="internal"/>
    <x v="0"/>
  </r>
  <r>
    <s v="SHP00068"/>
    <s v="EMP068"/>
    <x v="61"/>
    <d v="2023-03-12T00:00:00"/>
    <x v="7"/>
    <x v="8"/>
    <x v="0"/>
    <x v="0"/>
    <n v="7.64"/>
    <s v="&gt;5kg"/>
    <n v="8"/>
    <n v="3"/>
    <x v="0"/>
    <n v="10000"/>
    <n v="76400"/>
    <s v="Reza Firmansyah"/>
    <s v="crowd source"/>
    <x v="1"/>
  </r>
  <r>
    <s v="SHP00069"/>
    <s v="EMP069"/>
    <x v="62"/>
    <d v="2024-10-20T00:00:00"/>
    <x v="8"/>
    <x v="3"/>
    <x v="1"/>
    <x v="0"/>
    <n v="0.93"/>
    <s v="&lt; 5kg"/>
    <n v="1"/>
    <n v="1"/>
    <x v="1"/>
    <n v="12000"/>
    <n v="11160"/>
    <s v="Siska Amelia"/>
    <s v="internal"/>
    <x v="0"/>
  </r>
  <r>
    <s v="SHP00070"/>
    <s v="EMP070"/>
    <x v="63"/>
    <d v="2024-10-18T00:00:00"/>
    <x v="9"/>
    <x v="9"/>
    <x v="0"/>
    <x v="1"/>
    <n v="1.25"/>
    <s v="&lt; 5kg"/>
    <n v="11"/>
    <n v="3"/>
    <x v="0"/>
    <n v="10000"/>
    <n v="12500"/>
    <s v="Tri Wibowo"/>
    <s v="internal"/>
    <x v="1"/>
  </r>
  <r>
    <s v="SHP00071"/>
    <s v="EMP071"/>
    <x v="64"/>
    <d v="2023-04-14T00:00:00"/>
    <x v="0"/>
    <x v="8"/>
    <x v="2"/>
    <x v="0"/>
    <n v="1.83"/>
    <s v="&lt; 5kg"/>
    <n v="11"/>
    <n v="5"/>
    <x v="0"/>
    <n v="9000"/>
    <n v="16470"/>
    <s v="Ubay Prakoso"/>
    <s v="crowd source"/>
    <x v="0"/>
  </r>
  <r>
    <s v="SHP00072"/>
    <s v="EMP072"/>
    <x v="65"/>
    <d v="2024-05-14T00:00:00"/>
    <x v="1"/>
    <x v="3"/>
    <x v="1"/>
    <x v="0"/>
    <n v="5.81"/>
    <s v="&gt;5kg"/>
    <n v="4"/>
    <n v="1"/>
    <x v="0"/>
    <n v="12000"/>
    <n v="69720"/>
    <s v="Vania Putri"/>
    <s v="internal"/>
    <x v="0"/>
  </r>
  <r>
    <s v="SHP00073"/>
    <s v="EMP073"/>
    <x v="66"/>
    <d v="2023-03-12T00:00:00"/>
    <x v="2"/>
    <x v="7"/>
    <x v="0"/>
    <x v="0"/>
    <n v="4.01"/>
    <s v="&lt; 5kg"/>
    <n v="5"/>
    <n v="3"/>
    <x v="0"/>
    <n v="10000"/>
    <n v="40100"/>
    <s v="Wira Nugraha"/>
    <s v="internal"/>
    <x v="1"/>
  </r>
  <r>
    <s v="SHP00074"/>
    <s v="EMP074"/>
    <x v="67"/>
    <d v="2024-01-31T00:00:00"/>
    <x v="3"/>
    <x v="2"/>
    <x v="0"/>
    <x v="0"/>
    <n v="4.63"/>
    <s v="&lt; 5kg"/>
    <n v="0"/>
    <n v="3"/>
    <x v="1"/>
    <n v="10000"/>
    <n v="46300"/>
    <s v="Xaverius Adi"/>
    <s v="crowd source"/>
    <x v="1"/>
  </r>
  <r>
    <s v="SHP00075"/>
    <s v="EMP075"/>
    <x v="68"/>
    <d v="2023-02-08T00:00:00"/>
    <x v="4"/>
    <x v="1"/>
    <x v="1"/>
    <x v="1"/>
    <n v="3.37"/>
    <s v="&lt; 5kg"/>
    <n v="0"/>
    <n v="1"/>
    <x v="1"/>
    <n v="12000"/>
    <n v="40440"/>
    <s v="Yuliana Kartini"/>
    <s v="internal"/>
    <x v="0"/>
  </r>
  <r>
    <s v="SHP00076"/>
    <s v="EMP076"/>
    <x v="69"/>
    <d v="2024-08-20T00:00:00"/>
    <x v="5"/>
    <x v="8"/>
    <x v="1"/>
    <x v="0"/>
    <n v="9.93"/>
    <s v="&gt;5kg"/>
    <n v="7"/>
    <n v="1"/>
    <x v="0"/>
    <n v="12000"/>
    <n v="119160"/>
    <s v="Zaki Alamsyah"/>
    <s v="internal"/>
    <x v="0"/>
  </r>
  <r>
    <s v="SHP00077"/>
    <s v="EMP077"/>
    <x v="70"/>
    <d v="2023-09-23T00:00:00"/>
    <x v="6"/>
    <x v="8"/>
    <x v="0"/>
    <x v="1"/>
    <n v="4.88"/>
    <s v="&lt; 5kg"/>
    <n v="2"/>
    <n v="3"/>
    <x v="1"/>
    <n v="10000"/>
    <n v="48800"/>
    <s v="Arief Setyawan"/>
    <s v="crowd source"/>
    <x v="1"/>
  </r>
  <r>
    <s v="SHP00078"/>
    <s v="EMP078"/>
    <x v="71"/>
    <d v="2023-04-16T00:00:00"/>
    <x v="7"/>
    <x v="9"/>
    <x v="0"/>
    <x v="0"/>
    <n v="10.1"/>
    <s v="&gt;5kg"/>
    <n v="10"/>
    <n v="3"/>
    <x v="0"/>
    <n v="10000"/>
    <n v="101000"/>
    <s v="Bunga Cahyani"/>
    <s v="internal"/>
    <x v="0"/>
  </r>
  <r>
    <s v="SHP00079"/>
    <s v="EMP079"/>
    <x v="72"/>
    <d v="2023-08-20T00:00:00"/>
    <x v="8"/>
    <x v="1"/>
    <x v="1"/>
    <x v="1"/>
    <n v="0.65"/>
    <s v="&lt; 5kg"/>
    <n v="1"/>
    <n v="1"/>
    <x v="1"/>
    <n v="12000"/>
    <n v="7800"/>
    <s v="Cahyo Prabowo"/>
    <s v="internal"/>
    <x v="1"/>
  </r>
  <r>
    <s v="SHP00080"/>
    <s v="EMP080"/>
    <x v="73"/>
    <d v="2024-12-16T00:00:00"/>
    <x v="9"/>
    <x v="1"/>
    <x v="1"/>
    <x v="0"/>
    <n v="1.45"/>
    <s v="&lt; 5kg"/>
    <n v="0"/>
    <n v="1"/>
    <x v="1"/>
    <n v="12000"/>
    <n v="17400"/>
    <s v="Diah Permata"/>
    <s v="crowd source"/>
    <x v="0"/>
  </r>
  <r>
    <s v="SHP00081"/>
    <s v="EMP081"/>
    <x v="74"/>
    <d v="2024-07-22T00:00:00"/>
    <x v="0"/>
    <x v="9"/>
    <x v="0"/>
    <x v="1"/>
    <n v="6.18"/>
    <s v="&gt;5kg"/>
    <n v="8"/>
    <n v="3"/>
    <x v="0"/>
    <n v="10000"/>
    <n v="61800"/>
    <s v="Evania Putri"/>
    <s v="internal"/>
    <x v="0"/>
  </r>
  <r>
    <s v="SHP00082"/>
    <s v="EMP082"/>
    <x v="75"/>
    <d v="2024-01-25T00:00:00"/>
    <x v="1"/>
    <x v="4"/>
    <x v="2"/>
    <x v="0"/>
    <n v="10.33"/>
    <s v="&gt;5kg"/>
    <n v="0"/>
    <n v="5"/>
    <x v="1"/>
    <n v="9000"/>
    <n v="92970"/>
    <s v="Fikri Ramadhan"/>
    <s v="crowd source"/>
    <x v="1"/>
  </r>
  <r>
    <s v="SHP00083"/>
    <s v="EMP083"/>
    <x v="76"/>
    <d v="2023-07-12T00:00:00"/>
    <x v="2"/>
    <x v="7"/>
    <x v="2"/>
    <x v="0"/>
    <n v="3.71"/>
    <s v="&lt; 5kg"/>
    <n v="9"/>
    <n v="5"/>
    <x v="0"/>
    <n v="9000"/>
    <n v="33390"/>
    <s v="Gilang Ramli"/>
    <s v="internal"/>
    <x v="0"/>
  </r>
  <r>
    <s v="SHP00084"/>
    <s v="EMP084"/>
    <x v="77"/>
    <d v="2024-04-02T00:00:00"/>
    <x v="3"/>
    <x v="7"/>
    <x v="2"/>
    <x v="0"/>
    <n v="6.39"/>
    <s v="&gt;5kg"/>
    <n v="8"/>
    <n v="5"/>
    <x v="0"/>
    <n v="9000"/>
    <n v="57510"/>
    <s v="Hana Zahra"/>
    <s v="internal"/>
    <x v="0"/>
  </r>
  <r>
    <s v="SHP00085"/>
    <s v="EMP085"/>
    <x v="78"/>
    <d v="2024-08-17T00:00:00"/>
    <x v="4"/>
    <x v="2"/>
    <x v="1"/>
    <x v="1"/>
    <n v="0.51"/>
    <s v="&lt; 5kg"/>
    <n v="1"/>
    <n v="1"/>
    <x v="1"/>
    <n v="12000"/>
    <n v="6120"/>
    <s v="Irfan Maulana"/>
    <s v="internal"/>
    <x v="1"/>
  </r>
  <r>
    <s v="SHP00086"/>
    <s v="EMP086"/>
    <x v="79"/>
    <d v="2023-12-05T00:00:00"/>
    <x v="5"/>
    <x v="5"/>
    <x v="1"/>
    <x v="0"/>
    <n v="8.31"/>
    <s v="&gt;5kg"/>
    <n v="11"/>
    <n v="1"/>
    <x v="0"/>
    <n v="12000"/>
    <n v="99720"/>
    <s v="Jihan Salsabila"/>
    <s v="crowd source"/>
    <x v="0"/>
  </r>
  <r>
    <s v="SHP00087"/>
    <s v="EMP087"/>
    <x v="80"/>
    <d v="2023-05-16T00:00:00"/>
    <x v="6"/>
    <x v="3"/>
    <x v="0"/>
    <x v="0"/>
    <n v="7.74"/>
    <s v="&gt;5kg"/>
    <n v="4"/>
    <n v="3"/>
    <x v="0"/>
    <n v="10000"/>
    <n v="77400"/>
    <s v="Koko Santoso"/>
    <s v="internal"/>
    <x v="0"/>
  </r>
  <r>
    <s v="SHP00088"/>
    <s v="EMP088"/>
    <x v="81"/>
    <d v="2024-05-23T00:00:00"/>
    <x v="7"/>
    <x v="6"/>
    <x v="0"/>
    <x v="0"/>
    <n v="6.25"/>
    <s v="&gt;5kg"/>
    <n v="4"/>
    <n v="3"/>
    <x v="0"/>
    <n v="10000"/>
    <n v="62500"/>
    <s v="Luthfi Hakim"/>
    <s v="crowd source"/>
    <x v="1"/>
  </r>
  <r>
    <s v="SHP00089"/>
    <s v="EMP089"/>
    <x v="82"/>
    <d v="2023-06-24T00:00:00"/>
    <x v="8"/>
    <x v="3"/>
    <x v="0"/>
    <x v="0"/>
    <n v="1.54"/>
    <s v="&lt; 5kg"/>
    <n v="0"/>
    <n v="3"/>
    <x v="1"/>
    <n v="10000"/>
    <n v="15400"/>
    <s v="Melati Anggraini"/>
    <s v="internal"/>
    <x v="0"/>
  </r>
  <r>
    <s v="SHP00090"/>
    <s v="EMP090"/>
    <x v="83"/>
    <d v="2023-04-07T00:00:00"/>
    <x v="9"/>
    <x v="6"/>
    <x v="2"/>
    <x v="1"/>
    <n v="6.76"/>
    <s v="&gt;5kg"/>
    <n v="6"/>
    <n v="5"/>
    <x v="0"/>
    <n v="9000"/>
    <n v="60840"/>
    <s v="Naufal Rizky"/>
    <s v="internal"/>
    <x v="1"/>
  </r>
  <r>
    <s v="SHP00091"/>
    <s v="EMP091"/>
    <x v="84"/>
    <d v="2024-11-09T00:00:00"/>
    <x v="0"/>
    <x v="1"/>
    <x v="0"/>
    <x v="1"/>
    <n v="7.69"/>
    <s v="&gt;5kg"/>
    <n v="4"/>
    <n v="3"/>
    <x v="0"/>
    <n v="10000"/>
    <n v="76900"/>
    <s v="Olin Febriani"/>
    <s v="crowd source"/>
    <x v="0"/>
  </r>
  <r>
    <s v="SHP00092"/>
    <s v="EMP092"/>
    <x v="85"/>
    <d v="2024-09-01T00:00:00"/>
    <x v="1"/>
    <x v="4"/>
    <x v="0"/>
    <x v="0"/>
    <n v="5.12"/>
    <s v="&gt;5kg"/>
    <n v="0"/>
    <n v="3"/>
    <x v="1"/>
    <n v="10000"/>
    <n v="51200"/>
    <s v="Praditya Wicaksono"/>
    <s v="internal"/>
    <x v="1"/>
  </r>
  <r>
    <s v="SHP00093"/>
    <s v="EMP093"/>
    <x v="86"/>
    <d v="2023-06-08T00:00:00"/>
    <x v="2"/>
    <x v="0"/>
    <x v="2"/>
    <x v="0"/>
    <n v="7.46"/>
    <s v="&gt;5kg"/>
    <n v="4"/>
    <n v="5"/>
    <x v="1"/>
    <n v="9000"/>
    <n v="67140"/>
    <s v="Qory Azzahra"/>
    <s v="internal"/>
    <x v="0"/>
  </r>
  <r>
    <s v="SHP00094"/>
    <s v="EMP094"/>
    <x v="87"/>
    <d v="2024-01-24T00:00:00"/>
    <x v="3"/>
    <x v="1"/>
    <x v="2"/>
    <x v="1"/>
    <n v="4.3099999999999996"/>
    <s v="&lt; 5kg"/>
    <n v="0"/>
    <n v="5"/>
    <x v="1"/>
    <n v="9000"/>
    <n v="38790"/>
    <s v="Rendi Saputra"/>
    <s v="crowd source"/>
    <x v="1"/>
  </r>
  <r>
    <s v="SHP00095"/>
    <s v="EMP095"/>
    <x v="88"/>
    <d v="2024-10-25T00:00:00"/>
    <x v="4"/>
    <x v="8"/>
    <x v="2"/>
    <x v="0"/>
    <n v="9"/>
    <s v="&gt;5kg"/>
    <n v="4"/>
    <n v="5"/>
    <x v="1"/>
    <n v="9000"/>
    <n v="81000"/>
    <s v="Salma Nuraini"/>
    <s v="internal"/>
    <x v="0"/>
  </r>
  <r>
    <s v="SHP00096"/>
    <s v="EMP096"/>
    <x v="89"/>
    <d v="2023-01-07T00:00:00"/>
    <x v="5"/>
    <x v="4"/>
    <x v="1"/>
    <x v="1"/>
    <n v="8.68"/>
    <s v="&gt;5kg"/>
    <n v="1"/>
    <n v="1"/>
    <x v="1"/>
    <n v="12000"/>
    <n v="104160"/>
    <s v="Tegar Prakoso"/>
    <s v="internal"/>
    <x v="1"/>
  </r>
  <r>
    <s v="SHP00097"/>
    <s v="EMP097"/>
    <x v="48"/>
    <d v="2024-11-28T00:00:00"/>
    <x v="6"/>
    <x v="8"/>
    <x v="0"/>
    <x v="1"/>
    <n v="4.2"/>
    <s v="&lt; 5kg"/>
    <n v="10"/>
    <n v="3"/>
    <x v="0"/>
    <n v="10000"/>
    <n v="42000"/>
    <s v="Ulfa Khairunnisa"/>
    <s v="crowd source"/>
    <x v="0"/>
  </r>
  <r>
    <s v="SHP00098"/>
    <s v="EMP098"/>
    <x v="90"/>
    <d v="2023-06-07T00:00:00"/>
    <x v="7"/>
    <x v="2"/>
    <x v="1"/>
    <x v="1"/>
    <n v="5.2"/>
    <s v="&gt;5kg"/>
    <n v="4"/>
    <n v="1"/>
    <x v="0"/>
    <n v="12000"/>
    <n v="62400"/>
    <s v="Vito Mahendra"/>
    <s v="internal"/>
    <x v="0"/>
  </r>
  <r>
    <s v="SHP00099"/>
    <s v="EMP099"/>
    <x v="71"/>
    <d v="2023-04-13T00:00:00"/>
    <x v="8"/>
    <x v="6"/>
    <x v="0"/>
    <x v="0"/>
    <n v="3.26"/>
    <s v="&lt; 5kg"/>
    <n v="7"/>
    <n v="3"/>
    <x v="0"/>
    <n v="10000"/>
    <n v="32599.999999999996"/>
    <s v="Winda Sari"/>
    <s v="internal"/>
    <x v="0"/>
  </r>
  <r>
    <s v="SHP00100"/>
    <s v="EMP100"/>
    <x v="69"/>
    <d v="2024-08-16T00:00:00"/>
    <x v="9"/>
    <x v="4"/>
    <x v="0"/>
    <x v="1"/>
    <n v="10.33"/>
    <s v="&gt;5kg"/>
    <n v="3"/>
    <n v="3"/>
    <x v="1"/>
    <n v="10000"/>
    <n v="103300"/>
    <s v="Yusuf Al Ghazali"/>
    <s v="crowd source"/>
    <x v="1"/>
  </r>
  <r>
    <s v="SHP00101"/>
    <s v="EMP001"/>
    <x v="91"/>
    <d v="2023-03-23T00:00:00"/>
    <x v="0"/>
    <x v="5"/>
    <x v="2"/>
    <x v="1"/>
    <n v="0.64"/>
    <s v="&lt; 5kg"/>
    <n v="0"/>
    <n v="5"/>
    <x v="1"/>
    <n v="9000"/>
    <n v="5760"/>
    <s v="Andi Pratama"/>
    <s v="internal"/>
    <x v="0"/>
  </r>
  <r>
    <s v="SHP00102"/>
    <s v="EMP002"/>
    <x v="23"/>
    <d v="2024-09-11T00:00:00"/>
    <x v="1"/>
    <x v="6"/>
    <x v="1"/>
    <x v="1"/>
    <n v="3.15"/>
    <s v="&lt; 5kg"/>
    <n v="2"/>
    <n v="1"/>
    <x v="0"/>
    <n v="12000"/>
    <n v="37800"/>
    <s v="Budi Santoso"/>
    <s v="internal"/>
    <x v="1"/>
  </r>
  <r>
    <s v="SHP00103"/>
    <s v="EMP003"/>
    <x v="58"/>
    <d v="2023-06-23T00:00:00"/>
    <x v="2"/>
    <x v="7"/>
    <x v="0"/>
    <x v="1"/>
    <n v="9.0299999999999994"/>
    <s v="&gt;5kg"/>
    <n v="4"/>
    <n v="3"/>
    <x v="0"/>
    <n v="10000"/>
    <n v="90300"/>
    <s v="Citra Lestari"/>
    <s v="crowd source"/>
    <x v="0"/>
  </r>
  <r>
    <s v="SHP00104"/>
    <s v="EMP004"/>
    <x v="92"/>
    <d v="2024-04-23T00:00:00"/>
    <x v="3"/>
    <x v="1"/>
    <x v="1"/>
    <x v="0"/>
    <n v="3.59"/>
    <s v="&lt; 5kg"/>
    <n v="1"/>
    <n v="1"/>
    <x v="1"/>
    <n v="12000"/>
    <n v="43080"/>
    <s v="Dedi Saputra"/>
    <s v="crowd source"/>
    <x v="1"/>
  </r>
  <r>
    <s v="SHP00105"/>
    <s v="EMP005"/>
    <x v="93"/>
    <d v="2023-03-11T00:00:00"/>
    <x v="4"/>
    <x v="3"/>
    <x v="0"/>
    <x v="1"/>
    <n v="1.1599999999999999"/>
    <s v="&lt; 5kg"/>
    <n v="0"/>
    <n v="3"/>
    <x v="1"/>
    <n v="10000"/>
    <n v="11600"/>
    <s v="Eko Nugroho"/>
    <s v="internal"/>
    <x v="0"/>
  </r>
  <r>
    <s v="SHP00106"/>
    <s v="EMP006"/>
    <x v="94"/>
    <d v="2024-02-18T00:00:00"/>
    <x v="5"/>
    <x v="6"/>
    <x v="2"/>
    <x v="0"/>
    <n v="3.61"/>
    <s v="&lt; 5kg"/>
    <n v="8"/>
    <n v="5"/>
    <x v="0"/>
    <n v="9000"/>
    <n v="32490"/>
    <s v="Fajar Hidayat"/>
    <s v="internal"/>
    <x v="1"/>
  </r>
  <r>
    <s v="SHP00107"/>
    <s v="EMP007"/>
    <x v="95"/>
    <d v="2023-07-13T00:00:00"/>
    <x v="6"/>
    <x v="1"/>
    <x v="0"/>
    <x v="0"/>
    <n v="10.4"/>
    <s v="&gt;5kg"/>
    <n v="4"/>
    <n v="3"/>
    <x v="0"/>
    <n v="10000"/>
    <n v="104000"/>
    <s v="Gita Rahmawati"/>
    <s v="crowd source"/>
    <x v="0"/>
  </r>
  <r>
    <s v="SHP00108"/>
    <s v="EMP008"/>
    <x v="96"/>
    <d v="2024-03-23T00:00:00"/>
    <x v="7"/>
    <x v="2"/>
    <x v="1"/>
    <x v="1"/>
    <n v="5.74"/>
    <s v="&gt;5kg"/>
    <n v="1"/>
    <n v="1"/>
    <x v="1"/>
    <n v="12000"/>
    <n v="68880"/>
    <s v="Hendra Wijaya"/>
    <s v="internal"/>
    <x v="1"/>
  </r>
  <r>
    <s v="SHP00109"/>
    <s v="EMP009"/>
    <x v="97"/>
    <d v="2024-01-13T00:00:00"/>
    <x v="8"/>
    <x v="9"/>
    <x v="2"/>
    <x v="1"/>
    <n v="5.48"/>
    <s v="&gt;5kg"/>
    <n v="4"/>
    <n v="5"/>
    <x v="1"/>
    <n v="9000"/>
    <n v="49320.000000000007"/>
    <s v="Indah Permata"/>
    <s v="crowd source"/>
    <x v="0"/>
  </r>
  <r>
    <s v="SHP00110"/>
    <s v="EMP010"/>
    <x v="19"/>
    <d v="2023-08-09T00:00:00"/>
    <x v="9"/>
    <x v="8"/>
    <x v="1"/>
    <x v="1"/>
    <n v="3.66"/>
    <s v="&lt; 5kg"/>
    <n v="10"/>
    <n v="1"/>
    <x v="0"/>
    <n v="12000"/>
    <n v="43920"/>
    <s v="Joko Susilo"/>
    <s v="internal"/>
    <x v="1"/>
  </r>
  <r>
    <s v="SHP00111"/>
    <s v="EMP011"/>
    <x v="98"/>
    <d v="2024-03-29T00:00:00"/>
    <x v="0"/>
    <x v="0"/>
    <x v="2"/>
    <x v="1"/>
    <n v="5.0199999999999996"/>
    <s v="&gt;5kg"/>
    <n v="5"/>
    <n v="5"/>
    <x v="1"/>
    <n v="9000"/>
    <n v="45179.999999999993"/>
    <s v="Kurniawan Putra"/>
    <s v="crowd source"/>
    <x v="1"/>
  </r>
  <r>
    <s v="SHP00112"/>
    <s v="EMP012"/>
    <x v="99"/>
    <d v="2023-04-24T00:00:00"/>
    <x v="1"/>
    <x v="5"/>
    <x v="2"/>
    <x v="1"/>
    <n v="3.75"/>
    <s v="&lt; 5kg"/>
    <n v="1"/>
    <n v="5"/>
    <x v="1"/>
    <n v="9000"/>
    <n v="33750"/>
    <s v="Lina Marlina"/>
    <s v="internal"/>
    <x v="0"/>
  </r>
  <r>
    <s v="SHP00113"/>
    <s v="EMP013"/>
    <x v="47"/>
    <d v="2024-06-10T00:00:00"/>
    <x v="2"/>
    <x v="5"/>
    <x v="0"/>
    <x v="1"/>
    <n v="4.8499999999999996"/>
    <s v="&lt; 5kg"/>
    <n v="3"/>
    <n v="3"/>
    <x v="1"/>
    <n v="10000"/>
    <n v="48500"/>
    <s v="Rizky Ananda"/>
    <s v="crowd source"/>
    <x v="0"/>
  </r>
  <r>
    <s v="SHP00114"/>
    <s v="EMP014"/>
    <x v="100"/>
    <d v="2023-08-06T00:00:00"/>
    <x v="3"/>
    <x v="4"/>
    <x v="2"/>
    <x v="1"/>
    <n v="7.18"/>
    <s v="&gt;5kg"/>
    <n v="3"/>
    <n v="5"/>
    <x v="1"/>
    <n v="9000"/>
    <n v="64620"/>
    <s v="Nanda Prakoso"/>
    <s v="internal"/>
    <x v="1"/>
  </r>
  <r>
    <s v="SHP00115"/>
    <s v="EMP015"/>
    <x v="101"/>
    <d v="2024-04-05T00:00:00"/>
    <x v="4"/>
    <x v="5"/>
    <x v="2"/>
    <x v="0"/>
    <n v="9.58"/>
    <s v="&gt;5kg"/>
    <n v="10"/>
    <n v="5"/>
    <x v="0"/>
    <n v="9000"/>
    <n v="86220"/>
    <s v="Oktavian Yusuf"/>
    <s v="crowd source"/>
    <x v="1"/>
  </r>
  <r>
    <s v="SHP00116"/>
    <s v="EMP016"/>
    <x v="102"/>
    <d v="2024-08-04T00:00:00"/>
    <x v="5"/>
    <x v="8"/>
    <x v="2"/>
    <x v="0"/>
    <n v="4.8499999999999996"/>
    <s v="&lt; 5kg"/>
    <n v="0"/>
    <n v="5"/>
    <x v="1"/>
    <n v="9000"/>
    <n v="43650"/>
    <s v="Putri Ayu Lestari"/>
    <s v="internal"/>
    <x v="0"/>
  </r>
  <r>
    <s v="SHP00117"/>
    <s v="EMP017"/>
    <x v="103"/>
    <d v="2024-07-30T00:00:00"/>
    <x v="6"/>
    <x v="3"/>
    <x v="0"/>
    <x v="1"/>
    <n v="1.1499999999999999"/>
    <s v="&lt; 5kg"/>
    <n v="3"/>
    <n v="3"/>
    <x v="1"/>
    <n v="10000"/>
    <n v="11500"/>
    <s v="Rafi Maulana"/>
    <s v="internal"/>
    <x v="0"/>
  </r>
  <r>
    <s v="SHP00118"/>
    <s v="EMP018"/>
    <x v="104"/>
    <d v="2023-12-27T00:00:00"/>
    <x v="7"/>
    <x v="0"/>
    <x v="0"/>
    <x v="1"/>
    <n v="1.62"/>
    <s v="&lt; 5kg"/>
    <n v="11"/>
    <n v="3"/>
    <x v="0"/>
    <n v="10000"/>
    <n v="16200.000000000002"/>
    <s v="Sari Puspita"/>
    <s v="crowd source"/>
    <x v="0"/>
  </r>
  <r>
    <s v="SHP00119"/>
    <s v="EMP019"/>
    <x v="105"/>
    <d v="2024-03-15T00:00:00"/>
    <x v="8"/>
    <x v="3"/>
    <x v="0"/>
    <x v="0"/>
    <n v="0.98"/>
    <s v="&lt; 5kg"/>
    <n v="0"/>
    <n v="3"/>
    <x v="1"/>
    <n v="10000"/>
    <n v="9800"/>
    <s v="Teguh Wibowo"/>
    <s v="internal"/>
    <x v="1"/>
  </r>
  <r>
    <s v="SHP00120"/>
    <s v="EMP020"/>
    <x v="106"/>
    <d v="2023-02-12T00:00:00"/>
    <x v="9"/>
    <x v="3"/>
    <x v="1"/>
    <x v="0"/>
    <n v="1.19"/>
    <s v="&lt; 5kg"/>
    <n v="0"/>
    <n v="1"/>
    <x v="1"/>
    <n v="12000"/>
    <n v="14280"/>
    <s v="Umi Kalsum"/>
    <s v="crowd source"/>
    <x v="0"/>
  </r>
  <r>
    <s v="SHP00121"/>
    <s v="EMP021"/>
    <x v="107"/>
    <d v="2023-10-04T00:00:00"/>
    <x v="0"/>
    <x v="0"/>
    <x v="2"/>
    <x v="0"/>
    <n v="1.89"/>
    <s v="&lt; 5kg"/>
    <n v="2"/>
    <n v="5"/>
    <x v="1"/>
    <n v="9000"/>
    <n v="17010"/>
    <s v="Vina Oktaviani"/>
    <s v="internal"/>
    <x v="0"/>
  </r>
  <r>
    <s v="SHP00122"/>
    <s v="EMP022"/>
    <x v="108"/>
    <d v="2024-09-04T00:00:00"/>
    <x v="1"/>
    <x v="6"/>
    <x v="0"/>
    <x v="0"/>
    <n v="3.51"/>
    <s v="&lt; 5kg"/>
    <n v="11"/>
    <n v="3"/>
    <x v="0"/>
    <n v="10000"/>
    <n v="35100"/>
    <s v="Wahyu Setiawan"/>
    <s v="crowd source"/>
    <x v="1"/>
  </r>
  <r>
    <s v="SHP00123"/>
    <s v="EMP023"/>
    <x v="109"/>
    <d v="2023-07-26T00:00:00"/>
    <x v="2"/>
    <x v="7"/>
    <x v="0"/>
    <x v="0"/>
    <n v="6.75"/>
    <s v="&gt;5kg"/>
    <n v="10"/>
    <n v="3"/>
    <x v="0"/>
    <n v="10000"/>
    <n v="67500"/>
    <s v="Yogi Firmansyah"/>
    <s v="internal"/>
    <x v="1"/>
  </r>
  <r>
    <s v="SHP00124"/>
    <s v="EMP024"/>
    <x v="110"/>
    <d v="2024-10-17T00:00:00"/>
    <x v="3"/>
    <x v="6"/>
    <x v="0"/>
    <x v="1"/>
    <n v="2.23"/>
    <s v="&lt; 5kg"/>
    <n v="0"/>
    <n v="3"/>
    <x v="1"/>
    <n v="10000"/>
    <n v="22300"/>
    <s v="Zainal Abidin"/>
    <s v="crowd source"/>
    <x v="1"/>
  </r>
  <r>
    <s v="SHP00125"/>
    <s v="EMP025"/>
    <x v="111"/>
    <d v="2024-08-21T00:00:00"/>
    <x v="4"/>
    <x v="0"/>
    <x v="0"/>
    <x v="0"/>
    <n v="0.66"/>
    <s v="&lt; 5kg"/>
    <n v="11"/>
    <n v="3"/>
    <x v="0"/>
    <n v="10000"/>
    <n v="6600"/>
    <s v="Ahmad Fauzi"/>
    <s v="internal"/>
    <x v="0"/>
  </r>
  <r>
    <s v="SHP00126"/>
    <s v="EMP026"/>
    <x v="112"/>
    <d v="2023-09-17T00:00:00"/>
    <x v="5"/>
    <x v="4"/>
    <x v="0"/>
    <x v="0"/>
    <n v="1.74"/>
    <s v="&lt; 5kg"/>
    <n v="7"/>
    <n v="3"/>
    <x v="0"/>
    <n v="10000"/>
    <n v="17400"/>
    <s v="Bayu Ramadhan"/>
    <s v="crowd source"/>
    <x v="0"/>
  </r>
  <r>
    <s v="SHP00127"/>
    <s v="EMP027"/>
    <x v="45"/>
    <d v="2023-11-06T00:00:00"/>
    <x v="6"/>
    <x v="2"/>
    <x v="2"/>
    <x v="0"/>
    <n v="1.1599999999999999"/>
    <s v="&lt; 5kg"/>
    <n v="0"/>
    <n v="5"/>
    <x v="1"/>
    <n v="9000"/>
    <n v="10440"/>
    <s v="Cindy Oktavia"/>
    <s v="internal"/>
    <x v="0"/>
  </r>
  <r>
    <s v="SHP00128"/>
    <s v="EMP028"/>
    <x v="113"/>
    <d v="2024-08-28T00:00:00"/>
    <x v="7"/>
    <x v="1"/>
    <x v="0"/>
    <x v="1"/>
    <n v="5.95"/>
    <s v="&gt;5kg"/>
    <n v="0"/>
    <n v="3"/>
    <x v="1"/>
    <n v="10000"/>
    <n v="59500"/>
    <s v="Dian Pramudya"/>
    <s v="crowd source"/>
    <x v="1"/>
  </r>
  <r>
    <s v="SHP00129"/>
    <s v="EMP029"/>
    <x v="114"/>
    <d v="2024-04-05T00:00:00"/>
    <x v="8"/>
    <x v="1"/>
    <x v="1"/>
    <x v="0"/>
    <n v="2.72"/>
    <s v="&lt; 5kg"/>
    <n v="0"/>
    <n v="1"/>
    <x v="1"/>
    <n v="12000"/>
    <n v="32640.000000000004"/>
    <s v="Erwin Kurniawan"/>
    <s v="internal"/>
    <x v="1"/>
  </r>
  <r>
    <s v="SHP00130"/>
    <s v="EMP030"/>
    <x v="115"/>
    <d v="2023-07-08T00:00:00"/>
    <x v="9"/>
    <x v="6"/>
    <x v="1"/>
    <x v="1"/>
    <n v="2.66"/>
    <s v="&lt; 5kg"/>
    <n v="3"/>
    <n v="1"/>
    <x v="0"/>
    <n v="12000"/>
    <n v="31920"/>
    <s v="Fitri Handayani"/>
    <s v="crowd source"/>
    <x v="0"/>
  </r>
  <r>
    <s v="SHP00131"/>
    <s v="EMP031"/>
    <x v="116"/>
    <d v="2023-07-19T00:00:00"/>
    <x v="0"/>
    <x v="7"/>
    <x v="1"/>
    <x v="0"/>
    <n v="6.79"/>
    <s v="&gt;5kg"/>
    <n v="5"/>
    <n v="1"/>
    <x v="0"/>
    <n v="12000"/>
    <n v="81480"/>
    <s v="Gilang Saputra"/>
    <s v="internal"/>
    <x v="0"/>
  </r>
  <r>
    <s v="SHP00132"/>
    <s v="EMP032"/>
    <x v="117"/>
    <d v="2023-04-04T00:00:00"/>
    <x v="1"/>
    <x v="0"/>
    <x v="2"/>
    <x v="1"/>
    <n v="7.74"/>
    <s v="&gt;5kg"/>
    <n v="9"/>
    <n v="5"/>
    <x v="0"/>
    <n v="9000"/>
    <n v="69660"/>
    <s v="Hariyanto"/>
    <s v="crowd source"/>
    <x v="1"/>
  </r>
  <r>
    <s v="SHP00133"/>
    <s v="EMP033"/>
    <x v="118"/>
    <d v="2024-02-08T00:00:00"/>
    <x v="2"/>
    <x v="0"/>
    <x v="1"/>
    <x v="1"/>
    <n v="8.32"/>
    <s v="&gt;5kg"/>
    <n v="10"/>
    <n v="1"/>
    <x v="0"/>
    <n v="12000"/>
    <n v="99840"/>
    <s v="Intan Maharani"/>
    <s v="internal"/>
    <x v="0"/>
  </r>
  <r>
    <s v="SHP00134"/>
    <s v="EMP034"/>
    <x v="119"/>
    <d v="2023-12-04T00:00:00"/>
    <x v="3"/>
    <x v="7"/>
    <x v="2"/>
    <x v="1"/>
    <n v="6.01"/>
    <s v="&gt;5kg"/>
    <n v="2"/>
    <n v="5"/>
    <x v="1"/>
    <n v="9000"/>
    <n v="54090"/>
    <s v="Jefri Alamsyah"/>
    <s v="internal"/>
    <x v="1"/>
  </r>
  <r>
    <s v="SHP00135"/>
    <s v="EMP035"/>
    <x v="120"/>
    <d v="2023-01-17T00:00:00"/>
    <x v="4"/>
    <x v="3"/>
    <x v="0"/>
    <x v="0"/>
    <n v="8.3699999999999992"/>
    <s v="&gt;5kg"/>
    <n v="4"/>
    <n v="3"/>
    <x v="0"/>
    <n v="10000"/>
    <n v="83699.999999999985"/>
    <s v="Kartika Sari"/>
    <s v="crowd source"/>
    <x v="0"/>
  </r>
  <r>
    <s v="SHP00136"/>
    <s v="EMP036"/>
    <x v="121"/>
    <d v="2023-03-21T00:00:00"/>
    <x v="5"/>
    <x v="7"/>
    <x v="0"/>
    <x v="1"/>
    <n v="8.2799999999999994"/>
    <s v="&gt;5kg"/>
    <n v="8"/>
    <n v="3"/>
    <x v="0"/>
    <n v="10000"/>
    <n v="82800"/>
    <s v="Lukman Hakim"/>
    <s v="internal"/>
    <x v="1"/>
  </r>
  <r>
    <s v="SHP00137"/>
    <s v="EMP037"/>
    <x v="122"/>
    <d v="2023-10-23T00:00:00"/>
    <x v="6"/>
    <x v="9"/>
    <x v="0"/>
    <x v="0"/>
    <n v="9.06"/>
    <s v="&gt;5kg"/>
    <n v="4"/>
    <n v="3"/>
    <x v="0"/>
    <n v="10000"/>
    <n v="90600"/>
    <s v="Mega Puspitasari"/>
    <s v="internal"/>
    <x v="0"/>
  </r>
  <r>
    <s v="SHP00138"/>
    <s v="EMP038"/>
    <x v="123"/>
    <d v="2023-06-02T00:00:00"/>
    <x v="7"/>
    <x v="0"/>
    <x v="2"/>
    <x v="1"/>
    <n v="8.31"/>
    <s v="&gt;5kg"/>
    <n v="0"/>
    <n v="5"/>
    <x v="1"/>
    <n v="9000"/>
    <n v="74790"/>
    <s v="Niko Prasetyo"/>
    <s v="crowd source"/>
    <x v="1"/>
  </r>
  <r>
    <s v="SHP00139"/>
    <s v="EMP039"/>
    <x v="124"/>
    <d v="2023-11-23T00:00:00"/>
    <x v="8"/>
    <x v="2"/>
    <x v="1"/>
    <x v="1"/>
    <n v="3.34"/>
    <s v="&lt; 5kg"/>
    <n v="0"/>
    <n v="1"/>
    <x v="1"/>
    <n v="12000"/>
    <n v="40080"/>
    <s v="Olivia Putri"/>
    <s v="internal"/>
    <x v="0"/>
  </r>
  <r>
    <s v="SHP00140"/>
    <s v="EMP040"/>
    <x v="125"/>
    <d v="2023-06-26T00:00:00"/>
    <x v="9"/>
    <x v="2"/>
    <x v="1"/>
    <x v="1"/>
    <n v="3.91"/>
    <s v="&lt; 5kg"/>
    <n v="0"/>
    <n v="1"/>
    <x v="1"/>
    <n v="12000"/>
    <n v="46920"/>
    <s v="Prasetyo Utomo"/>
    <s v="internal"/>
    <x v="1"/>
  </r>
  <r>
    <s v="SHP00141"/>
    <s v="EMP041"/>
    <x v="126"/>
    <d v="2024-04-14T00:00:00"/>
    <x v="0"/>
    <x v="7"/>
    <x v="1"/>
    <x v="1"/>
    <n v="3.26"/>
    <s v="&lt; 5kg"/>
    <n v="6"/>
    <n v="1"/>
    <x v="0"/>
    <n v="12000"/>
    <n v="39120"/>
    <s v="Qori Annisa"/>
    <s v="crowd source"/>
    <x v="0"/>
  </r>
  <r>
    <s v="SHP00142"/>
    <s v="EMP042"/>
    <x v="127"/>
    <d v="2023-02-26T00:00:00"/>
    <x v="1"/>
    <x v="1"/>
    <x v="0"/>
    <x v="1"/>
    <n v="5.25"/>
    <s v="&gt;5kg"/>
    <n v="0"/>
    <n v="3"/>
    <x v="1"/>
    <n v="10000"/>
    <n v="52500"/>
    <s v="Rangga Saptonugroho"/>
    <s v="crowd source"/>
    <x v="1"/>
  </r>
  <r>
    <s v="SHP00143"/>
    <s v="EMP043"/>
    <x v="91"/>
    <d v="2023-04-02T00:00:00"/>
    <x v="2"/>
    <x v="4"/>
    <x v="0"/>
    <x v="1"/>
    <n v="8.67"/>
    <s v="&gt;5kg"/>
    <n v="10"/>
    <n v="3"/>
    <x v="0"/>
    <n v="10000"/>
    <n v="86700"/>
    <s v="Sinta Dewi"/>
    <s v="internal"/>
    <x v="0"/>
  </r>
  <r>
    <s v="SHP00144"/>
    <s v="EMP044"/>
    <x v="52"/>
    <d v="2023-07-10T00:00:00"/>
    <x v="3"/>
    <x v="0"/>
    <x v="0"/>
    <x v="1"/>
    <n v="0.61"/>
    <s v="&lt; 5kg"/>
    <n v="10"/>
    <n v="3"/>
    <x v="0"/>
    <n v="10000"/>
    <n v="6100"/>
    <s v="Taufik Hidayat"/>
    <s v="internal"/>
    <x v="1"/>
  </r>
  <r>
    <s v="SHP00145"/>
    <s v="EMP045"/>
    <x v="128"/>
    <d v="2023-02-10T00:00:00"/>
    <x v="4"/>
    <x v="9"/>
    <x v="0"/>
    <x v="0"/>
    <n v="5.74"/>
    <s v="&gt;5kg"/>
    <n v="9"/>
    <n v="3"/>
    <x v="0"/>
    <n v="10000"/>
    <n v="57400"/>
    <s v="Usman Ali"/>
    <s v="crowd source"/>
    <x v="0"/>
  </r>
  <r>
    <s v="SHP00146"/>
    <s v="EMP046"/>
    <x v="129"/>
    <d v="2024-04-29T00:00:00"/>
    <x v="5"/>
    <x v="2"/>
    <x v="0"/>
    <x v="0"/>
    <n v="8.07"/>
    <s v="&gt;5kg"/>
    <n v="4"/>
    <n v="3"/>
    <x v="0"/>
    <n v="10000"/>
    <n v="80700"/>
    <s v="Vivi Lestari"/>
    <s v="internal"/>
    <x v="0"/>
  </r>
  <r>
    <s v="SHP00147"/>
    <s v="EMP047"/>
    <x v="130"/>
    <d v="2024-11-30T00:00:00"/>
    <x v="6"/>
    <x v="6"/>
    <x v="0"/>
    <x v="1"/>
    <n v="5.69"/>
    <s v="&gt;5kg"/>
    <n v="3"/>
    <n v="3"/>
    <x v="1"/>
    <n v="10000"/>
    <n v="56900.000000000007"/>
    <s v="Wawan Setiabudi"/>
    <s v="internal"/>
    <x v="1"/>
  </r>
  <r>
    <s v="SHP00148"/>
    <s v="EMP048"/>
    <x v="131"/>
    <d v="2023-03-01T00:00:00"/>
    <x v="7"/>
    <x v="5"/>
    <x v="0"/>
    <x v="1"/>
    <n v="6.72"/>
    <s v="&gt;5kg"/>
    <n v="10"/>
    <n v="3"/>
    <x v="0"/>
    <n v="10000"/>
    <n v="67200"/>
    <s v="Xenia Maharani"/>
    <s v="crowd source"/>
    <x v="0"/>
  </r>
  <r>
    <s v="SHP00149"/>
    <s v="EMP049"/>
    <x v="132"/>
    <d v="2024-12-08T00:00:00"/>
    <x v="8"/>
    <x v="6"/>
    <x v="2"/>
    <x v="0"/>
    <n v="4.97"/>
    <s v="&lt; 5kg"/>
    <n v="9"/>
    <n v="5"/>
    <x v="0"/>
    <n v="9000"/>
    <n v="44730"/>
    <s v="Yoga Pradana"/>
    <s v="internal"/>
    <x v="0"/>
  </r>
  <r>
    <s v="SHP00150"/>
    <s v="EMP050"/>
    <x v="133"/>
    <d v="2023-08-15T00:00:00"/>
    <x v="9"/>
    <x v="4"/>
    <x v="2"/>
    <x v="1"/>
    <n v="1.99"/>
    <s v="&lt; 5kg"/>
    <n v="10"/>
    <n v="5"/>
    <x v="0"/>
    <n v="9000"/>
    <n v="17910"/>
    <s v="Zulfikar Ramadhan"/>
    <s v="crowd source"/>
    <x v="1"/>
  </r>
  <r>
    <s v="SHP00151"/>
    <s v="EMP051"/>
    <x v="134"/>
    <d v="2023-05-26T00:00:00"/>
    <x v="0"/>
    <x v="7"/>
    <x v="0"/>
    <x v="1"/>
    <n v="2.33"/>
    <s v="&lt; 5kg"/>
    <n v="2"/>
    <n v="3"/>
    <x v="1"/>
    <n v="10000"/>
    <n v="23300"/>
    <s v="Aditya Saputra"/>
    <s v="internal"/>
    <x v="0"/>
  </r>
  <r>
    <s v="SHP00152"/>
    <s v="EMP052"/>
    <x v="22"/>
    <d v="2023-03-16T00:00:00"/>
    <x v="1"/>
    <x v="1"/>
    <x v="0"/>
    <x v="1"/>
    <n v="4.87"/>
    <s v="&lt; 5kg"/>
    <n v="2"/>
    <n v="3"/>
    <x v="1"/>
    <n v="10000"/>
    <n v="48700"/>
    <s v="Bella Oktaviani"/>
    <s v="internal"/>
    <x v="0"/>
  </r>
  <r>
    <s v="SHP00153"/>
    <s v="EMP053"/>
    <x v="19"/>
    <d v="2023-08-02T00:00:00"/>
    <x v="2"/>
    <x v="4"/>
    <x v="0"/>
    <x v="0"/>
    <n v="4.3899999999999997"/>
    <s v="&lt; 5kg"/>
    <n v="3"/>
    <n v="3"/>
    <x v="1"/>
    <n v="10000"/>
    <n v="43900"/>
    <s v="Chandra Wijaya"/>
    <s v="crowd source"/>
    <x v="1"/>
  </r>
  <r>
    <s v="SHP00154"/>
    <s v="EMP054"/>
    <x v="135"/>
    <d v="2024-07-31T00:00:00"/>
    <x v="3"/>
    <x v="7"/>
    <x v="0"/>
    <x v="1"/>
    <n v="0.73"/>
    <s v="&lt; 5kg"/>
    <n v="3"/>
    <n v="3"/>
    <x v="1"/>
    <n v="10000"/>
    <n v="7300"/>
    <s v="Dewi Sartika"/>
    <s v="internal"/>
    <x v="0"/>
  </r>
  <r>
    <s v="SHP00155"/>
    <s v="EMP055"/>
    <x v="120"/>
    <d v="2023-01-13T00:00:00"/>
    <x v="4"/>
    <x v="1"/>
    <x v="0"/>
    <x v="1"/>
    <n v="6.86"/>
    <s v="&gt;5kg"/>
    <n v="0"/>
    <n v="3"/>
    <x v="1"/>
    <n v="10000"/>
    <n v="68600"/>
    <s v="Edi Kurniawan"/>
    <s v="internal"/>
    <x v="1"/>
  </r>
  <r>
    <s v="SHP00156"/>
    <s v="EMP056"/>
    <x v="136"/>
    <d v="2024-12-15T00:00:00"/>
    <x v="5"/>
    <x v="0"/>
    <x v="0"/>
    <x v="1"/>
    <n v="7.97"/>
    <s v="&gt;5kg"/>
    <n v="4"/>
    <n v="3"/>
    <x v="0"/>
    <n v="10000"/>
    <n v="79700"/>
    <s v="Farah Nabila"/>
    <s v="crowd source"/>
    <x v="0"/>
  </r>
  <r>
    <s v="SHP00157"/>
    <s v="EMP057"/>
    <x v="132"/>
    <d v="2024-12-03T00:00:00"/>
    <x v="6"/>
    <x v="1"/>
    <x v="0"/>
    <x v="0"/>
    <n v="8.9700000000000006"/>
    <s v="&gt;5kg"/>
    <n v="4"/>
    <n v="3"/>
    <x v="0"/>
    <n v="10000"/>
    <n v="89700"/>
    <s v="Galih Pratomo"/>
    <s v="internal"/>
    <x v="0"/>
  </r>
  <r>
    <s v="SHP00158"/>
    <s v="EMP058"/>
    <x v="137"/>
    <d v="2024-08-16T00:00:00"/>
    <x v="7"/>
    <x v="9"/>
    <x v="0"/>
    <x v="0"/>
    <n v="7.07"/>
    <s v="&gt;5kg"/>
    <n v="11"/>
    <n v="3"/>
    <x v="0"/>
    <n v="10000"/>
    <n v="70700"/>
    <s v="Hadi Purnomo"/>
    <s v="crowd source"/>
    <x v="1"/>
  </r>
  <r>
    <s v="SHP00159"/>
    <s v="EMP059"/>
    <x v="138"/>
    <d v="2024-01-20T00:00:00"/>
    <x v="8"/>
    <x v="7"/>
    <x v="2"/>
    <x v="1"/>
    <n v="1.95"/>
    <s v="&lt; 5kg"/>
    <n v="10"/>
    <n v="5"/>
    <x v="0"/>
    <n v="9000"/>
    <n v="17550"/>
    <s v="Ika Lestari"/>
    <s v="internal"/>
    <x v="0"/>
  </r>
  <r>
    <s v="SHP00160"/>
    <s v="EMP060"/>
    <x v="139"/>
    <d v="2024-04-19T00:00:00"/>
    <x v="9"/>
    <x v="2"/>
    <x v="1"/>
    <x v="0"/>
    <n v="8.11"/>
    <s v="&gt;5kg"/>
    <n v="1"/>
    <n v="1"/>
    <x v="1"/>
    <n v="12000"/>
    <n v="97320"/>
    <s v="Jamil Akbar"/>
    <s v="internal"/>
    <x v="1"/>
  </r>
  <r>
    <s v="SHP00161"/>
    <s v="EMP061"/>
    <x v="11"/>
    <d v="2024-08-20T00:00:00"/>
    <x v="0"/>
    <x v="1"/>
    <x v="0"/>
    <x v="0"/>
    <n v="3.61"/>
    <s v="&lt; 5kg"/>
    <n v="1"/>
    <n v="3"/>
    <x v="1"/>
    <n v="10000"/>
    <n v="36100"/>
    <s v="Kevin Sanjaya"/>
    <s v="crowd source"/>
    <x v="0"/>
  </r>
  <r>
    <s v="SHP00162"/>
    <s v="EMP062"/>
    <x v="140"/>
    <d v="2023-10-16T00:00:00"/>
    <x v="1"/>
    <x v="4"/>
    <x v="1"/>
    <x v="0"/>
    <n v="6.16"/>
    <s v="&gt;5kg"/>
    <n v="2"/>
    <n v="1"/>
    <x v="0"/>
    <n v="12000"/>
    <n v="73920"/>
    <s v="Laila Nuraini"/>
    <s v="internal"/>
    <x v="0"/>
  </r>
  <r>
    <s v="SHP00163"/>
    <s v="EMP063"/>
    <x v="65"/>
    <d v="2024-05-11T00:00:00"/>
    <x v="2"/>
    <x v="2"/>
    <x v="0"/>
    <x v="1"/>
    <n v="1.62"/>
    <s v="&lt; 5kg"/>
    <n v="1"/>
    <n v="3"/>
    <x v="1"/>
    <n v="10000"/>
    <n v="16200.000000000002"/>
    <s v="Miko Setiawan"/>
    <s v="crowd source"/>
    <x v="1"/>
  </r>
  <r>
    <s v="SHP00164"/>
    <s v="EMP064"/>
    <x v="141"/>
    <d v="2023-06-14T00:00:00"/>
    <x v="3"/>
    <x v="7"/>
    <x v="0"/>
    <x v="0"/>
    <n v="7.43"/>
    <s v="&gt;5kg"/>
    <n v="5"/>
    <n v="3"/>
    <x v="0"/>
    <n v="10000"/>
    <n v="74300"/>
    <s v="Nisa Aulia"/>
    <s v="internal"/>
    <x v="0"/>
  </r>
  <r>
    <s v="SHP00165"/>
    <s v="EMP065"/>
    <x v="142"/>
    <d v="2023-07-25T00:00:00"/>
    <x v="4"/>
    <x v="7"/>
    <x v="0"/>
    <x v="1"/>
    <n v="9.89"/>
    <s v="&gt;5kg"/>
    <n v="0"/>
    <n v="3"/>
    <x v="1"/>
    <n v="10000"/>
    <n v="98900"/>
    <s v="Oki Pramono"/>
    <s v="internal"/>
    <x v="1"/>
  </r>
  <r>
    <s v="SHP00166"/>
    <s v="EMP066"/>
    <x v="143"/>
    <d v="2024-03-22T00:00:00"/>
    <x v="5"/>
    <x v="4"/>
    <x v="0"/>
    <x v="1"/>
    <n v="5.79"/>
    <s v="&gt;5kg"/>
    <n v="6"/>
    <n v="3"/>
    <x v="0"/>
    <n v="10000"/>
    <n v="57900"/>
    <s v="Putra Mahendra"/>
    <s v="crowd source"/>
    <x v="0"/>
  </r>
  <r>
    <s v="SHP00167"/>
    <s v="EMP067"/>
    <x v="144"/>
    <d v="2023-12-11T00:00:00"/>
    <x v="6"/>
    <x v="1"/>
    <x v="0"/>
    <x v="1"/>
    <n v="3.23"/>
    <s v="&lt; 5kg"/>
    <n v="3"/>
    <n v="3"/>
    <x v="1"/>
    <n v="10000"/>
    <n v="32300"/>
    <s v="Qolbi Ramadhani"/>
    <s v="internal"/>
    <x v="0"/>
  </r>
  <r>
    <s v="SHP00168"/>
    <s v="EMP068"/>
    <x v="124"/>
    <d v="2023-11-23T00:00:00"/>
    <x v="7"/>
    <x v="2"/>
    <x v="0"/>
    <x v="0"/>
    <n v="5.32"/>
    <s v="&gt;5kg"/>
    <n v="0"/>
    <n v="3"/>
    <x v="1"/>
    <n v="10000"/>
    <n v="53200"/>
    <s v="Reza Firmansyah"/>
    <s v="crowd source"/>
    <x v="1"/>
  </r>
  <r>
    <s v="SHP00169"/>
    <s v="EMP069"/>
    <x v="145"/>
    <d v="2023-04-23T00:00:00"/>
    <x v="8"/>
    <x v="4"/>
    <x v="0"/>
    <x v="0"/>
    <n v="6.89"/>
    <s v="&gt;5kg"/>
    <n v="5"/>
    <n v="3"/>
    <x v="0"/>
    <n v="10000"/>
    <n v="68900"/>
    <s v="Siska Amelia"/>
    <s v="internal"/>
    <x v="0"/>
  </r>
  <r>
    <s v="SHP00170"/>
    <s v="EMP070"/>
    <x v="146"/>
    <d v="2023-01-15T00:00:00"/>
    <x v="9"/>
    <x v="5"/>
    <x v="0"/>
    <x v="0"/>
    <n v="1.45"/>
    <s v="&lt; 5kg"/>
    <n v="4"/>
    <n v="3"/>
    <x v="0"/>
    <n v="10000"/>
    <n v="14500"/>
    <s v="Tri Wibowo"/>
    <s v="internal"/>
    <x v="1"/>
  </r>
  <r>
    <s v="SHP00171"/>
    <s v="EMP071"/>
    <x v="147"/>
    <d v="2023-07-27T00:00:00"/>
    <x v="0"/>
    <x v="3"/>
    <x v="1"/>
    <x v="0"/>
    <n v="7.45"/>
    <s v="&gt;5kg"/>
    <n v="4"/>
    <n v="1"/>
    <x v="0"/>
    <n v="12000"/>
    <n v="89400"/>
    <s v="Ubay Prakoso"/>
    <s v="crowd source"/>
    <x v="0"/>
  </r>
  <r>
    <s v="SHP00172"/>
    <s v="EMP072"/>
    <x v="148"/>
    <d v="2023-03-13T00:00:00"/>
    <x v="1"/>
    <x v="7"/>
    <x v="0"/>
    <x v="1"/>
    <n v="7.03"/>
    <s v="&gt;5kg"/>
    <n v="4"/>
    <n v="3"/>
    <x v="0"/>
    <n v="10000"/>
    <n v="70300"/>
    <s v="Vania Putri"/>
    <s v="internal"/>
    <x v="0"/>
  </r>
  <r>
    <s v="SHP00173"/>
    <s v="EMP073"/>
    <x v="149"/>
    <d v="2024-05-13T00:00:00"/>
    <x v="2"/>
    <x v="4"/>
    <x v="0"/>
    <x v="1"/>
    <n v="7.34"/>
    <s v="&gt;5kg"/>
    <n v="1"/>
    <n v="3"/>
    <x v="1"/>
    <n v="10000"/>
    <n v="73400"/>
    <s v="Wira Nugraha"/>
    <s v="internal"/>
    <x v="1"/>
  </r>
  <r>
    <s v="SHP00174"/>
    <s v="EMP074"/>
    <x v="150"/>
    <d v="2024-02-12T00:00:00"/>
    <x v="3"/>
    <x v="8"/>
    <x v="1"/>
    <x v="0"/>
    <n v="0.97"/>
    <s v="&lt; 5kg"/>
    <n v="7"/>
    <n v="1"/>
    <x v="0"/>
    <n v="12000"/>
    <n v="11640"/>
    <s v="Xaverius Adi"/>
    <s v="crowd source"/>
    <x v="1"/>
  </r>
  <r>
    <s v="SHP00175"/>
    <s v="EMP075"/>
    <x v="99"/>
    <d v="2023-04-27T00:00:00"/>
    <x v="4"/>
    <x v="9"/>
    <x v="2"/>
    <x v="1"/>
    <n v="8.84"/>
    <s v="&gt;5kg"/>
    <n v="4"/>
    <n v="5"/>
    <x v="1"/>
    <n v="9000"/>
    <n v="79560"/>
    <s v="Yuliana Kartini"/>
    <s v="internal"/>
    <x v="0"/>
  </r>
  <r>
    <s v="SHP00176"/>
    <s v="EMP076"/>
    <x v="151"/>
    <d v="2023-06-11T00:00:00"/>
    <x v="5"/>
    <x v="5"/>
    <x v="2"/>
    <x v="1"/>
    <n v="5.81"/>
    <s v="&gt;5kg"/>
    <n v="4"/>
    <n v="5"/>
    <x v="1"/>
    <n v="9000"/>
    <n v="52290"/>
    <s v="Zaki Alamsyah"/>
    <s v="internal"/>
    <x v="0"/>
  </r>
  <r>
    <s v="SHP00177"/>
    <s v="EMP077"/>
    <x v="152"/>
    <d v="2023-02-21T00:00:00"/>
    <x v="6"/>
    <x v="1"/>
    <x v="1"/>
    <x v="0"/>
    <n v="1.91"/>
    <s v="&lt; 5kg"/>
    <n v="0"/>
    <n v="1"/>
    <x v="1"/>
    <n v="12000"/>
    <n v="22920"/>
    <s v="Arief Setyawan"/>
    <s v="crowd source"/>
    <x v="1"/>
  </r>
  <r>
    <s v="SHP00178"/>
    <s v="EMP078"/>
    <x v="153"/>
    <d v="2023-02-26T00:00:00"/>
    <x v="7"/>
    <x v="5"/>
    <x v="0"/>
    <x v="1"/>
    <n v="6.92"/>
    <s v="&gt;5kg"/>
    <n v="8"/>
    <n v="3"/>
    <x v="0"/>
    <n v="10000"/>
    <n v="69200"/>
    <s v="Bunga Cahyani"/>
    <s v="internal"/>
    <x v="0"/>
  </r>
  <r>
    <s v="SHP00179"/>
    <s v="EMP079"/>
    <x v="154"/>
    <d v="2025-01-03T00:00:00"/>
    <x v="8"/>
    <x v="6"/>
    <x v="0"/>
    <x v="0"/>
    <n v="10.16"/>
    <s v="&gt;5kg"/>
    <n v="11"/>
    <n v="3"/>
    <x v="0"/>
    <n v="10000"/>
    <n v="101600"/>
    <s v="Cahyo Prabowo"/>
    <s v="internal"/>
    <x v="1"/>
  </r>
  <r>
    <s v="SHP00180"/>
    <s v="EMP080"/>
    <x v="155"/>
    <d v="2024-06-14T00:00:00"/>
    <x v="9"/>
    <x v="8"/>
    <x v="2"/>
    <x v="0"/>
    <n v="4.24"/>
    <s v="&lt; 5kg"/>
    <n v="11"/>
    <n v="5"/>
    <x v="0"/>
    <n v="9000"/>
    <n v="38160"/>
    <s v="Diah Permata"/>
    <s v="crowd source"/>
    <x v="0"/>
  </r>
  <r>
    <s v="SHP00181"/>
    <s v="EMP081"/>
    <x v="156"/>
    <d v="2024-06-25T00:00:00"/>
    <x v="0"/>
    <x v="1"/>
    <x v="1"/>
    <x v="0"/>
    <n v="7.19"/>
    <s v="&gt;5kg"/>
    <n v="4"/>
    <n v="1"/>
    <x v="0"/>
    <n v="12000"/>
    <n v="86280"/>
    <s v="Evania Putri"/>
    <s v="internal"/>
    <x v="0"/>
  </r>
  <r>
    <s v="SHP00182"/>
    <s v="EMP082"/>
    <x v="157"/>
    <d v="2023-08-22T00:00:00"/>
    <x v="1"/>
    <x v="2"/>
    <x v="2"/>
    <x v="0"/>
    <n v="7.15"/>
    <s v="&gt;5kg"/>
    <n v="0"/>
    <n v="5"/>
    <x v="1"/>
    <n v="9000"/>
    <n v="64350"/>
    <s v="Fikri Ramadhan"/>
    <s v="crowd source"/>
    <x v="1"/>
  </r>
  <r>
    <s v="SHP00183"/>
    <s v="EMP083"/>
    <x v="85"/>
    <d v="2024-09-02T00:00:00"/>
    <x v="2"/>
    <x v="4"/>
    <x v="0"/>
    <x v="0"/>
    <n v="0.56000000000000005"/>
    <s v="&lt; 5kg"/>
    <n v="1"/>
    <n v="3"/>
    <x v="1"/>
    <n v="10000"/>
    <n v="5600.0000000000009"/>
    <s v="Gilang Ramli"/>
    <s v="internal"/>
    <x v="0"/>
  </r>
  <r>
    <s v="SHP00184"/>
    <s v="EMP084"/>
    <x v="146"/>
    <d v="2023-01-14T00:00:00"/>
    <x v="3"/>
    <x v="9"/>
    <x v="0"/>
    <x v="1"/>
    <n v="2.79"/>
    <s v="&lt; 5kg"/>
    <n v="3"/>
    <n v="3"/>
    <x v="1"/>
    <n v="10000"/>
    <n v="27900"/>
    <s v="Hana Zahra"/>
    <s v="internal"/>
    <x v="0"/>
  </r>
  <r>
    <s v="SHP00185"/>
    <s v="EMP085"/>
    <x v="12"/>
    <d v="2023-09-21T00:00:00"/>
    <x v="4"/>
    <x v="9"/>
    <x v="0"/>
    <x v="1"/>
    <n v="0.92"/>
    <s v="&lt; 5kg"/>
    <n v="8"/>
    <n v="3"/>
    <x v="0"/>
    <n v="10000"/>
    <n v="9200"/>
    <s v="Irfan Maulana"/>
    <s v="internal"/>
    <x v="1"/>
  </r>
  <r>
    <s v="SHP00186"/>
    <s v="EMP086"/>
    <x v="158"/>
    <d v="2023-03-27T00:00:00"/>
    <x v="5"/>
    <x v="5"/>
    <x v="2"/>
    <x v="0"/>
    <n v="1.43"/>
    <s v="&lt; 5kg"/>
    <n v="3"/>
    <n v="5"/>
    <x v="1"/>
    <n v="9000"/>
    <n v="12870"/>
    <s v="Jihan Salsabila"/>
    <s v="crowd source"/>
    <x v="0"/>
  </r>
  <r>
    <s v="SHP00187"/>
    <s v="EMP087"/>
    <x v="159"/>
    <d v="2023-09-19T00:00:00"/>
    <x v="6"/>
    <x v="6"/>
    <x v="0"/>
    <x v="1"/>
    <n v="5.86"/>
    <s v="&gt;5kg"/>
    <n v="10"/>
    <n v="3"/>
    <x v="0"/>
    <n v="10000"/>
    <n v="58600"/>
    <s v="Koko Santoso"/>
    <s v="internal"/>
    <x v="0"/>
  </r>
  <r>
    <s v="SHP00188"/>
    <s v="EMP088"/>
    <x v="160"/>
    <d v="2023-03-29T00:00:00"/>
    <x v="7"/>
    <x v="1"/>
    <x v="2"/>
    <x v="1"/>
    <n v="3.9"/>
    <s v="&lt; 5kg"/>
    <n v="0"/>
    <n v="5"/>
    <x v="1"/>
    <n v="9000"/>
    <n v="35100"/>
    <s v="Luthfi Hakim"/>
    <s v="crowd source"/>
    <x v="1"/>
  </r>
  <r>
    <s v="SHP00189"/>
    <s v="EMP089"/>
    <x v="161"/>
    <d v="2024-12-13T00:00:00"/>
    <x v="8"/>
    <x v="9"/>
    <x v="2"/>
    <x v="1"/>
    <n v="7.91"/>
    <s v="&gt;5kg"/>
    <n v="4"/>
    <n v="5"/>
    <x v="1"/>
    <n v="9000"/>
    <n v="71190"/>
    <s v="Melati Anggraini"/>
    <s v="internal"/>
    <x v="0"/>
  </r>
  <r>
    <s v="SHP00190"/>
    <s v="EMP090"/>
    <x v="162"/>
    <d v="2024-01-30T00:00:00"/>
    <x v="9"/>
    <x v="6"/>
    <x v="0"/>
    <x v="1"/>
    <n v="3.85"/>
    <s v="&lt; 5kg"/>
    <n v="3"/>
    <n v="3"/>
    <x v="1"/>
    <n v="10000"/>
    <n v="38500"/>
    <s v="Naufal Rizky"/>
    <s v="internal"/>
    <x v="1"/>
  </r>
  <r>
    <s v="SHP00191"/>
    <s v="EMP091"/>
    <x v="139"/>
    <d v="2024-04-22T00:00:00"/>
    <x v="0"/>
    <x v="6"/>
    <x v="0"/>
    <x v="0"/>
    <n v="8.0399999999999991"/>
    <s v="&gt;5kg"/>
    <n v="4"/>
    <n v="3"/>
    <x v="0"/>
    <n v="10000"/>
    <n v="80399.999999999985"/>
    <s v="Olin Febriani"/>
    <s v="crowd source"/>
    <x v="0"/>
  </r>
  <r>
    <s v="SHP00192"/>
    <s v="EMP092"/>
    <x v="163"/>
    <d v="2023-03-19T00:00:00"/>
    <x v="1"/>
    <x v="2"/>
    <x v="0"/>
    <x v="1"/>
    <n v="7.08"/>
    <s v="&gt;5kg"/>
    <n v="1"/>
    <n v="3"/>
    <x v="1"/>
    <n v="10000"/>
    <n v="70800"/>
    <s v="Praditya Wicaksono"/>
    <s v="internal"/>
    <x v="1"/>
  </r>
  <r>
    <s v="SHP00193"/>
    <s v="EMP093"/>
    <x v="164"/>
    <d v="2024-10-04T00:00:00"/>
    <x v="2"/>
    <x v="0"/>
    <x v="0"/>
    <x v="0"/>
    <n v="2.4"/>
    <s v="&lt; 5kg"/>
    <n v="9"/>
    <n v="3"/>
    <x v="0"/>
    <n v="10000"/>
    <n v="24000"/>
    <s v="Qory Azzahra"/>
    <s v="internal"/>
    <x v="0"/>
  </r>
  <r>
    <s v="SHP00194"/>
    <s v="EMP094"/>
    <x v="165"/>
    <d v="2024-04-06T00:00:00"/>
    <x v="3"/>
    <x v="1"/>
    <x v="1"/>
    <x v="1"/>
    <n v="4.1500000000000004"/>
    <s v="&lt; 5kg"/>
    <n v="0"/>
    <n v="1"/>
    <x v="1"/>
    <n v="12000"/>
    <n v="49800.000000000007"/>
    <s v="Rendi Saputra"/>
    <s v="crowd source"/>
    <x v="1"/>
  </r>
  <r>
    <s v="SHP00195"/>
    <s v="EMP095"/>
    <x v="166"/>
    <d v="2023-10-17T00:00:00"/>
    <x v="4"/>
    <x v="2"/>
    <x v="1"/>
    <x v="0"/>
    <n v="4.53"/>
    <s v="&lt; 5kg"/>
    <n v="1"/>
    <n v="1"/>
    <x v="1"/>
    <n v="12000"/>
    <n v="54360"/>
    <s v="Salma Nuraini"/>
    <s v="internal"/>
    <x v="0"/>
  </r>
  <r>
    <s v="SHP00196"/>
    <s v="EMP096"/>
    <x v="167"/>
    <d v="2024-01-06T00:00:00"/>
    <x v="5"/>
    <x v="4"/>
    <x v="0"/>
    <x v="1"/>
    <n v="7.61"/>
    <s v="&gt;5kg"/>
    <n v="11"/>
    <n v="3"/>
    <x v="0"/>
    <n v="10000"/>
    <n v="76100"/>
    <s v="Tegar Prakoso"/>
    <s v="internal"/>
    <x v="1"/>
  </r>
  <r>
    <s v="SHP00197"/>
    <s v="EMP097"/>
    <x v="168"/>
    <d v="2023-05-04T00:00:00"/>
    <x v="6"/>
    <x v="6"/>
    <x v="0"/>
    <x v="0"/>
    <n v="5.85"/>
    <s v="&gt;5kg"/>
    <n v="4"/>
    <n v="3"/>
    <x v="0"/>
    <n v="10000"/>
    <n v="58500"/>
    <s v="Ulfa Khairunnisa"/>
    <s v="crowd source"/>
    <x v="0"/>
  </r>
  <r>
    <s v="SHP00198"/>
    <s v="EMP098"/>
    <x v="169"/>
    <d v="2024-06-14T00:00:00"/>
    <x v="7"/>
    <x v="9"/>
    <x v="2"/>
    <x v="0"/>
    <n v="5.76"/>
    <s v="&gt;5kg"/>
    <n v="4"/>
    <n v="5"/>
    <x v="1"/>
    <n v="9000"/>
    <n v="51840"/>
    <s v="Vito Mahendra"/>
    <s v="internal"/>
    <x v="0"/>
  </r>
  <r>
    <s v="SHP00199"/>
    <s v="EMP099"/>
    <x v="170"/>
    <d v="2024-08-21T00:00:00"/>
    <x v="8"/>
    <x v="0"/>
    <x v="2"/>
    <x v="0"/>
    <n v="1.98"/>
    <s v="&lt; 5kg"/>
    <n v="4"/>
    <n v="5"/>
    <x v="1"/>
    <n v="9000"/>
    <n v="17820"/>
    <s v="Winda Sari"/>
    <s v="internal"/>
    <x v="0"/>
  </r>
  <r>
    <s v="SHP00200"/>
    <s v="EMP100"/>
    <x v="171"/>
    <d v="2023-08-29T00:00:00"/>
    <x v="9"/>
    <x v="5"/>
    <x v="0"/>
    <x v="1"/>
    <n v="1.82"/>
    <s v="&lt; 5kg"/>
    <n v="1"/>
    <n v="3"/>
    <x v="1"/>
    <n v="10000"/>
    <n v="18200"/>
    <s v="Yusuf Al Ghazali"/>
    <s v="crowd source"/>
    <x v="1"/>
  </r>
  <r>
    <s v="SHP00201"/>
    <s v="EMP001"/>
    <x v="172"/>
    <d v="2023-04-26T00:00:00"/>
    <x v="0"/>
    <x v="3"/>
    <x v="2"/>
    <x v="0"/>
    <n v="8.2899999999999991"/>
    <s v="&gt;5kg"/>
    <n v="4"/>
    <n v="5"/>
    <x v="1"/>
    <n v="9000"/>
    <n v="74609.999999999985"/>
    <s v="Andi Pratama"/>
    <s v="internal"/>
    <x v="0"/>
  </r>
  <r>
    <s v="SHP00202"/>
    <s v="EMP002"/>
    <x v="173"/>
    <d v="2024-12-19T00:00:00"/>
    <x v="1"/>
    <x v="4"/>
    <x v="0"/>
    <x v="1"/>
    <n v="0.69"/>
    <s v="&lt; 5kg"/>
    <n v="5"/>
    <n v="3"/>
    <x v="0"/>
    <n v="10000"/>
    <n v="6899.9999999999991"/>
    <s v="Budi Santoso"/>
    <s v="internal"/>
    <x v="1"/>
  </r>
  <r>
    <s v="SHP00203"/>
    <s v="EMP003"/>
    <x v="174"/>
    <d v="2024-11-25T00:00:00"/>
    <x v="2"/>
    <x v="9"/>
    <x v="1"/>
    <x v="0"/>
    <n v="10.37"/>
    <s v="&gt;5kg"/>
    <n v="3"/>
    <n v="1"/>
    <x v="0"/>
    <n v="12000"/>
    <n v="124439.99999999999"/>
    <s v="Citra Lestari"/>
    <s v="crowd source"/>
    <x v="0"/>
  </r>
  <r>
    <s v="SHP00204"/>
    <s v="EMP004"/>
    <x v="175"/>
    <d v="2023-01-04T00:00:00"/>
    <x v="3"/>
    <x v="0"/>
    <x v="0"/>
    <x v="1"/>
    <n v="8.81"/>
    <s v="&gt;5kg"/>
    <n v="2"/>
    <n v="3"/>
    <x v="1"/>
    <n v="10000"/>
    <n v="88100"/>
    <s v="Dedi Saputra"/>
    <s v="crowd source"/>
    <x v="1"/>
  </r>
  <r>
    <s v="SHP00205"/>
    <s v="EMP005"/>
    <x v="176"/>
    <d v="2024-09-24T00:00:00"/>
    <x v="4"/>
    <x v="3"/>
    <x v="1"/>
    <x v="1"/>
    <n v="2.29"/>
    <s v="&lt; 5kg"/>
    <n v="1"/>
    <n v="1"/>
    <x v="1"/>
    <n v="12000"/>
    <n v="27480"/>
    <s v="Eko Nugroho"/>
    <s v="internal"/>
    <x v="0"/>
  </r>
  <r>
    <s v="SHP00206"/>
    <s v="EMP006"/>
    <x v="177"/>
    <d v="2024-03-29T00:00:00"/>
    <x v="5"/>
    <x v="3"/>
    <x v="1"/>
    <x v="1"/>
    <n v="6.95"/>
    <s v="&gt;5kg"/>
    <n v="0"/>
    <n v="1"/>
    <x v="1"/>
    <n v="12000"/>
    <n v="83400"/>
    <s v="Fajar Hidayat"/>
    <s v="internal"/>
    <x v="1"/>
  </r>
  <r>
    <s v="SHP00207"/>
    <s v="EMP007"/>
    <x v="131"/>
    <d v="2023-02-25T00:00:00"/>
    <x v="6"/>
    <x v="9"/>
    <x v="2"/>
    <x v="1"/>
    <n v="4.8899999999999997"/>
    <s v="&lt; 5kg"/>
    <n v="6"/>
    <n v="5"/>
    <x v="0"/>
    <n v="9000"/>
    <n v="44010"/>
    <s v="Gita Rahmawati"/>
    <s v="crowd source"/>
    <x v="0"/>
  </r>
  <r>
    <s v="SHP00208"/>
    <s v="EMP008"/>
    <x v="178"/>
    <d v="2024-08-01T00:00:00"/>
    <x v="7"/>
    <x v="0"/>
    <x v="0"/>
    <x v="1"/>
    <n v="2.4300000000000002"/>
    <s v="&lt; 5kg"/>
    <n v="9"/>
    <n v="3"/>
    <x v="0"/>
    <n v="10000"/>
    <n v="24300"/>
    <s v="Hendra Wijaya"/>
    <s v="internal"/>
    <x v="1"/>
  </r>
  <r>
    <s v="SHP00209"/>
    <s v="EMP009"/>
    <x v="179"/>
    <d v="2024-05-24T00:00:00"/>
    <x v="8"/>
    <x v="3"/>
    <x v="0"/>
    <x v="0"/>
    <n v="2.2000000000000002"/>
    <s v="&lt; 5kg"/>
    <n v="0"/>
    <n v="3"/>
    <x v="1"/>
    <n v="10000"/>
    <n v="22000"/>
    <s v="Indah Permata"/>
    <s v="crowd source"/>
    <x v="0"/>
  </r>
  <r>
    <s v="SHP00210"/>
    <s v="EMP010"/>
    <x v="180"/>
    <d v="2023-12-29T00:00:00"/>
    <x v="9"/>
    <x v="9"/>
    <x v="2"/>
    <x v="1"/>
    <n v="7.64"/>
    <s v="&gt;5kg"/>
    <n v="2"/>
    <n v="5"/>
    <x v="1"/>
    <n v="9000"/>
    <n v="68760"/>
    <s v="Joko Susilo"/>
    <s v="internal"/>
    <x v="1"/>
  </r>
  <r>
    <s v="SHP00211"/>
    <s v="EMP011"/>
    <x v="181"/>
    <d v="2024-10-07T00:00:00"/>
    <x v="0"/>
    <x v="3"/>
    <x v="0"/>
    <x v="0"/>
    <n v="9.42"/>
    <s v="&gt;5kg"/>
    <n v="1"/>
    <n v="3"/>
    <x v="1"/>
    <n v="10000"/>
    <n v="94200"/>
    <s v="Kurniawan Putra"/>
    <s v="crowd source"/>
    <x v="1"/>
  </r>
  <r>
    <s v="SHP00212"/>
    <s v="EMP012"/>
    <x v="182"/>
    <d v="2023-05-27T00:00:00"/>
    <x v="1"/>
    <x v="1"/>
    <x v="0"/>
    <x v="1"/>
    <n v="3.02"/>
    <s v="&lt; 5kg"/>
    <n v="0"/>
    <n v="3"/>
    <x v="1"/>
    <n v="10000"/>
    <n v="30200"/>
    <s v="Lina Marlina"/>
    <s v="internal"/>
    <x v="0"/>
  </r>
  <r>
    <s v="SHP00213"/>
    <s v="EMP013"/>
    <x v="183"/>
    <d v="2023-11-20T00:00:00"/>
    <x v="2"/>
    <x v="7"/>
    <x v="0"/>
    <x v="1"/>
    <n v="4.59"/>
    <s v="&lt; 5kg"/>
    <n v="0"/>
    <n v="3"/>
    <x v="1"/>
    <n v="10000"/>
    <n v="45900"/>
    <s v="Rizky Ananda"/>
    <s v="crowd source"/>
    <x v="0"/>
  </r>
  <r>
    <s v="SHP00214"/>
    <s v="EMP014"/>
    <x v="184"/>
    <d v="2023-11-19T00:00:00"/>
    <x v="3"/>
    <x v="6"/>
    <x v="2"/>
    <x v="1"/>
    <n v="2.92"/>
    <s v="&lt; 5kg"/>
    <n v="5"/>
    <n v="5"/>
    <x v="1"/>
    <n v="9000"/>
    <n v="26280"/>
    <s v="Nanda Prakoso"/>
    <s v="internal"/>
    <x v="1"/>
  </r>
  <r>
    <s v="SHP00215"/>
    <s v="EMP015"/>
    <x v="185"/>
    <d v="2024-11-29T00:00:00"/>
    <x v="4"/>
    <x v="8"/>
    <x v="2"/>
    <x v="0"/>
    <n v="2.68"/>
    <s v="&lt; 5kg"/>
    <n v="5"/>
    <n v="5"/>
    <x v="1"/>
    <n v="9000"/>
    <n v="24120"/>
    <s v="Oktavian Yusuf"/>
    <s v="crowd source"/>
    <x v="1"/>
  </r>
  <r>
    <s v="SHP00216"/>
    <s v="EMP016"/>
    <x v="186"/>
    <d v="2023-07-27T00:00:00"/>
    <x v="5"/>
    <x v="5"/>
    <x v="1"/>
    <x v="0"/>
    <n v="6.49"/>
    <s v="&gt;5kg"/>
    <n v="5"/>
    <n v="1"/>
    <x v="0"/>
    <n v="12000"/>
    <n v="77880"/>
    <s v="Putri Ayu Lestari"/>
    <s v="internal"/>
    <x v="0"/>
  </r>
  <r>
    <s v="SHP00217"/>
    <s v="EMP017"/>
    <x v="187"/>
    <d v="2023-10-13T00:00:00"/>
    <x v="6"/>
    <x v="5"/>
    <x v="2"/>
    <x v="0"/>
    <n v="1.22"/>
    <s v="&lt; 5kg"/>
    <n v="2"/>
    <n v="5"/>
    <x v="1"/>
    <n v="9000"/>
    <n v="10980"/>
    <s v="Rafi Maulana"/>
    <s v="internal"/>
    <x v="0"/>
  </r>
  <r>
    <s v="SHP00218"/>
    <s v="EMP018"/>
    <x v="14"/>
    <d v="2024-01-26T00:00:00"/>
    <x v="7"/>
    <x v="0"/>
    <x v="0"/>
    <x v="0"/>
    <n v="2.6"/>
    <s v="&lt; 5kg"/>
    <n v="9"/>
    <n v="3"/>
    <x v="0"/>
    <n v="10000"/>
    <n v="26000"/>
    <s v="Sari Puspita"/>
    <s v="crowd source"/>
    <x v="0"/>
  </r>
  <r>
    <s v="SHP00219"/>
    <s v="EMP019"/>
    <x v="188"/>
    <d v="2023-04-19T00:00:00"/>
    <x v="8"/>
    <x v="6"/>
    <x v="0"/>
    <x v="0"/>
    <n v="9.2100000000000009"/>
    <s v="&gt;5kg"/>
    <n v="11"/>
    <n v="3"/>
    <x v="0"/>
    <n v="10000"/>
    <n v="92100.000000000015"/>
    <s v="Teguh Wibowo"/>
    <s v="internal"/>
    <x v="1"/>
  </r>
  <r>
    <s v="SHP00220"/>
    <s v="EMP020"/>
    <x v="189"/>
    <d v="2024-01-13T00:00:00"/>
    <x v="9"/>
    <x v="9"/>
    <x v="0"/>
    <x v="0"/>
    <n v="5"/>
    <s v="&gt;5kg"/>
    <n v="6"/>
    <n v="3"/>
    <x v="0"/>
    <n v="10000"/>
    <n v="50000"/>
    <s v="Umi Kalsum"/>
    <s v="crowd source"/>
    <x v="0"/>
  </r>
  <r>
    <s v="SHP00221"/>
    <s v="EMP021"/>
    <x v="190"/>
    <d v="2024-05-24T00:00:00"/>
    <x v="0"/>
    <x v="1"/>
    <x v="0"/>
    <x v="0"/>
    <n v="9.2100000000000009"/>
    <s v="&gt;5kg"/>
    <n v="4"/>
    <n v="3"/>
    <x v="0"/>
    <n v="10000"/>
    <n v="92100.000000000015"/>
    <s v="Vina Oktaviani"/>
    <s v="internal"/>
    <x v="0"/>
  </r>
  <r>
    <s v="SHP00222"/>
    <s v="EMP022"/>
    <x v="191"/>
    <d v="2023-12-26T00:00:00"/>
    <x v="1"/>
    <x v="3"/>
    <x v="0"/>
    <x v="1"/>
    <n v="7.38"/>
    <s v="&gt;5kg"/>
    <n v="1"/>
    <n v="3"/>
    <x v="1"/>
    <n v="10000"/>
    <n v="73800"/>
    <s v="Wahyu Setiawan"/>
    <s v="crowd source"/>
    <x v="1"/>
  </r>
  <r>
    <s v="SHP00223"/>
    <s v="EMP023"/>
    <x v="192"/>
    <d v="2024-07-25T00:00:00"/>
    <x v="2"/>
    <x v="9"/>
    <x v="0"/>
    <x v="0"/>
    <n v="5.21"/>
    <s v="&gt;5kg"/>
    <n v="4"/>
    <n v="3"/>
    <x v="0"/>
    <n v="10000"/>
    <n v="52100"/>
    <s v="Yogi Firmansyah"/>
    <s v="internal"/>
    <x v="1"/>
  </r>
  <r>
    <s v="SHP00224"/>
    <s v="EMP024"/>
    <x v="193"/>
    <d v="2023-03-16T00:00:00"/>
    <x v="3"/>
    <x v="6"/>
    <x v="0"/>
    <x v="1"/>
    <n v="7.61"/>
    <s v="&gt;5kg"/>
    <n v="1"/>
    <n v="3"/>
    <x v="1"/>
    <n v="10000"/>
    <n v="76100"/>
    <s v="Zainal Abidin"/>
    <s v="crowd source"/>
    <x v="1"/>
  </r>
  <r>
    <s v="SHP00225"/>
    <s v="EMP025"/>
    <x v="194"/>
    <d v="2024-03-18T00:00:00"/>
    <x v="4"/>
    <x v="8"/>
    <x v="0"/>
    <x v="0"/>
    <n v="8.3800000000000008"/>
    <s v="&gt;5kg"/>
    <n v="9"/>
    <n v="3"/>
    <x v="0"/>
    <n v="10000"/>
    <n v="83800.000000000015"/>
    <s v="Ahmad Fauzi"/>
    <s v="internal"/>
    <x v="0"/>
  </r>
  <r>
    <s v="SHP00226"/>
    <s v="EMP026"/>
    <x v="195"/>
    <d v="2024-01-25T00:00:00"/>
    <x v="5"/>
    <x v="4"/>
    <x v="2"/>
    <x v="1"/>
    <n v="7.65"/>
    <s v="&gt;5kg"/>
    <n v="4"/>
    <n v="5"/>
    <x v="1"/>
    <n v="9000"/>
    <n v="68850"/>
    <s v="Bayu Ramadhan"/>
    <s v="crowd source"/>
    <x v="0"/>
  </r>
  <r>
    <s v="SHP00227"/>
    <s v="EMP027"/>
    <x v="196"/>
    <d v="2023-04-23T00:00:00"/>
    <x v="6"/>
    <x v="8"/>
    <x v="2"/>
    <x v="0"/>
    <n v="6.71"/>
    <s v="&gt;5kg"/>
    <n v="4"/>
    <n v="5"/>
    <x v="1"/>
    <n v="9000"/>
    <n v="60390"/>
    <s v="Cindy Oktavia"/>
    <s v="internal"/>
    <x v="0"/>
  </r>
  <r>
    <s v="SHP00228"/>
    <s v="EMP028"/>
    <x v="75"/>
    <d v="2024-01-25T00:00:00"/>
    <x v="7"/>
    <x v="5"/>
    <x v="0"/>
    <x v="0"/>
    <n v="1.1299999999999999"/>
    <s v="&lt; 5kg"/>
    <n v="0"/>
    <n v="3"/>
    <x v="1"/>
    <n v="10000"/>
    <n v="11299.999999999998"/>
    <s v="Dian Pramudya"/>
    <s v="crowd source"/>
    <x v="1"/>
  </r>
  <r>
    <s v="SHP00229"/>
    <s v="EMP029"/>
    <x v="197"/>
    <d v="2023-10-12T00:00:00"/>
    <x v="8"/>
    <x v="5"/>
    <x v="2"/>
    <x v="0"/>
    <n v="9.06"/>
    <s v="&gt;5kg"/>
    <n v="2"/>
    <n v="5"/>
    <x v="1"/>
    <n v="9000"/>
    <n v="81540"/>
    <s v="Erwin Kurniawan"/>
    <s v="internal"/>
    <x v="1"/>
  </r>
  <r>
    <s v="SHP00230"/>
    <s v="EMP030"/>
    <x v="198"/>
    <d v="2023-05-25T00:00:00"/>
    <x v="9"/>
    <x v="7"/>
    <x v="0"/>
    <x v="0"/>
    <n v="9.6999999999999993"/>
    <s v="&gt;5kg"/>
    <n v="4"/>
    <n v="3"/>
    <x v="0"/>
    <n v="10000"/>
    <n v="97000"/>
    <s v="Fitri Handayani"/>
    <s v="crowd source"/>
    <x v="0"/>
  </r>
  <r>
    <s v="SHP00231"/>
    <s v="EMP031"/>
    <x v="199"/>
    <d v="2023-11-07T00:00:00"/>
    <x v="0"/>
    <x v="4"/>
    <x v="2"/>
    <x v="0"/>
    <n v="7.2"/>
    <s v="&gt;5kg"/>
    <n v="9"/>
    <n v="5"/>
    <x v="0"/>
    <n v="9000"/>
    <n v="64800"/>
    <s v="Gilang Saputra"/>
    <s v="internal"/>
    <x v="0"/>
  </r>
  <r>
    <s v="SHP00232"/>
    <s v="EMP032"/>
    <x v="63"/>
    <d v="2024-10-14T00:00:00"/>
    <x v="1"/>
    <x v="8"/>
    <x v="0"/>
    <x v="0"/>
    <n v="7.68"/>
    <s v="&gt;5kg"/>
    <n v="7"/>
    <n v="3"/>
    <x v="0"/>
    <n v="10000"/>
    <n v="76800"/>
    <s v="Hariyanto"/>
    <s v="crowd source"/>
    <x v="1"/>
  </r>
  <r>
    <s v="SHP00233"/>
    <s v="EMP033"/>
    <x v="200"/>
    <d v="2023-06-27T00:00:00"/>
    <x v="2"/>
    <x v="1"/>
    <x v="0"/>
    <x v="0"/>
    <n v="7.23"/>
    <s v="&gt;5kg"/>
    <n v="4"/>
    <n v="3"/>
    <x v="0"/>
    <n v="10000"/>
    <n v="72300"/>
    <s v="Intan Maharani"/>
    <s v="internal"/>
    <x v="0"/>
  </r>
  <r>
    <s v="SHP00234"/>
    <s v="EMP034"/>
    <x v="201"/>
    <d v="2025-01-01T00:00:00"/>
    <x v="3"/>
    <x v="0"/>
    <x v="0"/>
    <x v="1"/>
    <n v="0.66"/>
    <s v="&lt; 5kg"/>
    <n v="3"/>
    <n v="3"/>
    <x v="1"/>
    <n v="10000"/>
    <n v="6600"/>
    <s v="Jefri Alamsyah"/>
    <s v="internal"/>
    <x v="1"/>
  </r>
  <r>
    <s v="SHP00235"/>
    <s v="EMP035"/>
    <x v="202"/>
    <d v="2023-05-29T00:00:00"/>
    <x v="4"/>
    <x v="6"/>
    <x v="2"/>
    <x v="1"/>
    <n v="9.07"/>
    <s v="&gt;5kg"/>
    <n v="4"/>
    <n v="5"/>
    <x v="1"/>
    <n v="9000"/>
    <n v="81630"/>
    <s v="Kartika Sari"/>
    <s v="crowd source"/>
    <x v="0"/>
  </r>
  <r>
    <s v="SHP00236"/>
    <s v="EMP036"/>
    <x v="203"/>
    <d v="2023-02-27T00:00:00"/>
    <x v="5"/>
    <x v="8"/>
    <x v="0"/>
    <x v="1"/>
    <n v="4.59"/>
    <s v="&lt; 5kg"/>
    <n v="2"/>
    <n v="3"/>
    <x v="1"/>
    <n v="10000"/>
    <n v="45900"/>
    <s v="Lukman Hakim"/>
    <s v="internal"/>
    <x v="1"/>
  </r>
  <r>
    <s v="SHP00237"/>
    <s v="EMP037"/>
    <x v="204"/>
    <d v="2023-12-13T00:00:00"/>
    <x v="6"/>
    <x v="6"/>
    <x v="0"/>
    <x v="1"/>
    <n v="9.2899999999999991"/>
    <s v="&gt;5kg"/>
    <n v="4"/>
    <n v="3"/>
    <x v="0"/>
    <n v="10000"/>
    <n v="92899.999999999985"/>
    <s v="Mega Puspitasari"/>
    <s v="internal"/>
    <x v="0"/>
  </r>
  <r>
    <s v="SHP00238"/>
    <s v="EMP038"/>
    <x v="205"/>
    <d v="2024-06-30T00:00:00"/>
    <x v="7"/>
    <x v="0"/>
    <x v="2"/>
    <x v="1"/>
    <n v="7.59"/>
    <s v="&gt;5kg"/>
    <n v="11"/>
    <n v="5"/>
    <x v="0"/>
    <n v="9000"/>
    <n v="68310"/>
    <s v="Niko Prasetyo"/>
    <s v="crowd source"/>
    <x v="1"/>
  </r>
  <r>
    <s v="SHP00239"/>
    <s v="EMP039"/>
    <x v="206"/>
    <d v="2024-07-16T00:00:00"/>
    <x v="8"/>
    <x v="8"/>
    <x v="2"/>
    <x v="0"/>
    <n v="4.1500000000000004"/>
    <s v="&lt; 5kg"/>
    <n v="3"/>
    <n v="5"/>
    <x v="1"/>
    <n v="9000"/>
    <n v="37350"/>
    <s v="Olivia Putri"/>
    <s v="internal"/>
    <x v="0"/>
  </r>
  <r>
    <s v="SHP00240"/>
    <s v="EMP040"/>
    <x v="51"/>
    <d v="2024-11-02T00:00:00"/>
    <x v="9"/>
    <x v="5"/>
    <x v="1"/>
    <x v="0"/>
    <n v="9.99"/>
    <s v="&gt;5kg"/>
    <n v="4"/>
    <n v="1"/>
    <x v="0"/>
    <n v="12000"/>
    <n v="119880"/>
    <s v="Prasetyo Utomo"/>
    <s v="internal"/>
    <x v="1"/>
  </r>
  <r>
    <s v="SHP00241"/>
    <s v="EMP041"/>
    <x v="207"/>
    <d v="2024-12-10T00:00:00"/>
    <x v="0"/>
    <x v="3"/>
    <x v="0"/>
    <x v="0"/>
    <n v="1.57"/>
    <s v="&lt; 5kg"/>
    <n v="0"/>
    <n v="3"/>
    <x v="1"/>
    <n v="10000"/>
    <n v="15700"/>
    <s v="Qori Annisa"/>
    <s v="crowd source"/>
    <x v="0"/>
  </r>
  <r>
    <s v="SHP00242"/>
    <s v="EMP042"/>
    <x v="208"/>
    <d v="2024-09-19T00:00:00"/>
    <x v="1"/>
    <x v="2"/>
    <x v="1"/>
    <x v="0"/>
    <n v="4.0599999999999996"/>
    <s v="&lt; 5kg"/>
    <n v="0"/>
    <n v="1"/>
    <x v="1"/>
    <n v="12000"/>
    <n v="48719.999999999993"/>
    <s v="Rangga Saptonugroho"/>
    <s v="crowd source"/>
    <x v="1"/>
  </r>
  <r>
    <s v="SHP00243"/>
    <s v="EMP043"/>
    <x v="209"/>
    <d v="2024-05-06T00:00:00"/>
    <x v="2"/>
    <x v="8"/>
    <x v="0"/>
    <x v="1"/>
    <n v="6.14"/>
    <s v="&gt;5kg"/>
    <n v="4"/>
    <n v="3"/>
    <x v="0"/>
    <n v="10000"/>
    <n v="61400"/>
    <s v="Sinta Dewi"/>
    <s v="internal"/>
    <x v="0"/>
  </r>
  <r>
    <s v="SHP00244"/>
    <s v="EMP044"/>
    <x v="210"/>
    <d v="2023-06-26T00:00:00"/>
    <x v="3"/>
    <x v="0"/>
    <x v="0"/>
    <x v="1"/>
    <n v="10.48"/>
    <s v="&gt;5kg"/>
    <n v="8"/>
    <n v="3"/>
    <x v="0"/>
    <n v="10000"/>
    <n v="104800"/>
    <s v="Taufik Hidayat"/>
    <s v="internal"/>
    <x v="1"/>
  </r>
  <r>
    <s v="SHP00245"/>
    <s v="EMP045"/>
    <x v="162"/>
    <d v="2024-01-27T00:00:00"/>
    <x v="4"/>
    <x v="5"/>
    <x v="2"/>
    <x v="0"/>
    <n v="3.96"/>
    <s v="&lt; 5kg"/>
    <n v="0"/>
    <n v="5"/>
    <x v="1"/>
    <n v="9000"/>
    <n v="35640"/>
    <s v="Usman Ali"/>
    <s v="crowd source"/>
    <x v="0"/>
  </r>
  <r>
    <s v="SHP00246"/>
    <s v="EMP046"/>
    <x v="211"/>
    <d v="2023-02-23T00:00:00"/>
    <x v="5"/>
    <x v="2"/>
    <x v="1"/>
    <x v="1"/>
    <n v="1.31"/>
    <s v="&lt; 5kg"/>
    <n v="1"/>
    <n v="1"/>
    <x v="1"/>
    <n v="12000"/>
    <n v="15720"/>
    <s v="Vivi Lestari"/>
    <s v="internal"/>
    <x v="0"/>
  </r>
  <r>
    <s v="SHP00247"/>
    <s v="EMP047"/>
    <x v="212"/>
    <d v="2024-10-04T00:00:00"/>
    <x v="6"/>
    <x v="5"/>
    <x v="0"/>
    <x v="0"/>
    <n v="10.41"/>
    <s v="&gt;5kg"/>
    <n v="3"/>
    <n v="3"/>
    <x v="1"/>
    <n v="10000"/>
    <n v="104100"/>
    <s v="Wawan Setiabudi"/>
    <s v="internal"/>
    <x v="1"/>
  </r>
  <r>
    <s v="SHP00248"/>
    <s v="EMP048"/>
    <x v="213"/>
    <d v="2023-04-19T00:00:00"/>
    <x v="7"/>
    <x v="2"/>
    <x v="2"/>
    <x v="0"/>
    <n v="10.08"/>
    <s v="&gt;5kg"/>
    <n v="4"/>
    <n v="5"/>
    <x v="1"/>
    <n v="9000"/>
    <n v="90720"/>
    <s v="Xenia Maharani"/>
    <s v="crowd source"/>
    <x v="0"/>
  </r>
  <r>
    <s v="SHP00249"/>
    <s v="EMP049"/>
    <x v="214"/>
    <d v="2023-11-16T00:00:00"/>
    <x v="8"/>
    <x v="9"/>
    <x v="1"/>
    <x v="1"/>
    <n v="9.6199999999999992"/>
    <s v="&gt;5kg"/>
    <n v="7"/>
    <n v="1"/>
    <x v="0"/>
    <n v="12000"/>
    <n v="115439.99999999999"/>
    <s v="Yoga Pradana"/>
    <s v="internal"/>
    <x v="0"/>
  </r>
  <r>
    <s v="SHP00250"/>
    <s v="EMP050"/>
    <x v="215"/>
    <d v="2023-08-15T00:00:00"/>
    <x v="9"/>
    <x v="0"/>
    <x v="2"/>
    <x v="0"/>
    <n v="1.65"/>
    <s v="&lt; 5kg"/>
    <n v="7"/>
    <n v="5"/>
    <x v="0"/>
    <n v="9000"/>
    <n v="14850"/>
    <s v="Zulfikar Ramadhan"/>
    <s v="crowd source"/>
    <x v="1"/>
  </r>
  <r>
    <s v="SHP00251"/>
    <s v="EMP051"/>
    <x v="198"/>
    <d v="2023-05-25T00:00:00"/>
    <x v="0"/>
    <x v="7"/>
    <x v="0"/>
    <x v="1"/>
    <n v="7.7"/>
    <s v="&gt;5kg"/>
    <n v="4"/>
    <n v="3"/>
    <x v="0"/>
    <n v="10000"/>
    <n v="77000"/>
    <s v="Aditya Saputra"/>
    <s v="internal"/>
    <x v="0"/>
  </r>
  <r>
    <s v="SHP00252"/>
    <s v="EMP052"/>
    <x v="216"/>
    <d v="2024-09-03T00:00:00"/>
    <x v="1"/>
    <x v="5"/>
    <x v="2"/>
    <x v="0"/>
    <n v="8.9700000000000006"/>
    <s v="&gt;5kg"/>
    <n v="7"/>
    <n v="5"/>
    <x v="0"/>
    <n v="9000"/>
    <n v="80730"/>
    <s v="Bella Oktaviani"/>
    <s v="internal"/>
    <x v="0"/>
  </r>
  <r>
    <s v="SHP00253"/>
    <s v="EMP053"/>
    <x v="217"/>
    <d v="2023-02-06T00:00:00"/>
    <x v="2"/>
    <x v="8"/>
    <x v="0"/>
    <x v="0"/>
    <n v="2.5099999999999998"/>
    <s v="&lt; 5kg"/>
    <n v="2"/>
    <n v="3"/>
    <x v="1"/>
    <n v="10000"/>
    <n v="25099.999999999996"/>
    <s v="Chandra Wijaya"/>
    <s v="crowd source"/>
    <x v="1"/>
  </r>
  <r>
    <s v="SHP00254"/>
    <s v="EMP054"/>
    <x v="218"/>
    <d v="2023-05-15T00:00:00"/>
    <x v="3"/>
    <x v="9"/>
    <x v="1"/>
    <x v="1"/>
    <n v="8.6"/>
    <s v="&gt;5kg"/>
    <n v="4"/>
    <n v="1"/>
    <x v="0"/>
    <n v="12000"/>
    <n v="103200"/>
    <s v="Dewi Sartika"/>
    <s v="internal"/>
    <x v="0"/>
  </r>
  <r>
    <s v="SHP00255"/>
    <s v="EMP055"/>
    <x v="150"/>
    <d v="2024-02-05T00:00:00"/>
    <x v="4"/>
    <x v="3"/>
    <x v="1"/>
    <x v="0"/>
    <n v="1.67"/>
    <s v="&lt; 5kg"/>
    <n v="0"/>
    <n v="1"/>
    <x v="1"/>
    <n v="12000"/>
    <n v="20040"/>
    <s v="Edi Kurniawan"/>
    <s v="internal"/>
    <x v="1"/>
  </r>
  <r>
    <s v="SHP00256"/>
    <s v="EMP056"/>
    <x v="219"/>
    <d v="2023-11-26T00:00:00"/>
    <x v="5"/>
    <x v="9"/>
    <x v="2"/>
    <x v="0"/>
    <n v="8.1300000000000008"/>
    <s v="&gt;5kg"/>
    <n v="4"/>
    <n v="5"/>
    <x v="1"/>
    <n v="9000"/>
    <n v="73170"/>
    <s v="Farah Nabila"/>
    <s v="crowd source"/>
    <x v="0"/>
  </r>
  <r>
    <s v="SHP00257"/>
    <s v="EMP057"/>
    <x v="220"/>
    <d v="2023-01-31T00:00:00"/>
    <x v="6"/>
    <x v="9"/>
    <x v="1"/>
    <x v="1"/>
    <n v="2.13"/>
    <s v="&lt; 5kg"/>
    <n v="4"/>
    <n v="1"/>
    <x v="0"/>
    <n v="12000"/>
    <n v="25560"/>
    <s v="Galih Pratomo"/>
    <s v="internal"/>
    <x v="0"/>
  </r>
  <r>
    <s v="SHP00258"/>
    <s v="EMP058"/>
    <x v="221"/>
    <d v="2023-09-22T00:00:00"/>
    <x v="7"/>
    <x v="3"/>
    <x v="1"/>
    <x v="0"/>
    <n v="2.2400000000000002"/>
    <s v="&lt; 5kg"/>
    <n v="0"/>
    <n v="1"/>
    <x v="1"/>
    <n v="12000"/>
    <n v="26880.000000000004"/>
    <s v="Hadi Purnomo"/>
    <s v="crowd source"/>
    <x v="1"/>
  </r>
  <r>
    <s v="SHP00259"/>
    <s v="EMP059"/>
    <x v="222"/>
    <d v="2023-05-20T00:00:00"/>
    <x v="8"/>
    <x v="8"/>
    <x v="0"/>
    <x v="1"/>
    <n v="9.68"/>
    <s v="&gt;5kg"/>
    <n v="4"/>
    <n v="3"/>
    <x v="0"/>
    <n v="10000"/>
    <n v="96800"/>
    <s v="Ika Lestari"/>
    <s v="internal"/>
    <x v="0"/>
  </r>
  <r>
    <s v="SHP00260"/>
    <s v="EMP060"/>
    <x v="223"/>
    <d v="2024-04-25T00:00:00"/>
    <x v="9"/>
    <x v="4"/>
    <x v="2"/>
    <x v="1"/>
    <n v="7.09"/>
    <s v="&gt;5kg"/>
    <n v="2"/>
    <n v="5"/>
    <x v="1"/>
    <n v="9000"/>
    <n v="63810"/>
    <s v="Jamil Akbar"/>
    <s v="internal"/>
    <x v="1"/>
  </r>
  <r>
    <s v="SHP00261"/>
    <s v="EMP061"/>
    <x v="224"/>
    <d v="2023-11-07T00:00:00"/>
    <x v="0"/>
    <x v="5"/>
    <x v="1"/>
    <x v="0"/>
    <n v="8.8800000000000008"/>
    <s v="&gt;5kg"/>
    <n v="7"/>
    <n v="1"/>
    <x v="0"/>
    <n v="12000"/>
    <n v="106560.00000000001"/>
    <s v="Kevin Sanjaya"/>
    <s v="crowd source"/>
    <x v="0"/>
  </r>
  <r>
    <s v="SHP00262"/>
    <s v="EMP062"/>
    <x v="225"/>
    <d v="2024-01-28T00:00:00"/>
    <x v="1"/>
    <x v="2"/>
    <x v="1"/>
    <x v="1"/>
    <n v="2.16"/>
    <s v="&lt; 5kg"/>
    <n v="0"/>
    <n v="1"/>
    <x v="1"/>
    <n v="12000"/>
    <n v="25920"/>
    <s v="Laila Nuraini"/>
    <s v="internal"/>
    <x v="0"/>
  </r>
  <r>
    <s v="SHP00263"/>
    <s v="EMP063"/>
    <x v="226"/>
    <d v="2024-05-03T00:00:00"/>
    <x v="2"/>
    <x v="7"/>
    <x v="1"/>
    <x v="1"/>
    <n v="9.19"/>
    <s v="&gt;5kg"/>
    <n v="2"/>
    <n v="1"/>
    <x v="0"/>
    <n v="12000"/>
    <n v="110280"/>
    <s v="Miko Setiawan"/>
    <s v="crowd source"/>
    <x v="1"/>
  </r>
  <r>
    <s v="SHP00264"/>
    <s v="EMP064"/>
    <x v="227"/>
    <d v="2024-11-17T00:00:00"/>
    <x v="3"/>
    <x v="2"/>
    <x v="0"/>
    <x v="0"/>
    <n v="1.96"/>
    <s v="&lt; 5kg"/>
    <n v="1"/>
    <n v="3"/>
    <x v="1"/>
    <n v="10000"/>
    <n v="19600"/>
    <s v="Nisa Aulia"/>
    <s v="internal"/>
    <x v="0"/>
  </r>
  <r>
    <s v="SHP00265"/>
    <s v="EMP065"/>
    <x v="228"/>
    <d v="2023-01-31T00:00:00"/>
    <x v="4"/>
    <x v="7"/>
    <x v="0"/>
    <x v="0"/>
    <n v="5.88"/>
    <s v="&gt;5kg"/>
    <n v="8"/>
    <n v="3"/>
    <x v="0"/>
    <n v="10000"/>
    <n v="58800"/>
    <s v="Oki Pramono"/>
    <s v="internal"/>
    <x v="1"/>
  </r>
  <r>
    <s v="SHP00266"/>
    <s v="EMP066"/>
    <x v="70"/>
    <d v="2023-09-25T00:00:00"/>
    <x v="5"/>
    <x v="4"/>
    <x v="0"/>
    <x v="1"/>
    <n v="4.26"/>
    <s v="&lt; 5kg"/>
    <n v="4"/>
    <n v="3"/>
    <x v="0"/>
    <n v="10000"/>
    <n v="42600"/>
    <s v="Putra Mahendra"/>
    <s v="crowd source"/>
    <x v="0"/>
  </r>
  <r>
    <s v="SHP00267"/>
    <s v="EMP067"/>
    <x v="229"/>
    <d v="2024-05-02T00:00:00"/>
    <x v="6"/>
    <x v="6"/>
    <x v="1"/>
    <x v="1"/>
    <n v="10.11"/>
    <s v="&gt;5kg"/>
    <n v="2"/>
    <n v="1"/>
    <x v="0"/>
    <n v="12000"/>
    <n v="121320"/>
    <s v="Qolbi Ramadhani"/>
    <s v="internal"/>
    <x v="0"/>
  </r>
  <r>
    <s v="SHP00268"/>
    <s v="EMP068"/>
    <x v="230"/>
    <d v="2024-01-03T00:00:00"/>
    <x v="7"/>
    <x v="9"/>
    <x v="2"/>
    <x v="1"/>
    <n v="10.36"/>
    <s v="&gt;5kg"/>
    <n v="3"/>
    <n v="5"/>
    <x v="1"/>
    <n v="9000"/>
    <n v="93240"/>
    <s v="Reza Firmansyah"/>
    <s v="crowd source"/>
    <x v="1"/>
  </r>
  <r>
    <s v="SHP00269"/>
    <s v="EMP069"/>
    <x v="231"/>
    <d v="2024-11-15T00:00:00"/>
    <x v="8"/>
    <x v="2"/>
    <x v="1"/>
    <x v="0"/>
    <n v="5.56"/>
    <s v="&gt;5kg"/>
    <n v="4"/>
    <n v="1"/>
    <x v="0"/>
    <n v="12000"/>
    <n v="66720"/>
    <s v="Siska Amelia"/>
    <s v="internal"/>
    <x v="0"/>
  </r>
  <r>
    <s v="SHP00270"/>
    <s v="EMP070"/>
    <x v="218"/>
    <d v="2023-05-11T00:00:00"/>
    <x v="9"/>
    <x v="9"/>
    <x v="2"/>
    <x v="1"/>
    <n v="8.57"/>
    <s v="&gt;5kg"/>
    <n v="0"/>
    <n v="5"/>
    <x v="1"/>
    <n v="9000"/>
    <n v="77130"/>
    <s v="Tri Wibowo"/>
    <s v="internal"/>
    <x v="1"/>
  </r>
  <r>
    <s v="SHP00271"/>
    <s v="EMP071"/>
    <x v="22"/>
    <d v="2023-03-14T00:00:00"/>
    <x v="0"/>
    <x v="0"/>
    <x v="1"/>
    <x v="0"/>
    <n v="3.24"/>
    <s v="&lt; 5kg"/>
    <n v="0"/>
    <n v="1"/>
    <x v="1"/>
    <n v="12000"/>
    <n v="38880"/>
    <s v="Ubay Prakoso"/>
    <s v="crowd source"/>
    <x v="0"/>
  </r>
  <r>
    <s v="SHP00272"/>
    <s v="EMP072"/>
    <x v="178"/>
    <d v="2024-07-27T00:00:00"/>
    <x v="1"/>
    <x v="6"/>
    <x v="0"/>
    <x v="1"/>
    <n v="5.4"/>
    <s v="&gt;5kg"/>
    <n v="4"/>
    <n v="3"/>
    <x v="0"/>
    <n v="10000"/>
    <n v="54000"/>
    <s v="Vania Putri"/>
    <s v="internal"/>
    <x v="0"/>
  </r>
  <r>
    <s v="SHP00273"/>
    <s v="EMP073"/>
    <x v="232"/>
    <d v="2024-08-20T00:00:00"/>
    <x v="2"/>
    <x v="7"/>
    <x v="0"/>
    <x v="0"/>
    <n v="9.36"/>
    <s v="&gt;5kg"/>
    <n v="2"/>
    <n v="3"/>
    <x v="1"/>
    <n v="10000"/>
    <n v="93600"/>
    <s v="Wira Nugraha"/>
    <s v="internal"/>
    <x v="1"/>
  </r>
  <r>
    <s v="SHP00274"/>
    <s v="EMP074"/>
    <x v="233"/>
    <d v="2024-06-26T00:00:00"/>
    <x v="3"/>
    <x v="4"/>
    <x v="0"/>
    <x v="0"/>
    <n v="6.88"/>
    <s v="&gt;5kg"/>
    <n v="1"/>
    <n v="3"/>
    <x v="1"/>
    <n v="10000"/>
    <n v="68800"/>
    <s v="Xaverius Adi"/>
    <s v="crowd source"/>
    <x v="1"/>
  </r>
  <r>
    <s v="SHP00275"/>
    <s v="EMP075"/>
    <x v="8"/>
    <d v="2024-10-27T00:00:00"/>
    <x v="4"/>
    <x v="9"/>
    <x v="2"/>
    <x v="1"/>
    <n v="4.2"/>
    <s v="&lt; 5kg"/>
    <n v="2"/>
    <n v="5"/>
    <x v="1"/>
    <n v="9000"/>
    <n v="37800"/>
    <s v="Yuliana Kartini"/>
    <s v="internal"/>
    <x v="0"/>
  </r>
  <r>
    <s v="SHP00276"/>
    <s v="EMP076"/>
    <x v="234"/>
    <d v="2023-02-09T00:00:00"/>
    <x v="5"/>
    <x v="8"/>
    <x v="1"/>
    <x v="1"/>
    <n v="9.39"/>
    <s v="&gt;5kg"/>
    <n v="4"/>
    <n v="1"/>
    <x v="0"/>
    <n v="12000"/>
    <n v="112680"/>
    <s v="Zaki Alamsyah"/>
    <s v="internal"/>
    <x v="0"/>
  </r>
  <r>
    <s v="SHP00277"/>
    <s v="EMP077"/>
    <x v="125"/>
    <d v="2023-06-28T00:00:00"/>
    <x v="6"/>
    <x v="9"/>
    <x v="2"/>
    <x v="0"/>
    <n v="8.41"/>
    <s v="&gt;5kg"/>
    <n v="2"/>
    <n v="5"/>
    <x v="1"/>
    <n v="9000"/>
    <n v="75690"/>
    <s v="Arief Setyawan"/>
    <s v="crowd source"/>
    <x v="1"/>
  </r>
  <r>
    <s v="SHP00278"/>
    <s v="EMP078"/>
    <x v="215"/>
    <d v="2023-08-09T00:00:00"/>
    <x v="7"/>
    <x v="6"/>
    <x v="0"/>
    <x v="0"/>
    <n v="1.54"/>
    <s v="&lt; 5kg"/>
    <n v="1"/>
    <n v="3"/>
    <x v="1"/>
    <n v="10000"/>
    <n v="15400"/>
    <s v="Bunga Cahyani"/>
    <s v="internal"/>
    <x v="0"/>
  </r>
  <r>
    <s v="SHP00279"/>
    <s v="EMP079"/>
    <x v="57"/>
    <d v="2024-10-18T00:00:00"/>
    <x v="8"/>
    <x v="2"/>
    <x v="1"/>
    <x v="0"/>
    <n v="9.09"/>
    <s v="&gt;5kg"/>
    <n v="0"/>
    <n v="1"/>
    <x v="1"/>
    <n v="12000"/>
    <n v="109080"/>
    <s v="Cahyo Prabowo"/>
    <s v="internal"/>
    <x v="1"/>
  </r>
  <r>
    <s v="SHP00280"/>
    <s v="EMP080"/>
    <x v="235"/>
    <d v="2024-01-17T00:00:00"/>
    <x v="9"/>
    <x v="7"/>
    <x v="0"/>
    <x v="0"/>
    <n v="6.19"/>
    <s v="&gt;5kg"/>
    <n v="4"/>
    <n v="3"/>
    <x v="0"/>
    <n v="10000"/>
    <n v="61900.000000000007"/>
    <s v="Diah Permata"/>
    <s v="crowd source"/>
    <x v="0"/>
  </r>
  <r>
    <s v="SHP00281"/>
    <s v="EMP081"/>
    <x v="236"/>
    <d v="2024-07-07T00:00:00"/>
    <x v="0"/>
    <x v="6"/>
    <x v="2"/>
    <x v="0"/>
    <n v="6.27"/>
    <s v="&gt;5kg"/>
    <n v="4"/>
    <n v="5"/>
    <x v="1"/>
    <n v="9000"/>
    <n v="56429.999999999993"/>
    <s v="Evania Putri"/>
    <s v="internal"/>
    <x v="0"/>
  </r>
  <r>
    <s v="SHP00282"/>
    <s v="EMP082"/>
    <x v="237"/>
    <d v="2023-05-13T00:00:00"/>
    <x v="1"/>
    <x v="0"/>
    <x v="0"/>
    <x v="0"/>
    <n v="10.36"/>
    <s v="&gt;5kg"/>
    <n v="6"/>
    <n v="3"/>
    <x v="0"/>
    <n v="10000"/>
    <n v="103600"/>
    <s v="Fikri Ramadhan"/>
    <s v="crowd source"/>
    <x v="1"/>
  </r>
  <r>
    <s v="SHP00283"/>
    <s v="EMP083"/>
    <x v="238"/>
    <d v="2024-10-28T00:00:00"/>
    <x v="2"/>
    <x v="8"/>
    <x v="0"/>
    <x v="0"/>
    <n v="9.5399999999999991"/>
    <s v="&gt;5kg"/>
    <n v="8"/>
    <n v="3"/>
    <x v="0"/>
    <n v="10000"/>
    <n v="95399.999999999985"/>
    <s v="Gilang Ramli"/>
    <s v="internal"/>
    <x v="0"/>
  </r>
  <r>
    <s v="SHP00284"/>
    <s v="EMP084"/>
    <x v="239"/>
    <d v="2024-02-10T00:00:00"/>
    <x v="3"/>
    <x v="4"/>
    <x v="0"/>
    <x v="0"/>
    <n v="9.56"/>
    <s v="&gt;5kg"/>
    <n v="4"/>
    <n v="3"/>
    <x v="0"/>
    <n v="10000"/>
    <n v="95600"/>
    <s v="Hana Zahra"/>
    <s v="internal"/>
    <x v="0"/>
  </r>
  <r>
    <s v="SHP00285"/>
    <s v="EMP085"/>
    <x v="240"/>
    <d v="2023-12-11T00:00:00"/>
    <x v="4"/>
    <x v="4"/>
    <x v="0"/>
    <x v="1"/>
    <n v="2.34"/>
    <s v="&lt; 5kg"/>
    <n v="0"/>
    <n v="3"/>
    <x v="1"/>
    <n v="10000"/>
    <n v="23400"/>
    <s v="Irfan Maulana"/>
    <s v="internal"/>
    <x v="1"/>
  </r>
  <r>
    <s v="SHP00286"/>
    <s v="EMP086"/>
    <x v="241"/>
    <d v="2024-11-24T00:00:00"/>
    <x v="5"/>
    <x v="1"/>
    <x v="1"/>
    <x v="1"/>
    <n v="10.49"/>
    <s v="&gt;5kg"/>
    <n v="4"/>
    <n v="1"/>
    <x v="0"/>
    <n v="12000"/>
    <n v="125880"/>
    <s v="Jihan Salsabila"/>
    <s v="crowd source"/>
    <x v="0"/>
  </r>
  <r>
    <s v="SHP00287"/>
    <s v="EMP087"/>
    <x v="242"/>
    <d v="2024-09-04T00:00:00"/>
    <x v="6"/>
    <x v="3"/>
    <x v="2"/>
    <x v="0"/>
    <n v="3.09"/>
    <s v="&lt; 5kg"/>
    <n v="2"/>
    <n v="5"/>
    <x v="1"/>
    <n v="9000"/>
    <n v="27810"/>
    <s v="Koko Santoso"/>
    <s v="internal"/>
    <x v="0"/>
  </r>
  <r>
    <s v="SHP00288"/>
    <s v="EMP088"/>
    <x v="33"/>
    <d v="2024-10-04T00:00:00"/>
    <x v="7"/>
    <x v="4"/>
    <x v="0"/>
    <x v="0"/>
    <n v="3.19"/>
    <s v="&lt; 5kg"/>
    <n v="6"/>
    <n v="3"/>
    <x v="0"/>
    <n v="10000"/>
    <n v="31900"/>
    <s v="Luthfi Hakim"/>
    <s v="crowd source"/>
    <x v="1"/>
  </r>
  <r>
    <s v="SHP00289"/>
    <s v="EMP089"/>
    <x v="150"/>
    <d v="2024-02-09T00:00:00"/>
    <x v="8"/>
    <x v="4"/>
    <x v="0"/>
    <x v="1"/>
    <n v="8.98"/>
    <s v="&gt;5kg"/>
    <n v="4"/>
    <n v="3"/>
    <x v="0"/>
    <n v="10000"/>
    <n v="89800"/>
    <s v="Melati Anggraini"/>
    <s v="internal"/>
    <x v="0"/>
  </r>
  <r>
    <s v="SHP00290"/>
    <s v="EMP090"/>
    <x v="243"/>
    <d v="2023-01-24T00:00:00"/>
    <x v="9"/>
    <x v="6"/>
    <x v="2"/>
    <x v="0"/>
    <n v="10.32"/>
    <s v="&gt;5kg"/>
    <n v="5"/>
    <n v="5"/>
    <x v="1"/>
    <n v="9000"/>
    <n v="92880"/>
    <s v="Naufal Rizky"/>
    <s v="internal"/>
    <x v="1"/>
  </r>
  <r>
    <s v="SHP00291"/>
    <s v="EMP091"/>
    <x v="244"/>
    <d v="2024-07-11T00:00:00"/>
    <x v="0"/>
    <x v="4"/>
    <x v="1"/>
    <x v="1"/>
    <n v="6.67"/>
    <s v="&gt;5kg"/>
    <n v="4"/>
    <n v="1"/>
    <x v="0"/>
    <n v="12000"/>
    <n v="80040"/>
    <s v="Olin Febriani"/>
    <s v="crowd source"/>
    <x v="0"/>
  </r>
  <r>
    <s v="SHP00292"/>
    <s v="EMP092"/>
    <x v="245"/>
    <d v="2024-11-05T00:00:00"/>
    <x v="1"/>
    <x v="3"/>
    <x v="2"/>
    <x v="0"/>
    <n v="4.6500000000000004"/>
    <s v="&lt; 5kg"/>
    <n v="1"/>
    <n v="5"/>
    <x v="1"/>
    <n v="9000"/>
    <n v="41850"/>
    <s v="Praditya Wicaksono"/>
    <s v="internal"/>
    <x v="1"/>
  </r>
  <r>
    <s v="SHP00293"/>
    <s v="EMP093"/>
    <x v="246"/>
    <d v="2025-01-04T00:00:00"/>
    <x v="2"/>
    <x v="4"/>
    <x v="0"/>
    <x v="0"/>
    <n v="6.98"/>
    <s v="&gt;5kg"/>
    <n v="8"/>
    <n v="3"/>
    <x v="0"/>
    <n v="10000"/>
    <n v="69800"/>
    <s v="Qory Azzahra"/>
    <s v="internal"/>
    <x v="0"/>
  </r>
  <r>
    <s v="SHP00294"/>
    <s v="EMP094"/>
    <x v="247"/>
    <d v="2023-11-28T00:00:00"/>
    <x v="3"/>
    <x v="2"/>
    <x v="1"/>
    <x v="0"/>
    <n v="6.73"/>
    <s v="&gt;5kg"/>
    <n v="0"/>
    <n v="1"/>
    <x v="1"/>
    <n v="12000"/>
    <n v="80760"/>
    <s v="Rendi Saputra"/>
    <s v="crowd source"/>
    <x v="1"/>
  </r>
  <r>
    <s v="SHP00295"/>
    <s v="EMP095"/>
    <x v="248"/>
    <d v="2023-03-02T00:00:00"/>
    <x v="4"/>
    <x v="3"/>
    <x v="1"/>
    <x v="0"/>
    <n v="2.6"/>
    <s v="&lt; 5kg"/>
    <n v="1"/>
    <n v="1"/>
    <x v="1"/>
    <n v="12000"/>
    <n v="31200"/>
    <s v="Salma Nuraini"/>
    <s v="internal"/>
    <x v="0"/>
  </r>
  <r>
    <s v="SHP00296"/>
    <s v="EMP096"/>
    <x v="249"/>
    <d v="2024-01-16T00:00:00"/>
    <x v="5"/>
    <x v="2"/>
    <x v="0"/>
    <x v="1"/>
    <n v="7.85"/>
    <s v="&gt;5kg"/>
    <n v="1"/>
    <n v="3"/>
    <x v="1"/>
    <n v="10000"/>
    <n v="78500"/>
    <s v="Tegar Prakoso"/>
    <s v="internal"/>
    <x v="1"/>
  </r>
  <r>
    <s v="SHP00297"/>
    <s v="EMP097"/>
    <x v="106"/>
    <d v="2023-02-16T00:00:00"/>
    <x v="6"/>
    <x v="2"/>
    <x v="0"/>
    <x v="0"/>
    <n v="8.16"/>
    <s v="&gt;5kg"/>
    <n v="4"/>
    <n v="3"/>
    <x v="0"/>
    <n v="10000"/>
    <n v="81600"/>
    <s v="Ulfa Khairunnisa"/>
    <s v="crowd source"/>
    <x v="0"/>
  </r>
  <r>
    <s v="SHP00298"/>
    <s v="EMP098"/>
    <x v="250"/>
    <d v="2024-04-13T00:00:00"/>
    <x v="7"/>
    <x v="6"/>
    <x v="0"/>
    <x v="1"/>
    <n v="3.97"/>
    <s v="&lt; 5kg"/>
    <n v="1"/>
    <n v="3"/>
    <x v="1"/>
    <n v="10000"/>
    <n v="39700"/>
    <s v="Vito Mahendra"/>
    <s v="internal"/>
    <x v="0"/>
  </r>
  <r>
    <s v="SHP00299"/>
    <s v="EMP099"/>
    <x v="251"/>
    <d v="2024-07-02T00:00:00"/>
    <x v="8"/>
    <x v="5"/>
    <x v="2"/>
    <x v="1"/>
    <n v="3.64"/>
    <s v="&lt; 5kg"/>
    <n v="8"/>
    <n v="5"/>
    <x v="0"/>
    <n v="9000"/>
    <n v="32760"/>
    <s v="Winda Sari"/>
    <s v="internal"/>
    <x v="0"/>
  </r>
  <r>
    <s v="SHP00300"/>
    <s v="EMP100"/>
    <x v="252"/>
    <d v="2024-11-15T00:00:00"/>
    <x v="9"/>
    <x v="5"/>
    <x v="1"/>
    <x v="1"/>
    <n v="3.26"/>
    <s v="&lt; 5kg"/>
    <n v="6"/>
    <n v="1"/>
    <x v="0"/>
    <n v="12000"/>
    <n v="39120"/>
    <s v="Yusuf Al Ghazali"/>
    <s v="crowd source"/>
    <x v="1"/>
  </r>
  <r>
    <s v="SHP00301"/>
    <s v="EMP001"/>
    <x v="253"/>
    <d v="2023-05-26T00:00:00"/>
    <x v="0"/>
    <x v="5"/>
    <x v="2"/>
    <x v="1"/>
    <n v="6.26"/>
    <s v="&gt;5kg"/>
    <n v="4"/>
    <n v="5"/>
    <x v="1"/>
    <n v="9000"/>
    <n v="56340"/>
    <s v="Andi Pratama"/>
    <s v="internal"/>
    <x v="0"/>
  </r>
  <r>
    <s v="SHP00302"/>
    <s v="EMP002"/>
    <x v="136"/>
    <d v="2024-12-12T00:00:00"/>
    <x v="1"/>
    <x v="9"/>
    <x v="1"/>
    <x v="1"/>
    <n v="6.94"/>
    <s v="&gt;5kg"/>
    <n v="1"/>
    <n v="1"/>
    <x v="1"/>
    <n v="12000"/>
    <n v="83280"/>
    <s v="Budi Santoso"/>
    <s v="internal"/>
    <x v="1"/>
  </r>
  <r>
    <s v="SHP00303"/>
    <s v="EMP003"/>
    <x v="254"/>
    <d v="2024-07-26T00:00:00"/>
    <x v="2"/>
    <x v="8"/>
    <x v="2"/>
    <x v="0"/>
    <n v="3.88"/>
    <s v="&lt; 5kg"/>
    <n v="2"/>
    <n v="5"/>
    <x v="1"/>
    <n v="9000"/>
    <n v="34920"/>
    <s v="Citra Lestari"/>
    <s v="crowd source"/>
    <x v="0"/>
  </r>
  <r>
    <s v="SHP00304"/>
    <s v="EMP004"/>
    <x v="255"/>
    <d v="2023-07-09T00:00:00"/>
    <x v="3"/>
    <x v="6"/>
    <x v="0"/>
    <x v="1"/>
    <n v="9.68"/>
    <s v="&gt;5kg"/>
    <n v="2"/>
    <n v="3"/>
    <x v="1"/>
    <n v="10000"/>
    <n v="96800"/>
    <s v="Dedi Saputra"/>
    <s v="crowd source"/>
    <x v="1"/>
  </r>
  <r>
    <s v="SHP00305"/>
    <s v="EMP005"/>
    <x v="256"/>
    <d v="2023-05-09T00:00:00"/>
    <x v="4"/>
    <x v="5"/>
    <x v="2"/>
    <x v="0"/>
    <n v="9.06"/>
    <s v="&gt;5kg"/>
    <n v="7"/>
    <n v="5"/>
    <x v="0"/>
    <n v="9000"/>
    <n v="81540"/>
    <s v="Eko Nugroho"/>
    <s v="internal"/>
    <x v="0"/>
  </r>
  <r>
    <s v="SHP00306"/>
    <s v="EMP006"/>
    <x v="179"/>
    <d v="2024-05-29T00:00:00"/>
    <x v="5"/>
    <x v="4"/>
    <x v="1"/>
    <x v="1"/>
    <n v="6.57"/>
    <s v="&gt;5kg"/>
    <n v="5"/>
    <n v="1"/>
    <x v="0"/>
    <n v="12000"/>
    <n v="78840"/>
    <s v="Fajar Hidayat"/>
    <s v="internal"/>
    <x v="1"/>
  </r>
  <r>
    <s v="SHP00307"/>
    <s v="EMP007"/>
    <x v="196"/>
    <d v="2023-04-29T00:00:00"/>
    <x v="6"/>
    <x v="7"/>
    <x v="1"/>
    <x v="1"/>
    <n v="0.97"/>
    <s v="&lt; 5kg"/>
    <n v="10"/>
    <n v="1"/>
    <x v="0"/>
    <n v="12000"/>
    <n v="11640"/>
    <s v="Gita Rahmawati"/>
    <s v="crowd source"/>
    <x v="0"/>
  </r>
  <r>
    <s v="SHP00308"/>
    <s v="EMP008"/>
    <x v="257"/>
    <d v="2024-08-17T00:00:00"/>
    <x v="7"/>
    <x v="8"/>
    <x v="0"/>
    <x v="0"/>
    <n v="5.52"/>
    <s v="&gt;5kg"/>
    <n v="10"/>
    <n v="3"/>
    <x v="0"/>
    <n v="10000"/>
    <n v="55199.999999999993"/>
    <s v="Hendra Wijaya"/>
    <s v="internal"/>
    <x v="1"/>
  </r>
  <r>
    <s v="SHP00309"/>
    <s v="EMP009"/>
    <x v="258"/>
    <d v="2023-10-03T00:00:00"/>
    <x v="8"/>
    <x v="4"/>
    <x v="2"/>
    <x v="0"/>
    <n v="4.5199999999999996"/>
    <s v="&lt; 5kg"/>
    <n v="9"/>
    <n v="5"/>
    <x v="0"/>
    <n v="9000"/>
    <n v="40679.999999999993"/>
    <s v="Indah Permata"/>
    <s v="crowd source"/>
    <x v="0"/>
  </r>
  <r>
    <s v="SHP00310"/>
    <s v="EMP010"/>
    <x v="150"/>
    <d v="2024-02-05T00:00:00"/>
    <x v="9"/>
    <x v="4"/>
    <x v="0"/>
    <x v="1"/>
    <n v="4.17"/>
    <s v="&lt; 5kg"/>
    <n v="0"/>
    <n v="3"/>
    <x v="1"/>
    <n v="10000"/>
    <n v="41700"/>
    <s v="Joko Susilo"/>
    <s v="internal"/>
    <x v="1"/>
  </r>
  <r>
    <s v="SHP00311"/>
    <s v="EMP011"/>
    <x v="259"/>
    <d v="2024-09-13T00:00:00"/>
    <x v="0"/>
    <x v="4"/>
    <x v="0"/>
    <x v="1"/>
    <n v="10.48"/>
    <s v="&gt;5kg"/>
    <n v="2"/>
    <n v="3"/>
    <x v="1"/>
    <n v="10000"/>
    <n v="104800"/>
    <s v="Kurniawan Putra"/>
    <s v="crowd source"/>
    <x v="1"/>
  </r>
  <r>
    <s v="SHP00312"/>
    <s v="EMP012"/>
    <x v="260"/>
    <d v="2024-11-30T00:00:00"/>
    <x v="1"/>
    <x v="1"/>
    <x v="1"/>
    <x v="1"/>
    <n v="5.14"/>
    <s v="&gt;5kg"/>
    <n v="4"/>
    <n v="1"/>
    <x v="0"/>
    <n v="12000"/>
    <n v="61679.999999999993"/>
    <s v="Lina Marlina"/>
    <s v="internal"/>
    <x v="0"/>
  </r>
  <r>
    <s v="SHP00313"/>
    <s v="EMP013"/>
    <x v="261"/>
    <d v="2023-09-15T00:00:00"/>
    <x v="2"/>
    <x v="5"/>
    <x v="2"/>
    <x v="1"/>
    <n v="9.93"/>
    <s v="&gt;5kg"/>
    <n v="4"/>
    <n v="5"/>
    <x v="1"/>
    <n v="9000"/>
    <n v="89370"/>
    <s v="Rizky Ananda"/>
    <s v="crowd source"/>
    <x v="0"/>
  </r>
  <r>
    <s v="SHP00314"/>
    <s v="EMP014"/>
    <x v="262"/>
    <d v="2023-08-23T00:00:00"/>
    <x v="3"/>
    <x v="4"/>
    <x v="1"/>
    <x v="1"/>
    <n v="5.31"/>
    <s v="&gt;5kg"/>
    <n v="8"/>
    <n v="1"/>
    <x v="0"/>
    <n v="12000"/>
    <n v="63719.999999999993"/>
    <s v="Nanda Prakoso"/>
    <s v="internal"/>
    <x v="1"/>
  </r>
  <r>
    <s v="SHP00315"/>
    <s v="EMP015"/>
    <x v="263"/>
    <d v="2024-04-13T00:00:00"/>
    <x v="4"/>
    <x v="7"/>
    <x v="0"/>
    <x v="1"/>
    <n v="8.74"/>
    <s v="&gt;5kg"/>
    <n v="2"/>
    <n v="3"/>
    <x v="1"/>
    <n v="10000"/>
    <n v="87400"/>
    <s v="Oktavian Yusuf"/>
    <s v="crowd source"/>
    <x v="1"/>
  </r>
  <r>
    <s v="SHP00316"/>
    <s v="EMP016"/>
    <x v="264"/>
    <d v="2023-10-17T00:00:00"/>
    <x v="5"/>
    <x v="7"/>
    <x v="0"/>
    <x v="1"/>
    <n v="6.16"/>
    <s v="&gt;5kg"/>
    <n v="4"/>
    <n v="3"/>
    <x v="0"/>
    <n v="10000"/>
    <n v="61600"/>
    <s v="Putri Ayu Lestari"/>
    <s v="internal"/>
    <x v="0"/>
  </r>
  <r>
    <s v="SHP00317"/>
    <s v="EMP017"/>
    <x v="19"/>
    <d v="2023-08-03T00:00:00"/>
    <x v="6"/>
    <x v="3"/>
    <x v="2"/>
    <x v="1"/>
    <n v="8.4700000000000006"/>
    <s v="&gt;5kg"/>
    <n v="4"/>
    <n v="5"/>
    <x v="1"/>
    <n v="9000"/>
    <n v="76230"/>
    <s v="Rafi Maulana"/>
    <s v="internal"/>
    <x v="0"/>
  </r>
  <r>
    <s v="SHP00318"/>
    <s v="EMP018"/>
    <x v="265"/>
    <d v="2023-08-14T00:00:00"/>
    <x v="7"/>
    <x v="7"/>
    <x v="0"/>
    <x v="0"/>
    <n v="8.34"/>
    <s v="&gt;5kg"/>
    <n v="4"/>
    <n v="3"/>
    <x v="0"/>
    <n v="10000"/>
    <n v="83400"/>
    <s v="Sari Puspita"/>
    <s v="crowd source"/>
    <x v="0"/>
  </r>
  <r>
    <s v="SHP00319"/>
    <s v="EMP019"/>
    <x v="266"/>
    <d v="2024-02-15T00:00:00"/>
    <x v="8"/>
    <x v="2"/>
    <x v="1"/>
    <x v="0"/>
    <n v="8.4700000000000006"/>
    <s v="&gt;5kg"/>
    <n v="0"/>
    <n v="1"/>
    <x v="1"/>
    <n v="12000"/>
    <n v="101640.00000000001"/>
    <s v="Teguh Wibowo"/>
    <s v="internal"/>
    <x v="1"/>
  </r>
  <r>
    <s v="SHP00320"/>
    <s v="EMP020"/>
    <x v="255"/>
    <d v="2023-07-15T00:00:00"/>
    <x v="9"/>
    <x v="5"/>
    <x v="0"/>
    <x v="0"/>
    <n v="1.85"/>
    <s v="&lt; 5kg"/>
    <n v="8"/>
    <n v="3"/>
    <x v="0"/>
    <n v="10000"/>
    <n v="18500"/>
    <s v="Umi Kalsum"/>
    <s v="crowd source"/>
    <x v="0"/>
  </r>
  <r>
    <s v="SHP00321"/>
    <s v="EMP021"/>
    <x v="267"/>
    <d v="2024-06-16T00:00:00"/>
    <x v="0"/>
    <x v="6"/>
    <x v="1"/>
    <x v="1"/>
    <n v="0.84"/>
    <s v="&lt; 5kg"/>
    <n v="1"/>
    <n v="1"/>
    <x v="1"/>
    <n v="12000"/>
    <n v="10080"/>
    <s v="Vina Oktaviani"/>
    <s v="internal"/>
    <x v="0"/>
  </r>
  <r>
    <s v="SHP00322"/>
    <s v="EMP022"/>
    <x v="268"/>
    <d v="2023-06-15T00:00:00"/>
    <x v="1"/>
    <x v="1"/>
    <x v="2"/>
    <x v="0"/>
    <n v="3.53"/>
    <s v="&lt; 5kg"/>
    <n v="5"/>
    <n v="5"/>
    <x v="1"/>
    <n v="9000"/>
    <n v="31770"/>
    <s v="Wahyu Setiawan"/>
    <s v="crowd source"/>
    <x v="1"/>
  </r>
  <r>
    <s v="SHP00323"/>
    <s v="EMP023"/>
    <x v="269"/>
    <d v="2024-01-10T00:00:00"/>
    <x v="2"/>
    <x v="9"/>
    <x v="2"/>
    <x v="1"/>
    <n v="3.22"/>
    <s v="&lt; 5kg"/>
    <n v="11"/>
    <n v="5"/>
    <x v="0"/>
    <n v="9000"/>
    <n v="28980"/>
    <s v="Yogi Firmansyah"/>
    <s v="internal"/>
    <x v="1"/>
  </r>
  <r>
    <s v="SHP00324"/>
    <s v="EMP024"/>
    <x v="270"/>
    <d v="2023-07-30T00:00:00"/>
    <x v="3"/>
    <x v="2"/>
    <x v="1"/>
    <x v="0"/>
    <n v="5.45"/>
    <s v="&gt;5kg"/>
    <n v="1"/>
    <n v="1"/>
    <x v="1"/>
    <n v="12000"/>
    <n v="65400"/>
    <s v="Zainal Abidin"/>
    <s v="crowd source"/>
    <x v="1"/>
  </r>
  <r>
    <s v="SHP00325"/>
    <s v="EMP025"/>
    <x v="271"/>
    <d v="2023-09-27T00:00:00"/>
    <x v="4"/>
    <x v="6"/>
    <x v="0"/>
    <x v="0"/>
    <n v="9.89"/>
    <s v="&gt;5kg"/>
    <n v="4"/>
    <n v="3"/>
    <x v="0"/>
    <n v="10000"/>
    <n v="98900"/>
    <s v="Ahmad Fauzi"/>
    <s v="internal"/>
    <x v="0"/>
  </r>
  <r>
    <s v="SHP00326"/>
    <s v="EMP026"/>
    <x v="163"/>
    <d v="2023-03-22T00:00:00"/>
    <x v="5"/>
    <x v="9"/>
    <x v="0"/>
    <x v="1"/>
    <n v="10.28"/>
    <s v="&gt;5kg"/>
    <n v="4"/>
    <n v="3"/>
    <x v="0"/>
    <n v="10000"/>
    <n v="102800"/>
    <s v="Bayu Ramadhan"/>
    <s v="crowd source"/>
    <x v="0"/>
  </r>
  <r>
    <s v="SHP00327"/>
    <s v="EMP027"/>
    <x v="78"/>
    <d v="2024-08-26T00:00:00"/>
    <x v="6"/>
    <x v="0"/>
    <x v="0"/>
    <x v="0"/>
    <n v="4.67"/>
    <s v="&lt; 5kg"/>
    <n v="10"/>
    <n v="3"/>
    <x v="0"/>
    <n v="10000"/>
    <n v="46700"/>
    <s v="Cindy Oktavia"/>
    <s v="internal"/>
    <x v="0"/>
  </r>
  <r>
    <s v="SHP00328"/>
    <s v="EMP028"/>
    <x v="193"/>
    <d v="2023-03-26T00:00:00"/>
    <x v="7"/>
    <x v="5"/>
    <x v="0"/>
    <x v="1"/>
    <n v="6.59"/>
    <s v="&gt;5kg"/>
    <n v="11"/>
    <n v="3"/>
    <x v="0"/>
    <n v="10000"/>
    <n v="65900"/>
    <s v="Dian Pramudya"/>
    <s v="crowd source"/>
    <x v="1"/>
  </r>
  <r>
    <s v="SHP00329"/>
    <s v="EMP029"/>
    <x v="272"/>
    <d v="2023-03-01T00:00:00"/>
    <x v="8"/>
    <x v="7"/>
    <x v="1"/>
    <x v="0"/>
    <n v="9.4"/>
    <s v="&gt;5kg"/>
    <n v="1"/>
    <n v="1"/>
    <x v="1"/>
    <n v="12000"/>
    <n v="112800"/>
    <s v="Erwin Kurniawan"/>
    <s v="internal"/>
    <x v="1"/>
  </r>
  <r>
    <s v="SHP00330"/>
    <s v="EMP030"/>
    <x v="273"/>
    <d v="2023-02-14T00:00:00"/>
    <x v="9"/>
    <x v="4"/>
    <x v="1"/>
    <x v="1"/>
    <n v="3.29"/>
    <s v="&lt; 5kg"/>
    <n v="1"/>
    <n v="1"/>
    <x v="1"/>
    <n v="12000"/>
    <n v="39480"/>
    <s v="Fitri Handayani"/>
    <s v="crowd source"/>
    <x v="0"/>
  </r>
  <r>
    <s v="SHP00331"/>
    <s v="EMP031"/>
    <x v="274"/>
    <d v="2024-06-23T00:00:00"/>
    <x v="0"/>
    <x v="6"/>
    <x v="0"/>
    <x v="0"/>
    <n v="8.35"/>
    <s v="&gt;5kg"/>
    <n v="6"/>
    <n v="3"/>
    <x v="0"/>
    <n v="10000"/>
    <n v="83500"/>
    <s v="Gilang Saputra"/>
    <s v="internal"/>
    <x v="0"/>
  </r>
  <r>
    <s v="SHP00332"/>
    <s v="EMP032"/>
    <x v="234"/>
    <d v="2023-02-08T00:00:00"/>
    <x v="1"/>
    <x v="9"/>
    <x v="0"/>
    <x v="0"/>
    <n v="3.2"/>
    <s v="&lt; 5kg"/>
    <n v="3"/>
    <n v="3"/>
    <x v="1"/>
    <n v="10000"/>
    <n v="32000"/>
    <s v="Hariyanto"/>
    <s v="crowd source"/>
    <x v="1"/>
  </r>
  <r>
    <s v="SHP00333"/>
    <s v="EMP033"/>
    <x v="275"/>
    <d v="2023-07-24T00:00:00"/>
    <x v="2"/>
    <x v="4"/>
    <x v="0"/>
    <x v="0"/>
    <n v="5.17"/>
    <s v="&gt;5kg"/>
    <n v="4"/>
    <n v="3"/>
    <x v="0"/>
    <n v="10000"/>
    <n v="51700"/>
    <s v="Intan Maharani"/>
    <s v="internal"/>
    <x v="0"/>
  </r>
  <r>
    <s v="SHP00334"/>
    <s v="EMP034"/>
    <x v="250"/>
    <d v="2024-04-18T00:00:00"/>
    <x v="3"/>
    <x v="0"/>
    <x v="0"/>
    <x v="0"/>
    <n v="4.9000000000000004"/>
    <s v="&lt; 5kg"/>
    <n v="6"/>
    <n v="3"/>
    <x v="0"/>
    <n v="10000"/>
    <n v="49000"/>
    <s v="Jefri Alamsyah"/>
    <s v="internal"/>
    <x v="1"/>
  </r>
  <r>
    <s v="SHP00335"/>
    <s v="EMP035"/>
    <x v="276"/>
    <d v="2023-12-14T00:00:00"/>
    <x v="4"/>
    <x v="1"/>
    <x v="1"/>
    <x v="0"/>
    <n v="3.72"/>
    <s v="&lt; 5kg"/>
    <n v="1"/>
    <n v="1"/>
    <x v="1"/>
    <n v="12000"/>
    <n v="44640"/>
    <s v="Kartika Sari"/>
    <s v="crowd source"/>
    <x v="0"/>
  </r>
  <r>
    <s v="SHP00336"/>
    <s v="EMP036"/>
    <x v="277"/>
    <d v="2023-12-09T00:00:00"/>
    <x v="5"/>
    <x v="4"/>
    <x v="0"/>
    <x v="0"/>
    <n v="9.81"/>
    <s v="&gt;5kg"/>
    <n v="2"/>
    <n v="3"/>
    <x v="1"/>
    <n v="10000"/>
    <n v="98100"/>
    <s v="Lukman Hakim"/>
    <s v="internal"/>
    <x v="1"/>
  </r>
  <r>
    <s v="SHP00337"/>
    <s v="EMP037"/>
    <x v="278"/>
    <d v="2023-11-09T00:00:00"/>
    <x v="6"/>
    <x v="2"/>
    <x v="0"/>
    <x v="1"/>
    <n v="6.7"/>
    <s v="&gt;5kg"/>
    <n v="4"/>
    <n v="3"/>
    <x v="0"/>
    <n v="10000"/>
    <n v="67000"/>
    <s v="Mega Puspitasari"/>
    <s v="internal"/>
    <x v="0"/>
  </r>
  <r>
    <s v="SHP00338"/>
    <s v="EMP038"/>
    <x v="279"/>
    <d v="2023-09-25T00:00:00"/>
    <x v="7"/>
    <x v="8"/>
    <x v="2"/>
    <x v="0"/>
    <n v="8.0399999999999991"/>
    <s v="&gt;5kg"/>
    <n v="7"/>
    <n v="5"/>
    <x v="0"/>
    <n v="9000"/>
    <n v="72359.999999999985"/>
    <s v="Niko Prasetyo"/>
    <s v="crowd source"/>
    <x v="1"/>
  </r>
  <r>
    <s v="SHP00339"/>
    <s v="EMP039"/>
    <x v="280"/>
    <d v="2024-03-29T00:00:00"/>
    <x v="8"/>
    <x v="6"/>
    <x v="2"/>
    <x v="0"/>
    <n v="0.93"/>
    <s v="&lt; 5kg"/>
    <n v="2"/>
    <n v="5"/>
    <x v="1"/>
    <n v="9000"/>
    <n v="8370"/>
    <s v="Olivia Putri"/>
    <s v="internal"/>
    <x v="0"/>
  </r>
  <r>
    <s v="SHP00340"/>
    <s v="EMP040"/>
    <x v="281"/>
    <d v="2023-02-03T00:00:00"/>
    <x v="9"/>
    <x v="1"/>
    <x v="0"/>
    <x v="0"/>
    <n v="3.39"/>
    <s v="&lt; 5kg"/>
    <n v="0"/>
    <n v="3"/>
    <x v="1"/>
    <n v="10000"/>
    <n v="33900"/>
    <s v="Prasetyo Utomo"/>
    <s v="internal"/>
    <x v="1"/>
  </r>
  <r>
    <s v="SHP00341"/>
    <s v="EMP041"/>
    <x v="282"/>
    <d v="2024-04-02T00:00:00"/>
    <x v="0"/>
    <x v="5"/>
    <x v="0"/>
    <x v="1"/>
    <n v="2.92"/>
    <s v="&lt; 5kg"/>
    <n v="3"/>
    <n v="3"/>
    <x v="1"/>
    <n v="10000"/>
    <n v="29200"/>
    <s v="Qori Annisa"/>
    <s v="crowd source"/>
    <x v="0"/>
  </r>
  <r>
    <s v="SHP00342"/>
    <s v="EMP042"/>
    <x v="283"/>
    <d v="2024-06-05T00:00:00"/>
    <x v="1"/>
    <x v="5"/>
    <x v="2"/>
    <x v="1"/>
    <n v="8.5399999999999991"/>
    <s v="&gt;5kg"/>
    <n v="6"/>
    <n v="5"/>
    <x v="0"/>
    <n v="9000"/>
    <n v="76859.999999999985"/>
    <s v="Rangga Saptonugroho"/>
    <s v="crowd source"/>
    <x v="1"/>
  </r>
  <r>
    <s v="SHP00343"/>
    <s v="EMP043"/>
    <x v="71"/>
    <d v="2023-04-08T00:00:00"/>
    <x v="2"/>
    <x v="0"/>
    <x v="0"/>
    <x v="0"/>
    <n v="4.59"/>
    <s v="&lt; 5kg"/>
    <n v="2"/>
    <n v="3"/>
    <x v="1"/>
    <n v="10000"/>
    <n v="45900"/>
    <s v="Sinta Dewi"/>
    <s v="internal"/>
    <x v="0"/>
  </r>
  <r>
    <s v="SHP00344"/>
    <s v="EMP044"/>
    <x v="284"/>
    <d v="2023-10-15T00:00:00"/>
    <x v="3"/>
    <x v="7"/>
    <x v="0"/>
    <x v="0"/>
    <n v="4.16"/>
    <s v="&lt; 5kg"/>
    <n v="11"/>
    <n v="3"/>
    <x v="0"/>
    <n v="10000"/>
    <n v="41600"/>
    <s v="Taufik Hidayat"/>
    <s v="internal"/>
    <x v="1"/>
  </r>
  <r>
    <s v="SHP00345"/>
    <s v="EMP045"/>
    <x v="285"/>
    <d v="2023-10-16T00:00:00"/>
    <x v="4"/>
    <x v="8"/>
    <x v="2"/>
    <x v="1"/>
    <n v="10.42"/>
    <s v="&gt;5kg"/>
    <n v="4"/>
    <n v="5"/>
    <x v="1"/>
    <n v="9000"/>
    <n v="93780"/>
    <s v="Usman Ali"/>
    <s v="crowd source"/>
    <x v="0"/>
  </r>
  <r>
    <s v="SHP00346"/>
    <s v="EMP046"/>
    <x v="67"/>
    <d v="2024-02-01T00:00:00"/>
    <x v="5"/>
    <x v="1"/>
    <x v="1"/>
    <x v="1"/>
    <n v="4.2699999999999996"/>
    <s v="&lt; 5kg"/>
    <n v="1"/>
    <n v="1"/>
    <x v="1"/>
    <n v="12000"/>
    <n v="51239.999999999993"/>
    <s v="Vivi Lestari"/>
    <s v="internal"/>
    <x v="0"/>
  </r>
  <r>
    <s v="SHP00347"/>
    <s v="EMP047"/>
    <x v="251"/>
    <d v="2024-07-01T00:00:00"/>
    <x v="6"/>
    <x v="7"/>
    <x v="2"/>
    <x v="1"/>
    <n v="2.37"/>
    <s v="&lt; 5kg"/>
    <n v="7"/>
    <n v="5"/>
    <x v="0"/>
    <n v="9000"/>
    <n v="21330"/>
    <s v="Wawan Setiabudi"/>
    <s v="internal"/>
    <x v="1"/>
  </r>
  <r>
    <s v="SHP00348"/>
    <s v="EMP048"/>
    <x v="286"/>
    <d v="2023-01-19T00:00:00"/>
    <x v="7"/>
    <x v="6"/>
    <x v="2"/>
    <x v="1"/>
    <n v="4.16"/>
    <s v="&lt; 5kg"/>
    <n v="2"/>
    <n v="5"/>
    <x v="1"/>
    <n v="9000"/>
    <n v="37440"/>
    <s v="Xenia Maharani"/>
    <s v="crowd source"/>
    <x v="0"/>
  </r>
  <r>
    <s v="SHP00349"/>
    <s v="EMP049"/>
    <x v="12"/>
    <d v="2023-09-17T00:00:00"/>
    <x v="8"/>
    <x v="4"/>
    <x v="0"/>
    <x v="1"/>
    <n v="0.63"/>
    <s v="&lt; 5kg"/>
    <n v="4"/>
    <n v="3"/>
    <x v="0"/>
    <n v="10000"/>
    <n v="6300"/>
    <s v="Yoga Pradana"/>
    <s v="internal"/>
    <x v="0"/>
  </r>
  <r>
    <s v="SHP00350"/>
    <s v="EMP050"/>
    <x v="140"/>
    <d v="2023-10-16T00:00:00"/>
    <x v="9"/>
    <x v="0"/>
    <x v="2"/>
    <x v="0"/>
    <n v="7.04"/>
    <s v="&gt;5kg"/>
    <n v="2"/>
    <n v="5"/>
    <x v="1"/>
    <n v="9000"/>
    <n v="63360"/>
    <s v="Zulfikar Ramadhan"/>
    <s v="crowd source"/>
    <x v="1"/>
  </r>
  <r>
    <s v="SHP00351"/>
    <s v="EMP051"/>
    <x v="287"/>
    <d v="2024-04-02T00:00:00"/>
    <x v="0"/>
    <x v="9"/>
    <x v="0"/>
    <x v="1"/>
    <n v="4.03"/>
    <s v="&lt; 5kg"/>
    <n v="2"/>
    <n v="3"/>
    <x v="1"/>
    <n v="10000"/>
    <n v="40300"/>
    <s v="Aditya Saputra"/>
    <s v="internal"/>
    <x v="0"/>
  </r>
  <r>
    <s v="SHP00352"/>
    <s v="EMP052"/>
    <x v="288"/>
    <d v="2024-09-11T00:00:00"/>
    <x v="1"/>
    <x v="2"/>
    <x v="0"/>
    <x v="0"/>
    <n v="10.08"/>
    <s v="&gt;5kg"/>
    <n v="4"/>
    <n v="3"/>
    <x v="0"/>
    <n v="10000"/>
    <n v="100800"/>
    <s v="Bella Oktaviani"/>
    <s v="internal"/>
    <x v="0"/>
  </r>
  <r>
    <s v="SHP00353"/>
    <s v="EMP053"/>
    <x v="289"/>
    <d v="2024-07-05T00:00:00"/>
    <x v="2"/>
    <x v="2"/>
    <x v="0"/>
    <x v="1"/>
    <n v="9.9600000000000009"/>
    <s v="&gt;5kg"/>
    <n v="3"/>
    <n v="3"/>
    <x v="1"/>
    <n v="10000"/>
    <n v="99600.000000000015"/>
    <s v="Chandra Wijaya"/>
    <s v="crowd source"/>
    <x v="1"/>
  </r>
  <r>
    <s v="SHP00354"/>
    <s v="EMP054"/>
    <x v="163"/>
    <d v="2023-03-23T00:00:00"/>
    <x v="3"/>
    <x v="7"/>
    <x v="1"/>
    <x v="0"/>
    <n v="7.54"/>
    <s v="&gt;5kg"/>
    <n v="5"/>
    <n v="1"/>
    <x v="0"/>
    <n v="12000"/>
    <n v="90480"/>
    <s v="Dewi Sartika"/>
    <s v="internal"/>
    <x v="0"/>
  </r>
  <r>
    <s v="SHP00355"/>
    <s v="EMP055"/>
    <x v="253"/>
    <d v="2023-05-23T00:00:00"/>
    <x v="4"/>
    <x v="1"/>
    <x v="0"/>
    <x v="0"/>
    <n v="8.85"/>
    <s v="&gt;5kg"/>
    <n v="1"/>
    <n v="3"/>
    <x v="1"/>
    <n v="10000"/>
    <n v="88500"/>
    <s v="Edi Kurniawan"/>
    <s v="internal"/>
    <x v="1"/>
  </r>
  <r>
    <s v="SHP00356"/>
    <s v="EMP056"/>
    <x v="290"/>
    <d v="2023-05-05T00:00:00"/>
    <x v="5"/>
    <x v="5"/>
    <x v="0"/>
    <x v="0"/>
    <n v="5.98"/>
    <s v="&gt;5kg"/>
    <n v="4"/>
    <n v="3"/>
    <x v="0"/>
    <n v="10000"/>
    <n v="59800.000000000007"/>
    <s v="Farah Nabila"/>
    <s v="crowd source"/>
    <x v="0"/>
  </r>
  <r>
    <s v="SHP00357"/>
    <s v="EMP057"/>
    <x v="291"/>
    <d v="2024-02-26T00:00:00"/>
    <x v="6"/>
    <x v="8"/>
    <x v="0"/>
    <x v="0"/>
    <n v="2.89"/>
    <s v="&lt; 5kg"/>
    <n v="0"/>
    <n v="3"/>
    <x v="1"/>
    <n v="10000"/>
    <n v="28900"/>
    <s v="Galih Pratomo"/>
    <s v="internal"/>
    <x v="0"/>
  </r>
  <r>
    <s v="SHP00358"/>
    <s v="EMP058"/>
    <x v="252"/>
    <d v="2024-11-09T00:00:00"/>
    <x v="7"/>
    <x v="1"/>
    <x v="1"/>
    <x v="1"/>
    <n v="3.41"/>
    <s v="&lt; 5kg"/>
    <n v="0"/>
    <n v="1"/>
    <x v="1"/>
    <n v="12000"/>
    <n v="40920"/>
    <s v="Hadi Purnomo"/>
    <s v="crowd source"/>
    <x v="1"/>
  </r>
  <r>
    <s v="SHP00359"/>
    <s v="EMP059"/>
    <x v="292"/>
    <d v="2024-12-09T00:00:00"/>
    <x v="8"/>
    <x v="7"/>
    <x v="0"/>
    <x v="1"/>
    <n v="1.29"/>
    <s v="&lt; 5kg"/>
    <n v="1"/>
    <n v="3"/>
    <x v="1"/>
    <n v="10000"/>
    <n v="12900"/>
    <s v="Ika Lestari"/>
    <s v="internal"/>
    <x v="0"/>
  </r>
  <r>
    <s v="SHP00360"/>
    <s v="EMP060"/>
    <x v="293"/>
    <d v="2024-10-05T00:00:00"/>
    <x v="9"/>
    <x v="2"/>
    <x v="2"/>
    <x v="1"/>
    <n v="3.91"/>
    <s v="&lt; 5kg"/>
    <n v="2"/>
    <n v="5"/>
    <x v="1"/>
    <n v="9000"/>
    <n v="35190"/>
    <s v="Jamil Akbar"/>
    <s v="internal"/>
    <x v="1"/>
  </r>
  <r>
    <s v="SHP00361"/>
    <s v="EMP061"/>
    <x v="294"/>
    <d v="2024-01-16T00:00:00"/>
    <x v="0"/>
    <x v="3"/>
    <x v="1"/>
    <x v="0"/>
    <n v="1.71"/>
    <s v="&lt; 5kg"/>
    <n v="0"/>
    <n v="1"/>
    <x v="1"/>
    <n v="12000"/>
    <n v="20520"/>
    <s v="Kevin Sanjaya"/>
    <s v="crowd source"/>
    <x v="0"/>
  </r>
  <r>
    <s v="SHP00362"/>
    <s v="EMP062"/>
    <x v="295"/>
    <d v="2023-04-24T00:00:00"/>
    <x v="1"/>
    <x v="6"/>
    <x v="2"/>
    <x v="1"/>
    <n v="3.51"/>
    <s v="&lt; 5kg"/>
    <n v="10"/>
    <n v="5"/>
    <x v="0"/>
    <n v="9000"/>
    <n v="31589.999999999996"/>
    <s v="Laila Nuraini"/>
    <s v="internal"/>
    <x v="0"/>
  </r>
  <r>
    <s v="SHP00363"/>
    <s v="EMP063"/>
    <x v="296"/>
    <d v="2023-08-27T00:00:00"/>
    <x v="2"/>
    <x v="6"/>
    <x v="0"/>
    <x v="1"/>
    <n v="8.66"/>
    <s v="&gt;5kg"/>
    <n v="2"/>
    <n v="3"/>
    <x v="1"/>
    <n v="10000"/>
    <n v="86600"/>
    <s v="Miko Setiawan"/>
    <s v="crowd source"/>
    <x v="1"/>
  </r>
  <r>
    <s v="SHP00364"/>
    <s v="EMP064"/>
    <x v="239"/>
    <d v="2024-02-06T00:00:00"/>
    <x v="3"/>
    <x v="2"/>
    <x v="0"/>
    <x v="0"/>
    <n v="4.0599999999999996"/>
    <s v="&lt; 5kg"/>
    <n v="0"/>
    <n v="3"/>
    <x v="1"/>
    <n v="10000"/>
    <n v="40599.999999999993"/>
    <s v="Nisa Aulia"/>
    <s v="internal"/>
    <x v="0"/>
  </r>
  <r>
    <s v="SHP00365"/>
    <s v="EMP065"/>
    <x v="297"/>
    <d v="2024-12-22T00:00:00"/>
    <x v="4"/>
    <x v="6"/>
    <x v="2"/>
    <x v="1"/>
    <n v="8.77"/>
    <s v="&gt;5kg"/>
    <n v="4"/>
    <n v="5"/>
    <x v="1"/>
    <n v="9000"/>
    <n v="78930"/>
    <s v="Oki Pramono"/>
    <s v="internal"/>
    <x v="1"/>
  </r>
  <r>
    <s v="SHP00366"/>
    <s v="EMP066"/>
    <x v="298"/>
    <d v="2024-03-01T00:00:00"/>
    <x v="5"/>
    <x v="8"/>
    <x v="1"/>
    <x v="1"/>
    <n v="2.09"/>
    <s v="&lt; 5kg"/>
    <n v="9"/>
    <n v="1"/>
    <x v="0"/>
    <n v="12000"/>
    <n v="25080"/>
    <s v="Putra Mahendra"/>
    <s v="crowd source"/>
    <x v="0"/>
  </r>
  <r>
    <s v="SHP00367"/>
    <s v="EMP067"/>
    <x v="186"/>
    <d v="2023-07-28T00:00:00"/>
    <x v="6"/>
    <x v="9"/>
    <x v="1"/>
    <x v="1"/>
    <n v="9.35"/>
    <s v="&gt;5kg"/>
    <n v="6"/>
    <n v="1"/>
    <x v="0"/>
    <n v="12000"/>
    <n v="112200"/>
    <s v="Qolbi Ramadhani"/>
    <s v="internal"/>
    <x v="0"/>
  </r>
  <r>
    <s v="SHP00368"/>
    <s v="EMP068"/>
    <x v="299"/>
    <d v="2024-04-15T00:00:00"/>
    <x v="7"/>
    <x v="1"/>
    <x v="0"/>
    <x v="1"/>
    <n v="1.22"/>
    <s v="&lt; 5kg"/>
    <n v="1"/>
    <n v="3"/>
    <x v="1"/>
    <n v="10000"/>
    <n v="12200"/>
    <s v="Reza Firmansyah"/>
    <s v="crowd source"/>
    <x v="1"/>
  </r>
  <r>
    <s v="SHP00369"/>
    <s v="EMP069"/>
    <x v="300"/>
    <d v="2023-01-17T00:00:00"/>
    <x v="8"/>
    <x v="3"/>
    <x v="0"/>
    <x v="0"/>
    <n v="2.19"/>
    <s v="&lt; 5kg"/>
    <n v="1"/>
    <n v="3"/>
    <x v="1"/>
    <n v="10000"/>
    <n v="21900"/>
    <s v="Siska Amelia"/>
    <s v="internal"/>
    <x v="0"/>
  </r>
  <r>
    <s v="SHP00370"/>
    <s v="EMP070"/>
    <x v="301"/>
    <d v="2023-02-08T00:00:00"/>
    <x v="9"/>
    <x v="3"/>
    <x v="0"/>
    <x v="1"/>
    <n v="8.82"/>
    <s v="&gt;5kg"/>
    <n v="1"/>
    <n v="3"/>
    <x v="1"/>
    <n v="10000"/>
    <n v="88200"/>
    <s v="Tri Wibowo"/>
    <s v="internal"/>
    <x v="1"/>
  </r>
  <r>
    <s v="SHP00371"/>
    <s v="EMP071"/>
    <x v="139"/>
    <d v="2024-04-19T00:00:00"/>
    <x v="0"/>
    <x v="2"/>
    <x v="2"/>
    <x v="1"/>
    <n v="4.5999999999999996"/>
    <s v="&lt; 5kg"/>
    <n v="1"/>
    <n v="5"/>
    <x v="1"/>
    <n v="9000"/>
    <n v="41400"/>
    <s v="Ubay Prakoso"/>
    <s v="crowd source"/>
    <x v="0"/>
  </r>
  <r>
    <s v="SHP00372"/>
    <s v="EMP072"/>
    <x v="81"/>
    <d v="2024-05-24T00:00:00"/>
    <x v="1"/>
    <x v="9"/>
    <x v="0"/>
    <x v="0"/>
    <n v="7.53"/>
    <s v="&gt;5kg"/>
    <n v="5"/>
    <n v="3"/>
    <x v="0"/>
    <n v="10000"/>
    <n v="75300"/>
    <s v="Vania Putri"/>
    <s v="internal"/>
    <x v="0"/>
  </r>
  <r>
    <s v="SHP00373"/>
    <s v="EMP073"/>
    <x v="157"/>
    <d v="2023-09-01T00:00:00"/>
    <x v="2"/>
    <x v="6"/>
    <x v="0"/>
    <x v="1"/>
    <n v="3.52"/>
    <s v="&lt; 5kg"/>
    <n v="10"/>
    <n v="3"/>
    <x v="0"/>
    <n v="10000"/>
    <n v="35200"/>
    <s v="Wira Nugraha"/>
    <s v="internal"/>
    <x v="1"/>
  </r>
  <r>
    <s v="SHP00374"/>
    <s v="EMP074"/>
    <x v="302"/>
    <d v="2024-01-01T00:00:00"/>
    <x v="3"/>
    <x v="8"/>
    <x v="0"/>
    <x v="0"/>
    <n v="9.2899999999999991"/>
    <s v="&gt;5kg"/>
    <n v="10"/>
    <n v="3"/>
    <x v="0"/>
    <n v="10000"/>
    <n v="92899.999999999985"/>
    <s v="Xaverius Adi"/>
    <s v="crowd source"/>
    <x v="1"/>
  </r>
  <r>
    <s v="SHP00375"/>
    <s v="EMP075"/>
    <x v="303"/>
    <d v="2023-07-17T00:00:00"/>
    <x v="4"/>
    <x v="9"/>
    <x v="2"/>
    <x v="1"/>
    <n v="2.19"/>
    <s v="&lt; 5kg"/>
    <n v="0"/>
    <n v="5"/>
    <x v="1"/>
    <n v="9000"/>
    <n v="19710"/>
    <s v="Yuliana Kartini"/>
    <s v="internal"/>
    <x v="0"/>
  </r>
  <r>
    <s v="SHP00376"/>
    <s v="EMP076"/>
    <x v="304"/>
    <d v="2024-10-26T00:00:00"/>
    <x v="5"/>
    <x v="0"/>
    <x v="0"/>
    <x v="1"/>
    <n v="7.64"/>
    <s v="&gt;5kg"/>
    <n v="4"/>
    <n v="3"/>
    <x v="0"/>
    <n v="10000"/>
    <n v="76400"/>
    <s v="Zaki Alamsyah"/>
    <s v="internal"/>
    <x v="0"/>
  </r>
  <r>
    <s v="SHP00377"/>
    <s v="EMP077"/>
    <x v="71"/>
    <d v="2023-04-11T00:00:00"/>
    <x v="6"/>
    <x v="3"/>
    <x v="2"/>
    <x v="1"/>
    <n v="5.23"/>
    <s v="&gt;5kg"/>
    <n v="5"/>
    <n v="5"/>
    <x v="1"/>
    <n v="9000"/>
    <n v="47070.000000000007"/>
    <s v="Arief Setyawan"/>
    <s v="crowd source"/>
    <x v="1"/>
  </r>
  <r>
    <s v="SHP00378"/>
    <s v="EMP078"/>
    <x v="291"/>
    <d v="2024-03-03T00:00:00"/>
    <x v="7"/>
    <x v="5"/>
    <x v="2"/>
    <x v="0"/>
    <n v="2.94"/>
    <s v="&lt; 5kg"/>
    <n v="6"/>
    <n v="5"/>
    <x v="0"/>
    <n v="9000"/>
    <n v="26460"/>
    <s v="Bunga Cahyani"/>
    <s v="internal"/>
    <x v="0"/>
  </r>
  <r>
    <s v="SHP00379"/>
    <s v="EMP079"/>
    <x v="242"/>
    <d v="2024-09-04T00:00:00"/>
    <x v="8"/>
    <x v="1"/>
    <x v="0"/>
    <x v="1"/>
    <n v="0.54"/>
    <s v="&lt; 5kg"/>
    <n v="2"/>
    <n v="3"/>
    <x v="1"/>
    <n v="10000"/>
    <n v="5400"/>
    <s v="Cahyo Prabowo"/>
    <s v="internal"/>
    <x v="1"/>
  </r>
  <r>
    <s v="SHP00380"/>
    <s v="EMP080"/>
    <x v="305"/>
    <d v="2024-09-18T00:00:00"/>
    <x v="9"/>
    <x v="3"/>
    <x v="0"/>
    <x v="0"/>
    <n v="3.63"/>
    <s v="&lt; 5kg"/>
    <n v="1"/>
    <n v="3"/>
    <x v="1"/>
    <n v="10000"/>
    <n v="36300"/>
    <s v="Diah Permata"/>
    <s v="crowd source"/>
    <x v="0"/>
  </r>
  <r>
    <s v="SHP00381"/>
    <s v="EMP081"/>
    <x v="75"/>
    <d v="2024-01-30T00:00:00"/>
    <x v="0"/>
    <x v="4"/>
    <x v="2"/>
    <x v="0"/>
    <n v="3.43"/>
    <s v="&lt; 5kg"/>
    <n v="5"/>
    <n v="5"/>
    <x v="1"/>
    <n v="9000"/>
    <n v="30870"/>
    <s v="Evania Putri"/>
    <s v="internal"/>
    <x v="0"/>
  </r>
  <r>
    <s v="SHP00382"/>
    <s v="EMP082"/>
    <x v="306"/>
    <d v="2023-03-10T00:00:00"/>
    <x v="1"/>
    <x v="0"/>
    <x v="0"/>
    <x v="0"/>
    <n v="7.09"/>
    <s v="&gt;5kg"/>
    <n v="5"/>
    <n v="3"/>
    <x v="0"/>
    <n v="10000"/>
    <n v="70900"/>
    <s v="Fikri Ramadhan"/>
    <s v="crowd source"/>
    <x v="1"/>
  </r>
  <r>
    <s v="SHP00383"/>
    <s v="EMP083"/>
    <x v="307"/>
    <d v="2024-12-25T00:00:00"/>
    <x v="2"/>
    <x v="2"/>
    <x v="0"/>
    <x v="0"/>
    <n v="6.82"/>
    <s v="&gt;5kg"/>
    <n v="4"/>
    <n v="3"/>
    <x v="0"/>
    <n v="10000"/>
    <n v="68200"/>
    <s v="Gilang Ramli"/>
    <s v="internal"/>
    <x v="0"/>
  </r>
  <r>
    <s v="SHP00384"/>
    <s v="EMP084"/>
    <x v="308"/>
    <d v="2023-03-14T00:00:00"/>
    <x v="3"/>
    <x v="8"/>
    <x v="2"/>
    <x v="1"/>
    <n v="1.6"/>
    <s v="&lt; 5kg"/>
    <n v="11"/>
    <n v="5"/>
    <x v="0"/>
    <n v="9000"/>
    <n v="14400"/>
    <s v="Hana Zahra"/>
    <s v="internal"/>
    <x v="0"/>
  </r>
  <r>
    <s v="SHP00385"/>
    <s v="EMP085"/>
    <x v="260"/>
    <d v="2024-12-03T00:00:00"/>
    <x v="4"/>
    <x v="0"/>
    <x v="0"/>
    <x v="1"/>
    <n v="7.85"/>
    <s v="&gt;5kg"/>
    <n v="7"/>
    <n v="3"/>
    <x v="0"/>
    <n v="10000"/>
    <n v="78500"/>
    <s v="Irfan Maulana"/>
    <s v="internal"/>
    <x v="1"/>
  </r>
  <r>
    <s v="SHP00386"/>
    <s v="EMP086"/>
    <x v="309"/>
    <d v="2023-03-23T00:00:00"/>
    <x v="5"/>
    <x v="5"/>
    <x v="1"/>
    <x v="1"/>
    <n v="5.53"/>
    <s v="&gt;5kg"/>
    <n v="4"/>
    <n v="1"/>
    <x v="0"/>
    <n v="12000"/>
    <n v="66360"/>
    <s v="Jihan Salsabila"/>
    <s v="crowd source"/>
    <x v="0"/>
  </r>
  <r>
    <s v="SHP00387"/>
    <s v="EMP087"/>
    <x v="173"/>
    <d v="2024-12-25T00:00:00"/>
    <x v="6"/>
    <x v="0"/>
    <x v="0"/>
    <x v="1"/>
    <n v="0.98"/>
    <s v="&lt; 5kg"/>
    <n v="11"/>
    <n v="3"/>
    <x v="0"/>
    <n v="10000"/>
    <n v="9800"/>
    <s v="Koko Santoso"/>
    <s v="internal"/>
    <x v="0"/>
  </r>
  <r>
    <s v="SHP00388"/>
    <s v="EMP088"/>
    <x v="310"/>
    <d v="2024-06-05T00:00:00"/>
    <x v="7"/>
    <x v="8"/>
    <x v="0"/>
    <x v="0"/>
    <n v="0.87"/>
    <s v="&lt; 5kg"/>
    <n v="10"/>
    <n v="3"/>
    <x v="0"/>
    <n v="10000"/>
    <n v="8700"/>
    <s v="Luthfi Hakim"/>
    <s v="crowd source"/>
    <x v="1"/>
  </r>
  <r>
    <s v="SHP00389"/>
    <s v="EMP089"/>
    <x v="304"/>
    <d v="2024-10-26T00:00:00"/>
    <x v="8"/>
    <x v="5"/>
    <x v="2"/>
    <x v="1"/>
    <n v="9.42"/>
    <s v="&gt;5kg"/>
    <n v="4"/>
    <n v="5"/>
    <x v="1"/>
    <n v="9000"/>
    <n v="84780"/>
    <s v="Melati Anggraini"/>
    <s v="internal"/>
    <x v="0"/>
  </r>
  <r>
    <s v="SHP00390"/>
    <s v="EMP090"/>
    <x v="311"/>
    <d v="2023-08-08T00:00:00"/>
    <x v="9"/>
    <x v="2"/>
    <x v="0"/>
    <x v="1"/>
    <n v="7.86"/>
    <s v="&gt;5kg"/>
    <n v="1"/>
    <n v="3"/>
    <x v="1"/>
    <n v="10000"/>
    <n v="78600"/>
    <s v="Naufal Rizky"/>
    <s v="internal"/>
    <x v="1"/>
  </r>
  <r>
    <s v="SHP00391"/>
    <s v="EMP091"/>
    <x v="271"/>
    <d v="2023-09-27T00:00:00"/>
    <x v="0"/>
    <x v="0"/>
    <x v="0"/>
    <x v="0"/>
    <n v="6.28"/>
    <s v="&gt;5kg"/>
    <n v="4"/>
    <n v="3"/>
    <x v="0"/>
    <n v="10000"/>
    <n v="62800"/>
    <s v="Olin Febriani"/>
    <s v="crowd source"/>
    <x v="0"/>
  </r>
  <r>
    <s v="SHP00392"/>
    <s v="EMP092"/>
    <x v="272"/>
    <d v="2023-03-01T00:00:00"/>
    <x v="1"/>
    <x v="6"/>
    <x v="0"/>
    <x v="0"/>
    <n v="3.15"/>
    <s v="&lt; 5kg"/>
    <n v="1"/>
    <n v="3"/>
    <x v="1"/>
    <n v="10000"/>
    <n v="31500"/>
    <s v="Praditya Wicaksono"/>
    <s v="internal"/>
    <x v="1"/>
  </r>
  <r>
    <s v="SHP00393"/>
    <s v="EMP093"/>
    <x v="309"/>
    <d v="2023-03-23T00:00:00"/>
    <x v="2"/>
    <x v="6"/>
    <x v="0"/>
    <x v="0"/>
    <n v="8.0299999999999994"/>
    <s v="&gt;5kg"/>
    <n v="4"/>
    <n v="3"/>
    <x v="0"/>
    <n v="10000"/>
    <n v="80300"/>
    <s v="Qory Azzahra"/>
    <s v="internal"/>
    <x v="0"/>
  </r>
  <r>
    <s v="SHP00394"/>
    <s v="EMP094"/>
    <x v="312"/>
    <d v="2024-02-29T00:00:00"/>
    <x v="3"/>
    <x v="2"/>
    <x v="0"/>
    <x v="0"/>
    <n v="7.06"/>
    <s v="&gt;5kg"/>
    <n v="0"/>
    <n v="3"/>
    <x v="1"/>
    <n v="10000"/>
    <n v="70600"/>
    <s v="Rendi Saputra"/>
    <s v="crowd source"/>
    <x v="1"/>
  </r>
  <r>
    <s v="SHP00395"/>
    <s v="EMP095"/>
    <x v="313"/>
    <d v="2024-04-14T00:00:00"/>
    <x v="4"/>
    <x v="0"/>
    <x v="2"/>
    <x v="1"/>
    <n v="6.1"/>
    <s v="&gt;5kg"/>
    <n v="4"/>
    <n v="5"/>
    <x v="1"/>
    <n v="9000"/>
    <n v="54900"/>
    <s v="Salma Nuraini"/>
    <s v="internal"/>
    <x v="0"/>
  </r>
  <r>
    <s v="SHP00396"/>
    <s v="EMP096"/>
    <x v="314"/>
    <d v="2023-04-07T00:00:00"/>
    <x v="5"/>
    <x v="4"/>
    <x v="1"/>
    <x v="1"/>
    <n v="1.43"/>
    <s v="&lt; 5kg"/>
    <n v="7"/>
    <n v="1"/>
    <x v="0"/>
    <n v="12000"/>
    <n v="17160"/>
    <s v="Tegar Prakoso"/>
    <s v="internal"/>
    <x v="1"/>
  </r>
  <r>
    <s v="SHP00397"/>
    <s v="EMP097"/>
    <x v="315"/>
    <d v="2023-04-14T00:00:00"/>
    <x v="6"/>
    <x v="2"/>
    <x v="2"/>
    <x v="1"/>
    <n v="8.02"/>
    <s v="&gt;5kg"/>
    <n v="4"/>
    <n v="5"/>
    <x v="1"/>
    <n v="9000"/>
    <n v="72180"/>
    <s v="Ulfa Khairunnisa"/>
    <s v="crowd source"/>
    <x v="0"/>
  </r>
  <r>
    <s v="SHP00398"/>
    <s v="EMP098"/>
    <x v="316"/>
    <d v="2023-03-25T00:00:00"/>
    <x v="7"/>
    <x v="3"/>
    <x v="0"/>
    <x v="1"/>
    <n v="9.65"/>
    <s v="&gt;5kg"/>
    <n v="4"/>
    <n v="3"/>
    <x v="0"/>
    <n v="10000"/>
    <n v="96500"/>
    <s v="Vito Mahendra"/>
    <s v="internal"/>
    <x v="0"/>
  </r>
  <r>
    <s v="SHP00399"/>
    <s v="EMP099"/>
    <x v="317"/>
    <d v="2023-07-08T00:00:00"/>
    <x v="8"/>
    <x v="7"/>
    <x v="0"/>
    <x v="0"/>
    <n v="3.8"/>
    <s v="&lt; 5kg"/>
    <n v="4"/>
    <n v="3"/>
    <x v="0"/>
    <n v="10000"/>
    <n v="38000"/>
    <s v="Winda Sari"/>
    <s v="internal"/>
    <x v="0"/>
  </r>
  <r>
    <s v="SHP00400"/>
    <s v="EMP100"/>
    <x v="318"/>
    <d v="2024-03-02T00:00:00"/>
    <x v="9"/>
    <x v="6"/>
    <x v="2"/>
    <x v="0"/>
    <n v="8.24"/>
    <s v="&gt;5kg"/>
    <n v="6"/>
    <n v="5"/>
    <x v="0"/>
    <n v="9000"/>
    <n v="74160"/>
    <s v="Yusuf Al Ghazali"/>
    <s v="crowd source"/>
    <x v="1"/>
  </r>
  <r>
    <s v="SHP00401"/>
    <s v="EMP001"/>
    <x v="192"/>
    <d v="2024-07-25T00:00:00"/>
    <x v="0"/>
    <x v="3"/>
    <x v="1"/>
    <x v="0"/>
    <n v="10.44"/>
    <s v="&gt;5kg"/>
    <n v="4"/>
    <n v="1"/>
    <x v="0"/>
    <n v="12000"/>
    <n v="125280"/>
    <s v="Andi Pratama"/>
    <s v="internal"/>
    <x v="0"/>
  </r>
  <r>
    <s v="SHP00402"/>
    <s v="EMP002"/>
    <x v="319"/>
    <d v="2024-03-11T00:00:00"/>
    <x v="1"/>
    <x v="0"/>
    <x v="0"/>
    <x v="1"/>
    <n v="4.05"/>
    <s v="&lt; 5kg"/>
    <n v="1"/>
    <n v="3"/>
    <x v="1"/>
    <n v="10000"/>
    <n v="40500"/>
    <s v="Budi Santoso"/>
    <s v="internal"/>
    <x v="1"/>
  </r>
  <r>
    <s v="SHP00403"/>
    <s v="EMP003"/>
    <x v="290"/>
    <d v="2023-05-05T00:00:00"/>
    <x v="2"/>
    <x v="4"/>
    <x v="1"/>
    <x v="1"/>
    <n v="9.5500000000000007"/>
    <s v="&gt;5kg"/>
    <n v="4"/>
    <n v="1"/>
    <x v="0"/>
    <n v="12000"/>
    <n v="114600.00000000001"/>
    <s v="Citra Lestari"/>
    <s v="crowd source"/>
    <x v="0"/>
  </r>
  <r>
    <s v="SHP00404"/>
    <s v="EMP004"/>
    <x v="272"/>
    <d v="2023-03-05T00:00:00"/>
    <x v="3"/>
    <x v="9"/>
    <x v="0"/>
    <x v="0"/>
    <n v="4.54"/>
    <s v="&lt; 5kg"/>
    <n v="5"/>
    <n v="3"/>
    <x v="0"/>
    <n v="10000"/>
    <n v="45400"/>
    <s v="Dedi Saputra"/>
    <s v="crowd source"/>
    <x v="1"/>
  </r>
  <r>
    <s v="SHP00405"/>
    <s v="EMP005"/>
    <x v="320"/>
    <d v="2023-03-17T00:00:00"/>
    <x v="4"/>
    <x v="9"/>
    <x v="2"/>
    <x v="1"/>
    <n v="7.93"/>
    <s v="&gt;5kg"/>
    <n v="11"/>
    <n v="5"/>
    <x v="0"/>
    <n v="9000"/>
    <n v="71370"/>
    <s v="Eko Nugroho"/>
    <s v="internal"/>
    <x v="0"/>
  </r>
  <r>
    <s v="SHP00406"/>
    <s v="EMP006"/>
    <x v="321"/>
    <d v="2023-09-01T00:00:00"/>
    <x v="5"/>
    <x v="8"/>
    <x v="0"/>
    <x v="1"/>
    <n v="1.17"/>
    <s v="&lt; 5kg"/>
    <n v="9"/>
    <n v="3"/>
    <x v="0"/>
    <n v="10000"/>
    <n v="11700"/>
    <s v="Fajar Hidayat"/>
    <s v="internal"/>
    <x v="1"/>
  </r>
  <r>
    <s v="SHP00407"/>
    <s v="EMP007"/>
    <x v="322"/>
    <d v="2024-09-19T00:00:00"/>
    <x v="6"/>
    <x v="6"/>
    <x v="0"/>
    <x v="1"/>
    <n v="8.56"/>
    <s v="&gt;5kg"/>
    <n v="4"/>
    <n v="3"/>
    <x v="0"/>
    <n v="10000"/>
    <n v="85600"/>
    <s v="Gita Rahmawati"/>
    <s v="crowd source"/>
    <x v="0"/>
  </r>
  <r>
    <s v="SHP00408"/>
    <s v="EMP008"/>
    <x v="323"/>
    <d v="2024-03-19T00:00:00"/>
    <x v="7"/>
    <x v="1"/>
    <x v="0"/>
    <x v="1"/>
    <n v="10.27"/>
    <s v="&gt;5kg"/>
    <n v="0"/>
    <n v="3"/>
    <x v="1"/>
    <n v="10000"/>
    <n v="102700"/>
    <s v="Hendra Wijaya"/>
    <s v="internal"/>
    <x v="1"/>
  </r>
  <r>
    <s v="SHP00409"/>
    <s v="EMP009"/>
    <x v="18"/>
    <d v="2024-10-16T00:00:00"/>
    <x v="8"/>
    <x v="9"/>
    <x v="2"/>
    <x v="1"/>
    <n v="5.08"/>
    <s v="&gt;5kg"/>
    <n v="11"/>
    <n v="5"/>
    <x v="0"/>
    <n v="9000"/>
    <n v="45720"/>
    <s v="Indah Permata"/>
    <s v="crowd source"/>
    <x v="0"/>
  </r>
  <r>
    <s v="SHP00410"/>
    <s v="EMP010"/>
    <x v="324"/>
    <d v="2024-07-01T00:00:00"/>
    <x v="9"/>
    <x v="1"/>
    <x v="2"/>
    <x v="0"/>
    <n v="4.0199999999999996"/>
    <s v="&lt; 5kg"/>
    <n v="0"/>
    <n v="5"/>
    <x v="1"/>
    <n v="9000"/>
    <n v="36179.999999999993"/>
    <s v="Joko Susilo"/>
    <s v="internal"/>
    <x v="1"/>
  </r>
  <r>
    <s v="SHP00411"/>
    <s v="EMP011"/>
    <x v="325"/>
    <d v="2024-02-20T00:00:00"/>
    <x v="0"/>
    <x v="6"/>
    <x v="2"/>
    <x v="0"/>
    <n v="5.39"/>
    <s v="&gt;5kg"/>
    <n v="4"/>
    <n v="5"/>
    <x v="1"/>
    <n v="9000"/>
    <n v="48510"/>
    <s v="Kurniawan Putra"/>
    <s v="crowd source"/>
    <x v="1"/>
  </r>
  <r>
    <s v="SHP00412"/>
    <s v="EMP012"/>
    <x v="154"/>
    <d v="2024-12-31T00:00:00"/>
    <x v="1"/>
    <x v="8"/>
    <x v="2"/>
    <x v="1"/>
    <n v="5.42"/>
    <s v="&gt;5kg"/>
    <n v="8"/>
    <n v="5"/>
    <x v="0"/>
    <n v="9000"/>
    <n v="48780"/>
    <s v="Lina Marlina"/>
    <s v="internal"/>
    <x v="0"/>
  </r>
  <r>
    <s v="SHP00413"/>
    <s v="EMP013"/>
    <x v="326"/>
    <d v="2023-11-22T00:00:00"/>
    <x v="2"/>
    <x v="7"/>
    <x v="0"/>
    <x v="1"/>
    <n v="3.56"/>
    <s v="&lt; 5kg"/>
    <n v="10"/>
    <n v="3"/>
    <x v="0"/>
    <n v="10000"/>
    <n v="35600"/>
    <s v="Rizky Ananda"/>
    <s v="crowd source"/>
    <x v="0"/>
  </r>
  <r>
    <s v="SHP00414"/>
    <s v="EMP014"/>
    <x v="327"/>
    <d v="2024-04-10T00:00:00"/>
    <x v="3"/>
    <x v="4"/>
    <x v="0"/>
    <x v="0"/>
    <n v="7.14"/>
    <s v="&gt;5kg"/>
    <n v="6"/>
    <n v="3"/>
    <x v="0"/>
    <n v="10000"/>
    <n v="71400"/>
    <s v="Nanda Prakoso"/>
    <s v="internal"/>
    <x v="1"/>
  </r>
  <r>
    <s v="SHP00415"/>
    <s v="EMP015"/>
    <x v="328"/>
    <d v="2024-02-10T00:00:00"/>
    <x v="4"/>
    <x v="2"/>
    <x v="1"/>
    <x v="1"/>
    <n v="10.24"/>
    <s v="&gt;5kg"/>
    <n v="1"/>
    <n v="1"/>
    <x v="1"/>
    <n v="12000"/>
    <n v="122880"/>
    <s v="Oktavian Yusuf"/>
    <s v="crowd source"/>
    <x v="1"/>
  </r>
  <r>
    <s v="SHP00416"/>
    <s v="EMP016"/>
    <x v="329"/>
    <d v="2024-11-04T00:00:00"/>
    <x v="5"/>
    <x v="9"/>
    <x v="0"/>
    <x v="0"/>
    <n v="8.1199999999999992"/>
    <s v="&gt;5kg"/>
    <n v="4"/>
    <n v="3"/>
    <x v="0"/>
    <n v="10000"/>
    <n v="81199.999999999985"/>
    <s v="Putri Ayu Lestari"/>
    <s v="internal"/>
    <x v="0"/>
  </r>
  <r>
    <s v="SHP00417"/>
    <s v="EMP017"/>
    <x v="281"/>
    <d v="2023-02-07T00:00:00"/>
    <x v="6"/>
    <x v="7"/>
    <x v="0"/>
    <x v="1"/>
    <n v="9.42"/>
    <s v="&gt;5kg"/>
    <n v="4"/>
    <n v="3"/>
    <x v="0"/>
    <n v="10000"/>
    <n v="94200"/>
    <s v="Rafi Maulana"/>
    <s v="internal"/>
    <x v="0"/>
  </r>
  <r>
    <s v="SHP00418"/>
    <s v="EMP018"/>
    <x v="330"/>
    <d v="2023-03-31T00:00:00"/>
    <x v="7"/>
    <x v="6"/>
    <x v="0"/>
    <x v="0"/>
    <n v="5.18"/>
    <s v="&gt;5kg"/>
    <n v="4"/>
    <n v="3"/>
    <x v="0"/>
    <n v="10000"/>
    <n v="51800"/>
    <s v="Sari Puspita"/>
    <s v="crowd source"/>
    <x v="0"/>
  </r>
  <r>
    <s v="SHP00419"/>
    <s v="EMP019"/>
    <x v="331"/>
    <d v="2023-03-16T00:00:00"/>
    <x v="8"/>
    <x v="0"/>
    <x v="1"/>
    <x v="0"/>
    <n v="1.76"/>
    <s v="&lt; 5kg"/>
    <n v="0"/>
    <n v="1"/>
    <x v="1"/>
    <n v="12000"/>
    <n v="21120"/>
    <s v="Teguh Wibowo"/>
    <s v="internal"/>
    <x v="1"/>
  </r>
  <r>
    <s v="SHP00420"/>
    <s v="EMP020"/>
    <x v="274"/>
    <d v="2024-06-24T00:00:00"/>
    <x v="9"/>
    <x v="6"/>
    <x v="0"/>
    <x v="0"/>
    <n v="9.31"/>
    <s v="&gt;5kg"/>
    <n v="7"/>
    <n v="3"/>
    <x v="0"/>
    <n v="10000"/>
    <n v="93100"/>
    <s v="Umi Kalsum"/>
    <s v="crowd source"/>
    <x v="0"/>
  </r>
  <r>
    <s v="SHP00421"/>
    <s v="EMP021"/>
    <x v="267"/>
    <d v="2024-06-19T00:00:00"/>
    <x v="0"/>
    <x v="5"/>
    <x v="1"/>
    <x v="0"/>
    <n v="7.2"/>
    <s v="&gt;5kg"/>
    <n v="4"/>
    <n v="1"/>
    <x v="0"/>
    <n v="12000"/>
    <n v="86400"/>
    <s v="Vina Oktaviani"/>
    <s v="internal"/>
    <x v="0"/>
  </r>
  <r>
    <s v="SHP00422"/>
    <s v="EMP022"/>
    <x v="332"/>
    <d v="2024-03-18T00:00:00"/>
    <x v="1"/>
    <x v="9"/>
    <x v="0"/>
    <x v="1"/>
    <n v="1.62"/>
    <s v="&lt; 5kg"/>
    <n v="10"/>
    <n v="3"/>
    <x v="0"/>
    <n v="10000"/>
    <n v="16200.000000000002"/>
    <s v="Wahyu Setiawan"/>
    <s v="crowd source"/>
    <x v="1"/>
  </r>
  <r>
    <s v="SHP00423"/>
    <s v="EMP023"/>
    <x v="333"/>
    <d v="2023-09-20T00:00:00"/>
    <x v="2"/>
    <x v="5"/>
    <x v="0"/>
    <x v="0"/>
    <n v="1.55"/>
    <s v="&lt; 5kg"/>
    <n v="8"/>
    <n v="3"/>
    <x v="0"/>
    <n v="10000"/>
    <n v="15500"/>
    <s v="Yogi Firmansyah"/>
    <s v="internal"/>
    <x v="1"/>
  </r>
  <r>
    <s v="SHP00424"/>
    <s v="EMP024"/>
    <x v="334"/>
    <d v="2025-01-05T00:00:00"/>
    <x v="3"/>
    <x v="5"/>
    <x v="1"/>
    <x v="0"/>
    <n v="10"/>
    <s v="&gt;5kg"/>
    <n v="5"/>
    <n v="1"/>
    <x v="0"/>
    <n v="12000"/>
    <n v="120000"/>
    <s v="Zainal Abidin"/>
    <s v="crowd source"/>
    <x v="1"/>
  </r>
  <r>
    <s v="SHP00425"/>
    <s v="EMP025"/>
    <x v="282"/>
    <d v="2024-04-04T00:00:00"/>
    <x v="4"/>
    <x v="5"/>
    <x v="1"/>
    <x v="0"/>
    <n v="5.08"/>
    <s v="&gt;5kg"/>
    <n v="5"/>
    <n v="1"/>
    <x v="0"/>
    <n v="12000"/>
    <n v="60960"/>
    <s v="Ahmad Fauzi"/>
    <s v="internal"/>
    <x v="0"/>
  </r>
  <r>
    <s v="SHP00426"/>
    <s v="EMP026"/>
    <x v="335"/>
    <d v="2024-03-21T00:00:00"/>
    <x v="5"/>
    <x v="5"/>
    <x v="0"/>
    <x v="1"/>
    <n v="10.31"/>
    <s v="&gt;5kg"/>
    <n v="7"/>
    <n v="3"/>
    <x v="0"/>
    <n v="10000"/>
    <n v="103100"/>
    <s v="Bayu Ramadhan"/>
    <s v="crowd source"/>
    <x v="0"/>
  </r>
  <r>
    <s v="SHP00427"/>
    <s v="EMP027"/>
    <x v="2"/>
    <d v="2024-06-22T00:00:00"/>
    <x v="6"/>
    <x v="8"/>
    <x v="0"/>
    <x v="0"/>
    <n v="5.25"/>
    <s v="&gt;5kg"/>
    <n v="9"/>
    <n v="3"/>
    <x v="0"/>
    <n v="10000"/>
    <n v="52500"/>
    <s v="Cindy Oktavia"/>
    <s v="internal"/>
    <x v="0"/>
  </r>
  <r>
    <s v="SHP00428"/>
    <s v="EMP028"/>
    <x v="172"/>
    <d v="2023-04-30T00:00:00"/>
    <x v="7"/>
    <x v="8"/>
    <x v="0"/>
    <x v="1"/>
    <n v="7.9"/>
    <s v="&gt;5kg"/>
    <n v="8"/>
    <n v="3"/>
    <x v="0"/>
    <n v="10000"/>
    <n v="79000"/>
    <s v="Dian Pramudya"/>
    <s v="crowd source"/>
    <x v="1"/>
  </r>
  <r>
    <s v="SHP00429"/>
    <s v="EMP029"/>
    <x v="326"/>
    <d v="2023-11-12T00:00:00"/>
    <x v="8"/>
    <x v="2"/>
    <x v="1"/>
    <x v="1"/>
    <n v="9.5399999999999991"/>
    <s v="&gt;5kg"/>
    <n v="0"/>
    <n v="1"/>
    <x v="1"/>
    <n v="12000"/>
    <n v="114479.99999999999"/>
    <s v="Erwin Kurniawan"/>
    <s v="internal"/>
    <x v="1"/>
  </r>
  <r>
    <s v="SHP00430"/>
    <s v="EMP030"/>
    <x v="336"/>
    <d v="2023-07-24T00:00:00"/>
    <x v="9"/>
    <x v="9"/>
    <x v="0"/>
    <x v="1"/>
    <n v="8.39"/>
    <s v="&gt;5kg"/>
    <n v="11"/>
    <n v="3"/>
    <x v="0"/>
    <n v="10000"/>
    <n v="83900"/>
    <s v="Fitri Handayani"/>
    <s v="crowd source"/>
    <x v="0"/>
  </r>
  <r>
    <s v="SHP00431"/>
    <s v="EMP031"/>
    <x v="84"/>
    <d v="2024-11-09T00:00:00"/>
    <x v="0"/>
    <x v="5"/>
    <x v="2"/>
    <x v="0"/>
    <n v="9.41"/>
    <s v="&gt;5kg"/>
    <n v="4"/>
    <n v="5"/>
    <x v="1"/>
    <n v="9000"/>
    <n v="84690"/>
    <s v="Gilang Saputra"/>
    <s v="internal"/>
    <x v="0"/>
  </r>
  <r>
    <s v="SHP00432"/>
    <s v="EMP032"/>
    <x v="337"/>
    <d v="2024-08-23T00:00:00"/>
    <x v="1"/>
    <x v="6"/>
    <x v="0"/>
    <x v="0"/>
    <n v="5.64"/>
    <s v="&gt;5kg"/>
    <n v="1"/>
    <n v="3"/>
    <x v="1"/>
    <n v="10000"/>
    <n v="56400"/>
    <s v="Hariyanto"/>
    <s v="crowd source"/>
    <x v="1"/>
  </r>
  <r>
    <s v="SHP00433"/>
    <s v="EMP033"/>
    <x v="338"/>
    <d v="2023-07-08T00:00:00"/>
    <x v="2"/>
    <x v="6"/>
    <x v="0"/>
    <x v="1"/>
    <n v="6.27"/>
    <s v="&gt;5kg"/>
    <n v="6"/>
    <n v="3"/>
    <x v="0"/>
    <n v="10000"/>
    <n v="62699.999999999993"/>
    <s v="Intan Maharani"/>
    <s v="internal"/>
    <x v="0"/>
  </r>
  <r>
    <s v="SHP00434"/>
    <s v="EMP034"/>
    <x v="339"/>
    <d v="2023-09-06T00:00:00"/>
    <x v="3"/>
    <x v="3"/>
    <x v="2"/>
    <x v="1"/>
    <n v="0.83"/>
    <s v="&lt; 5kg"/>
    <n v="1"/>
    <n v="5"/>
    <x v="1"/>
    <n v="9000"/>
    <n v="7470"/>
    <s v="Jefri Alamsyah"/>
    <s v="internal"/>
    <x v="1"/>
  </r>
  <r>
    <s v="SHP00435"/>
    <s v="EMP035"/>
    <x v="124"/>
    <d v="2023-11-24T00:00:00"/>
    <x v="4"/>
    <x v="2"/>
    <x v="2"/>
    <x v="0"/>
    <n v="2.7"/>
    <s v="&lt; 5kg"/>
    <n v="1"/>
    <n v="5"/>
    <x v="1"/>
    <n v="9000"/>
    <n v="24300"/>
    <s v="Kartika Sari"/>
    <s v="crowd source"/>
    <x v="0"/>
  </r>
  <r>
    <s v="SHP00436"/>
    <s v="EMP036"/>
    <x v="340"/>
    <d v="2023-10-17T00:00:00"/>
    <x v="5"/>
    <x v="2"/>
    <x v="0"/>
    <x v="1"/>
    <n v="5.92"/>
    <s v="&gt;5kg"/>
    <n v="0"/>
    <n v="3"/>
    <x v="1"/>
    <n v="10000"/>
    <n v="59200"/>
    <s v="Lukman Hakim"/>
    <s v="internal"/>
    <x v="1"/>
  </r>
  <r>
    <s v="SHP00437"/>
    <s v="EMP037"/>
    <x v="341"/>
    <d v="2023-09-26T00:00:00"/>
    <x v="6"/>
    <x v="5"/>
    <x v="0"/>
    <x v="0"/>
    <n v="2.82"/>
    <s v="&lt; 5kg"/>
    <n v="9"/>
    <n v="3"/>
    <x v="0"/>
    <n v="10000"/>
    <n v="28200"/>
    <s v="Mega Puspitasari"/>
    <s v="internal"/>
    <x v="0"/>
  </r>
  <r>
    <s v="SHP00438"/>
    <s v="EMP038"/>
    <x v="342"/>
    <d v="2024-08-01T00:00:00"/>
    <x v="7"/>
    <x v="4"/>
    <x v="0"/>
    <x v="1"/>
    <n v="6"/>
    <s v="&gt;5kg"/>
    <n v="6"/>
    <n v="3"/>
    <x v="0"/>
    <n v="10000"/>
    <n v="60000"/>
    <s v="Niko Prasetyo"/>
    <s v="crowd source"/>
    <x v="1"/>
  </r>
  <r>
    <s v="SHP00439"/>
    <s v="EMP039"/>
    <x v="59"/>
    <d v="2023-06-08T00:00:00"/>
    <x v="8"/>
    <x v="5"/>
    <x v="0"/>
    <x v="1"/>
    <n v="9.76"/>
    <s v="&gt;5kg"/>
    <n v="11"/>
    <n v="3"/>
    <x v="0"/>
    <n v="10000"/>
    <n v="97600"/>
    <s v="Olivia Putri"/>
    <s v="internal"/>
    <x v="0"/>
  </r>
  <r>
    <s v="SHP00440"/>
    <s v="EMP040"/>
    <x v="343"/>
    <d v="2023-07-13T00:00:00"/>
    <x v="9"/>
    <x v="8"/>
    <x v="2"/>
    <x v="0"/>
    <n v="0.62"/>
    <s v="&lt; 5kg"/>
    <n v="2"/>
    <n v="5"/>
    <x v="1"/>
    <n v="9000"/>
    <n v="5580"/>
    <s v="Prasetyo Utomo"/>
    <s v="internal"/>
    <x v="1"/>
  </r>
  <r>
    <s v="SHP00441"/>
    <s v="EMP041"/>
    <x v="69"/>
    <d v="2024-08-17T00:00:00"/>
    <x v="0"/>
    <x v="7"/>
    <x v="2"/>
    <x v="0"/>
    <n v="2.06"/>
    <s v="&lt; 5kg"/>
    <n v="4"/>
    <n v="5"/>
    <x v="1"/>
    <n v="9000"/>
    <n v="18540"/>
    <s v="Qori Annisa"/>
    <s v="crowd source"/>
    <x v="0"/>
  </r>
  <r>
    <s v="SHP00442"/>
    <s v="EMP042"/>
    <x v="344"/>
    <d v="2023-08-12T00:00:00"/>
    <x v="1"/>
    <x v="3"/>
    <x v="1"/>
    <x v="0"/>
    <n v="0.92"/>
    <s v="&lt; 5kg"/>
    <n v="0"/>
    <n v="1"/>
    <x v="1"/>
    <n v="12000"/>
    <n v="11040"/>
    <s v="Rangga Saptonugroho"/>
    <s v="crowd source"/>
    <x v="1"/>
  </r>
  <r>
    <s v="SHP00443"/>
    <s v="EMP043"/>
    <x v="177"/>
    <d v="2024-04-02T00:00:00"/>
    <x v="2"/>
    <x v="5"/>
    <x v="1"/>
    <x v="0"/>
    <n v="4.2"/>
    <s v="&lt; 5kg"/>
    <n v="4"/>
    <n v="1"/>
    <x v="0"/>
    <n v="12000"/>
    <n v="50400"/>
    <s v="Sinta Dewi"/>
    <s v="internal"/>
    <x v="0"/>
  </r>
  <r>
    <s v="SHP00444"/>
    <s v="EMP044"/>
    <x v="53"/>
    <d v="2023-05-11T00:00:00"/>
    <x v="3"/>
    <x v="9"/>
    <x v="1"/>
    <x v="0"/>
    <n v="5.77"/>
    <s v="&gt;5kg"/>
    <n v="8"/>
    <n v="1"/>
    <x v="0"/>
    <n v="12000"/>
    <n v="69240"/>
    <s v="Taufik Hidayat"/>
    <s v="internal"/>
    <x v="1"/>
  </r>
  <r>
    <s v="SHP00445"/>
    <s v="EMP045"/>
    <x v="313"/>
    <d v="2024-04-21T00:00:00"/>
    <x v="4"/>
    <x v="5"/>
    <x v="0"/>
    <x v="1"/>
    <n v="3.11"/>
    <s v="&lt; 5kg"/>
    <n v="11"/>
    <n v="3"/>
    <x v="0"/>
    <n v="10000"/>
    <n v="31100"/>
    <s v="Usman Ali"/>
    <s v="crowd source"/>
    <x v="0"/>
  </r>
  <r>
    <s v="SHP00446"/>
    <s v="EMP046"/>
    <x v="345"/>
    <d v="2024-06-23T00:00:00"/>
    <x v="5"/>
    <x v="5"/>
    <x v="1"/>
    <x v="1"/>
    <n v="3.52"/>
    <s v="&lt; 5kg"/>
    <n v="5"/>
    <n v="1"/>
    <x v="0"/>
    <n v="12000"/>
    <n v="42240"/>
    <s v="Vivi Lestari"/>
    <s v="internal"/>
    <x v="0"/>
  </r>
  <r>
    <s v="SHP00447"/>
    <s v="EMP047"/>
    <x v="314"/>
    <d v="2023-03-31T00:00:00"/>
    <x v="6"/>
    <x v="7"/>
    <x v="1"/>
    <x v="1"/>
    <n v="0.51"/>
    <s v="&lt; 5kg"/>
    <n v="0"/>
    <n v="1"/>
    <x v="1"/>
    <n v="12000"/>
    <n v="6120"/>
    <s v="Wawan Setiabudi"/>
    <s v="internal"/>
    <x v="1"/>
  </r>
  <r>
    <s v="SHP00448"/>
    <s v="EMP048"/>
    <x v="346"/>
    <d v="2024-05-13T00:00:00"/>
    <x v="7"/>
    <x v="5"/>
    <x v="2"/>
    <x v="0"/>
    <n v="8.1999999999999993"/>
    <s v="&gt;5kg"/>
    <n v="4"/>
    <n v="5"/>
    <x v="1"/>
    <n v="9000"/>
    <n v="73800"/>
    <s v="Xenia Maharani"/>
    <s v="crowd source"/>
    <x v="0"/>
  </r>
  <r>
    <s v="SHP00449"/>
    <s v="EMP049"/>
    <x v="347"/>
    <d v="2023-10-28T00:00:00"/>
    <x v="8"/>
    <x v="1"/>
    <x v="1"/>
    <x v="1"/>
    <n v="6.83"/>
    <s v="&gt;5kg"/>
    <n v="4"/>
    <n v="1"/>
    <x v="0"/>
    <n v="12000"/>
    <n v="81960"/>
    <s v="Yoga Pradana"/>
    <s v="internal"/>
    <x v="0"/>
  </r>
  <r>
    <s v="SHP00450"/>
    <s v="EMP050"/>
    <x v="294"/>
    <d v="2024-01-17T00:00:00"/>
    <x v="9"/>
    <x v="0"/>
    <x v="2"/>
    <x v="0"/>
    <n v="8.06"/>
    <s v="&gt;5kg"/>
    <n v="1"/>
    <n v="5"/>
    <x v="1"/>
    <n v="9000"/>
    <n v="72540"/>
    <s v="Zulfikar Ramadhan"/>
    <s v="crowd source"/>
    <x v="1"/>
  </r>
  <r>
    <s v="SHP00451"/>
    <s v="EMP051"/>
    <x v="40"/>
    <d v="2024-04-07T00:00:00"/>
    <x v="0"/>
    <x v="1"/>
    <x v="0"/>
    <x v="1"/>
    <n v="9.9600000000000009"/>
    <s v="&gt;5kg"/>
    <n v="4"/>
    <n v="3"/>
    <x v="0"/>
    <n v="10000"/>
    <n v="99600.000000000015"/>
    <s v="Aditya Saputra"/>
    <s v="internal"/>
    <x v="0"/>
  </r>
  <r>
    <s v="SHP00452"/>
    <s v="EMP052"/>
    <x v="348"/>
    <d v="2024-06-03T00:00:00"/>
    <x v="1"/>
    <x v="9"/>
    <x v="2"/>
    <x v="0"/>
    <n v="3.22"/>
    <s v="&lt; 5kg"/>
    <n v="3"/>
    <n v="5"/>
    <x v="1"/>
    <n v="9000"/>
    <n v="28980"/>
    <s v="Bella Oktaviani"/>
    <s v="internal"/>
    <x v="0"/>
  </r>
  <r>
    <s v="SHP00453"/>
    <s v="EMP053"/>
    <x v="349"/>
    <d v="2023-11-07T00:00:00"/>
    <x v="2"/>
    <x v="0"/>
    <x v="0"/>
    <x v="0"/>
    <n v="7.51"/>
    <s v="&gt;5kg"/>
    <n v="10"/>
    <n v="3"/>
    <x v="0"/>
    <n v="10000"/>
    <n v="75100"/>
    <s v="Chandra Wijaya"/>
    <s v="crowd source"/>
    <x v="1"/>
  </r>
  <r>
    <s v="SHP00454"/>
    <s v="EMP054"/>
    <x v="350"/>
    <d v="2023-06-11T00:00:00"/>
    <x v="3"/>
    <x v="4"/>
    <x v="0"/>
    <x v="0"/>
    <n v="0.68"/>
    <s v="&lt; 5kg"/>
    <n v="3"/>
    <n v="3"/>
    <x v="1"/>
    <n v="10000"/>
    <n v="6800.0000000000009"/>
    <s v="Dewi Sartika"/>
    <s v="internal"/>
    <x v="0"/>
  </r>
  <r>
    <s v="SHP00455"/>
    <s v="EMP055"/>
    <x v="260"/>
    <d v="2024-11-27T00:00:00"/>
    <x v="4"/>
    <x v="2"/>
    <x v="0"/>
    <x v="0"/>
    <n v="1.36"/>
    <s v="&lt; 5kg"/>
    <n v="1"/>
    <n v="3"/>
    <x v="1"/>
    <n v="10000"/>
    <n v="13600.000000000002"/>
    <s v="Edi Kurniawan"/>
    <s v="internal"/>
    <x v="1"/>
  </r>
  <r>
    <s v="SHP00456"/>
    <s v="EMP056"/>
    <x v="124"/>
    <d v="2023-12-03T00:00:00"/>
    <x v="5"/>
    <x v="6"/>
    <x v="2"/>
    <x v="0"/>
    <n v="7.96"/>
    <s v="&gt;5kg"/>
    <n v="10"/>
    <n v="5"/>
    <x v="0"/>
    <n v="9000"/>
    <n v="71640"/>
    <s v="Farah Nabila"/>
    <s v="crowd source"/>
    <x v="0"/>
  </r>
  <r>
    <s v="SHP00457"/>
    <s v="EMP057"/>
    <x v="351"/>
    <d v="2024-01-30T00:00:00"/>
    <x v="6"/>
    <x v="3"/>
    <x v="2"/>
    <x v="0"/>
    <n v="8.58"/>
    <s v="&gt;5kg"/>
    <n v="4"/>
    <n v="5"/>
    <x v="1"/>
    <n v="9000"/>
    <n v="77220"/>
    <s v="Galih Pratomo"/>
    <s v="internal"/>
    <x v="0"/>
  </r>
  <r>
    <s v="SHP00458"/>
    <s v="EMP058"/>
    <x v="326"/>
    <d v="2023-11-12T00:00:00"/>
    <x v="7"/>
    <x v="4"/>
    <x v="0"/>
    <x v="0"/>
    <n v="10.42"/>
    <s v="&gt;5kg"/>
    <n v="0"/>
    <n v="3"/>
    <x v="1"/>
    <n v="10000"/>
    <n v="104200"/>
    <s v="Hadi Purnomo"/>
    <s v="crowd source"/>
    <x v="1"/>
  </r>
  <r>
    <s v="SHP00459"/>
    <s v="EMP059"/>
    <x v="352"/>
    <d v="2023-08-20T00:00:00"/>
    <x v="8"/>
    <x v="6"/>
    <x v="1"/>
    <x v="1"/>
    <n v="4.0599999999999996"/>
    <s v="&lt; 5kg"/>
    <n v="6"/>
    <n v="1"/>
    <x v="0"/>
    <n v="12000"/>
    <n v="48719.999999999993"/>
    <s v="Ika Lestari"/>
    <s v="internal"/>
    <x v="0"/>
  </r>
  <r>
    <s v="SHP00460"/>
    <s v="EMP060"/>
    <x v="242"/>
    <d v="2024-09-03T00:00:00"/>
    <x v="9"/>
    <x v="7"/>
    <x v="0"/>
    <x v="1"/>
    <n v="4.1100000000000003"/>
    <s v="&lt; 5kg"/>
    <n v="1"/>
    <n v="3"/>
    <x v="1"/>
    <n v="10000"/>
    <n v="41100"/>
    <s v="Jamil Akbar"/>
    <s v="internal"/>
    <x v="1"/>
  </r>
  <r>
    <s v="SHP00461"/>
    <s v="EMP061"/>
    <x v="353"/>
    <d v="2024-02-28T00:00:00"/>
    <x v="0"/>
    <x v="4"/>
    <x v="0"/>
    <x v="0"/>
    <n v="6.97"/>
    <s v="&gt;5kg"/>
    <n v="4"/>
    <n v="3"/>
    <x v="0"/>
    <n v="10000"/>
    <n v="69700"/>
    <s v="Kevin Sanjaya"/>
    <s v="crowd source"/>
    <x v="0"/>
  </r>
  <r>
    <s v="SHP00462"/>
    <s v="EMP062"/>
    <x v="288"/>
    <d v="2024-09-11T00:00:00"/>
    <x v="1"/>
    <x v="2"/>
    <x v="2"/>
    <x v="1"/>
    <n v="9.8000000000000007"/>
    <s v="&gt;5kg"/>
    <n v="4"/>
    <n v="5"/>
    <x v="1"/>
    <n v="9000"/>
    <n v="88200"/>
    <s v="Laila Nuraini"/>
    <s v="internal"/>
    <x v="0"/>
  </r>
  <r>
    <s v="SHP00463"/>
    <s v="EMP063"/>
    <x v="354"/>
    <d v="2024-04-25T00:00:00"/>
    <x v="2"/>
    <x v="6"/>
    <x v="0"/>
    <x v="1"/>
    <n v="10"/>
    <s v="&gt;5kg"/>
    <n v="10"/>
    <n v="3"/>
    <x v="0"/>
    <n v="10000"/>
    <n v="100000"/>
    <s v="Miko Setiawan"/>
    <s v="crowd source"/>
    <x v="1"/>
  </r>
  <r>
    <s v="SHP00464"/>
    <s v="EMP064"/>
    <x v="175"/>
    <d v="2023-01-11T00:00:00"/>
    <x v="3"/>
    <x v="4"/>
    <x v="0"/>
    <x v="1"/>
    <n v="9.64"/>
    <s v="&gt;5kg"/>
    <n v="9"/>
    <n v="3"/>
    <x v="0"/>
    <n v="10000"/>
    <n v="96400"/>
    <s v="Nisa Aulia"/>
    <s v="internal"/>
    <x v="0"/>
  </r>
  <r>
    <s v="SHP00465"/>
    <s v="EMP065"/>
    <x v="355"/>
    <d v="2023-07-15T00:00:00"/>
    <x v="4"/>
    <x v="7"/>
    <x v="1"/>
    <x v="1"/>
    <n v="4.55"/>
    <s v="&lt; 5kg"/>
    <n v="7"/>
    <n v="1"/>
    <x v="0"/>
    <n v="12000"/>
    <n v="54600"/>
    <s v="Oki Pramono"/>
    <s v="internal"/>
    <x v="1"/>
  </r>
  <r>
    <s v="SHP00466"/>
    <s v="EMP066"/>
    <x v="356"/>
    <d v="2023-10-09T00:00:00"/>
    <x v="5"/>
    <x v="3"/>
    <x v="0"/>
    <x v="0"/>
    <n v="7.38"/>
    <s v="&gt;5kg"/>
    <n v="4"/>
    <n v="3"/>
    <x v="0"/>
    <n v="10000"/>
    <n v="73800"/>
    <s v="Putra Mahendra"/>
    <s v="crowd source"/>
    <x v="0"/>
  </r>
  <r>
    <s v="SHP00467"/>
    <s v="EMP067"/>
    <x v="352"/>
    <d v="2023-08-18T00:00:00"/>
    <x v="6"/>
    <x v="0"/>
    <x v="0"/>
    <x v="1"/>
    <n v="8.11"/>
    <s v="&gt;5kg"/>
    <n v="4"/>
    <n v="3"/>
    <x v="0"/>
    <n v="10000"/>
    <n v="81100"/>
    <s v="Qolbi Ramadhani"/>
    <s v="internal"/>
    <x v="0"/>
  </r>
  <r>
    <s v="SHP00468"/>
    <s v="EMP068"/>
    <x v="85"/>
    <d v="2024-09-03T00:00:00"/>
    <x v="7"/>
    <x v="7"/>
    <x v="2"/>
    <x v="1"/>
    <n v="9.06"/>
    <s v="&gt;5kg"/>
    <n v="2"/>
    <n v="5"/>
    <x v="1"/>
    <n v="9000"/>
    <n v="81540"/>
    <s v="Reza Firmansyah"/>
    <s v="crowd source"/>
    <x v="1"/>
  </r>
  <r>
    <s v="SHP00469"/>
    <s v="EMP069"/>
    <x v="357"/>
    <d v="2024-04-24T00:00:00"/>
    <x v="8"/>
    <x v="3"/>
    <x v="0"/>
    <x v="0"/>
    <n v="8.0399999999999991"/>
    <s v="&gt;5kg"/>
    <n v="4"/>
    <n v="3"/>
    <x v="0"/>
    <n v="10000"/>
    <n v="80399.999999999985"/>
    <s v="Siska Amelia"/>
    <s v="internal"/>
    <x v="0"/>
  </r>
  <r>
    <s v="SHP00470"/>
    <s v="EMP070"/>
    <x v="358"/>
    <d v="2024-05-29T00:00:00"/>
    <x v="9"/>
    <x v="5"/>
    <x v="1"/>
    <x v="0"/>
    <n v="2.58"/>
    <s v="&lt; 5kg"/>
    <n v="8"/>
    <n v="1"/>
    <x v="0"/>
    <n v="12000"/>
    <n v="30960"/>
    <s v="Tri Wibowo"/>
    <s v="internal"/>
    <x v="1"/>
  </r>
  <r>
    <s v="SHP00471"/>
    <s v="EMP071"/>
    <x v="359"/>
    <d v="2023-04-29T00:00:00"/>
    <x v="0"/>
    <x v="8"/>
    <x v="2"/>
    <x v="1"/>
    <n v="3.42"/>
    <s v="&lt; 5kg"/>
    <n v="8"/>
    <n v="5"/>
    <x v="0"/>
    <n v="9000"/>
    <n v="30780"/>
    <s v="Ubay Prakoso"/>
    <s v="crowd source"/>
    <x v="0"/>
  </r>
  <r>
    <s v="SHP00472"/>
    <s v="EMP072"/>
    <x v="360"/>
    <d v="2024-05-07T00:00:00"/>
    <x v="1"/>
    <x v="3"/>
    <x v="0"/>
    <x v="0"/>
    <n v="7.85"/>
    <s v="&gt;5kg"/>
    <n v="4"/>
    <n v="3"/>
    <x v="0"/>
    <n v="10000"/>
    <n v="78500"/>
    <s v="Vania Putri"/>
    <s v="internal"/>
    <x v="0"/>
  </r>
  <r>
    <s v="SHP00473"/>
    <s v="EMP073"/>
    <x v="361"/>
    <d v="2024-09-26T00:00:00"/>
    <x v="2"/>
    <x v="2"/>
    <x v="1"/>
    <x v="0"/>
    <n v="4.2699999999999996"/>
    <s v="&lt; 5kg"/>
    <n v="0"/>
    <n v="1"/>
    <x v="1"/>
    <n v="12000"/>
    <n v="51239.999999999993"/>
    <s v="Wira Nugraha"/>
    <s v="internal"/>
    <x v="1"/>
  </r>
  <r>
    <s v="SHP00474"/>
    <s v="EMP074"/>
    <x v="362"/>
    <d v="2023-09-04T00:00:00"/>
    <x v="3"/>
    <x v="8"/>
    <x v="0"/>
    <x v="0"/>
    <n v="2.11"/>
    <s v="&lt; 5kg"/>
    <n v="8"/>
    <n v="3"/>
    <x v="0"/>
    <n v="10000"/>
    <n v="21100"/>
    <s v="Xaverius Adi"/>
    <s v="crowd source"/>
    <x v="1"/>
  </r>
  <r>
    <s v="SHP00475"/>
    <s v="EMP075"/>
    <x v="363"/>
    <d v="2023-11-22T00:00:00"/>
    <x v="4"/>
    <x v="7"/>
    <x v="2"/>
    <x v="0"/>
    <n v="7.89"/>
    <s v="&gt;5kg"/>
    <n v="9"/>
    <n v="5"/>
    <x v="0"/>
    <n v="9000"/>
    <n v="71010"/>
    <s v="Yuliana Kartini"/>
    <s v="internal"/>
    <x v="0"/>
  </r>
  <r>
    <s v="SHP00476"/>
    <s v="EMP076"/>
    <x v="128"/>
    <d v="2023-02-05T00:00:00"/>
    <x v="5"/>
    <x v="2"/>
    <x v="0"/>
    <x v="0"/>
    <n v="6.99"/>
    <s v="&gt;5kg"/>
    <n v="4"/>
    <n v="3"/>
    <x v="0"/>
    <n v="10000"/>
    <n v="69900"/>
    <s v="Zaki Alamsyah"/>
    <s v="internal"/>
    <x v="0"/>
  </r>
  <r>
    <s v="SHP00477"/>
    <s v="EMP077"/>
    <x v="97"/>
    <d v="2024-01-18T00:00:00"/>
    <x v="6"/>
    <x v="6"/>
    <x v="0"/>
    <x v="0"/>
    <n v="9.64"/>
    <s v="&gt;5kg"/>
    <n v="9"/>
    <n v="3"/>
    <x v="0"/>
    <n v="10000"/>
    <n v="96400"/>
    <s v="Arief Setyawan"/>
    <s v="crowd source"/>
    <x v="1"/>
  </r>
  <r>
    <s v="SHP00478"/>
    <s v="EMP078"/>
    <x v="364"/>
    <d v="2024-03-03T00:00:00"/>
    <x v="7"/>
    <x v="1"/>
    <x v="0"/>
    <x v="1"/>
    <n v="1.51"/>
    <s v="&lt; 5kg"/>
    <n v="2"/>
    <n v="3"/>
    <x v="1"/>
    <n v="10000"/>
    <n v="15100"/>
    <s v="Bunga Cahyani"/>
    <s v="internal"/>
    <x v="0"/>
  </r>
  <r>
    <s v="SHP00479"/>
    <s v="EMP079"/>
    <x v="232"/>
    <d v="2024-08-24T00:00:00"/>
    <x v="8"/>
    <x v="8"/>
    <x v="2"/>
    <x v="0"/>
    <n v="2.4500000000000002"/>
    <s v="&lt; 5kg"/>
    <n v="6"/>
    <n v="5"/>
    <x v="0"/>
    <n v="9000"/>
    <n v="22050"/>
    <s v="Cahyo Prabowo"/>
    <s v="internal"/>
    <x v="1"/>
  </r>
  <r>
    <s v="SHP00480"/>
    <s v="EMP080"/>
    <x v="69"/>
    <d v="2024-08-17T00:00:00"/>
    <x v="9"/>
    <x v="8"/>
    <x v="0"/>
    <x v="0"/>
    <n v="10.32"/>
    <s v="&gt;5kg"/>
    <n v="4"/>
    <n v="3"/>
    <x v="0"/>
    <n v="10000"/>
    <n v="103200"/>
    <s v="Diah Permata"/>
    <s v="crowd source"/>
    <x v="0"/>
  </r>
  <r>
    <s v="SHP00481"/>
    <s v="EMP081"/>
    <x v="365"/>
    <d v="2024-10-31T00:00:00"/>
    <x v="0"/>
    <x v="7"/>
    <x v="1"/>
    <x v="0"/>
    <n v="5.2"/>
    <s v="&gt;5kg"/>
    <n v="5"/>
    <n v="1"/>
    <x v="0"/>
    <n v="12000"/>
    <n v="62400"/>
    <s v="Evania Putri"/>
    <s v="internal"/>
    <x v="0"/>
  </r>
  <r>
    <s v="SHP00482"/>
    <s v="EMP082"/>
    <x v="366"/>
    <d v="2023-09-30T00:00:00"/>
    <x v="1"/>
    <x v="3"/>
    <x v="1"/>
    <x v="0"/>
    <n v="7.58"/>
    <s v="&gt;5kg"/>
    <n v="0"/>
    <n v="1"/>
    <x v="1"/>
    <n v="12000"/>
    <n v="90960"/>
    <s v="Fikri Ramadhan"/>
    <s v="crowd source"/>
    <x v="1"/>
  </r>
  <r>
    <s v="SHP00483"/>
    <s v="EMP083"/>
    <x v="367"/>
    <d v="2024-07-05T00:00:00"/>
    <x v="2"/>
    <x v="3"/>
    <x v="1"/>
    <x v="0"/>
    <n v="4.93"/>
    <s v="&lt; 5kg"/>
    <n v="1"/>
    <n v="1"/>
    <x v="1"/>
    <n v="12000"/>
    <n v="59160"/>
    <s v="Gilang Ramli"/>
    <s v="internal"/>
    <x v="0"/>
  </r>
  <r>
    <s v="SHP00484"/>
    <s v="EMP084"/>
    <x v="368"/>
    <d v="2023-01-25T00:00:00"/>
    <x v="3"/>
    <x v="6"/>
    <x v="0"/>
    <x v="0"/>
    <n v="0.91"/>
    <s v="&lt; 5kg"/>
    <n v="0"/>
    <n v="3"/>
    <x v="1"/>
    <n v="10000"/>
    <n v="9100"/>
    <s v="Hana Zahra"/>
    <s v="internal"/>
    <x v="0"/>
  </r>
  <r>
    <s v="SHP00485"/>
    <s v="EMP085"/>
    <x v="369"/>
    <d v="2024-02-26T00:00:00"/>
    <x v="4"/>
    <x v="0"/>
    <x v="0"/>
    <x v="1"/>
    <n v="9.93"/>
    <s v="&gt;5kg"/>
    <n v="3"/>
    <n v="3"/>
    <x v="1"/>
    <n v="10000"/>
    <n v="99300"/>
    <s v="Irfan Maulana"/>
    <s v="internal"/>
    <x v="1"/>
  </r>
  <r>
    <s v="SHP00486"/>
    <s v="EMP086"/>
    <x v="370"/>
    <d v="2024-05-31T00:00:00"/>
    <x v="5"/>
    <x v="2"/>
    <x v="0"/>
    <x v="1"/>
    <n v="8.11"/>
    <s v="&gt;5kg"/>
    <n v="4"/>
    <n v="3"/>
    <x v="0"/>
    <n v="10000"/>
    <n v="81100"/>
    <s v="Jihan Salsabila"/>
    <s v="crowd source"/>
    <x v="0"/>
  </r>
  <r>
    <s v="SHP00487"/>
    <s v="EMP087"/>
    <x v="371"/>
    <d v="2024-08-22T00:00:00"/>
    <x v="6"/>
    <x v="0"/>
    <x v="0"/>
    <x v="1"/>
    <n v="9.08"/>
    <s v="&gt;5kg"/>
    <n v="7"/>
    <n v="3"/>
    <x v="0"/>
    <n v="10000"/>
    <n v="90800"/>
    <s v="Koko Santoso"/>
    <s v="internal"/>
    <x v="0"/>
  </r>
  <r>
    <s v="SHP00488"/>
    <s v="EMP088"/>
    <x v="92"/>
    <d v="2024-04-29T00:00:00"/>
    <x v="7"/>
    <x v="0"/>
    <x v="0"/>
    <x v="1"/>
    <n v="4.01"/>
    <s v="&lt; 5kg"/>
    <n v="7"/>
    <n v="3"/>
    <x v="0"/>
    <n v="10000"/>
    <n v="40100"/>
    <s v="Luthfi Hakim"/>
    <s v="crowd source"/>
    <x v="1"/>
  </r>
  <r>
    <s v="SHP00489"/>
    <s v="EMP089"/>
    <x v="35"/>
    <d v="2023-09-15T00:00:00"/>
    <x v="8"/>
    <x v="2"/>
    <x v="1"/>
    <x v="0"/>
    <n v="2.7"/>
    <s v="&lt; 5kg"/>
    <n v="0"/>
    <n v="1"/>
    <x v="1"/>
    <n v="12000"/>
    <n v="32400.000000000004"/>
    <s v="Melati Anggraini"/>
    <s v="internal"/>
    <x v="0"/>
  </r>
  <r>
    <s v="SHP00490"/>
    <s v="EMP090"/>
    <x v="372"/>
    <d v="2024-06-08T00:00:00"/>
    <x v="9"/>
    <x v="8"/>
    <x v="0"/>
    <x v="0"/>
    <n v="7.28"/>
    <s v="&gt;5kg"/>
    <n v="7"/>
    <n v="3"/>
    <x v="0"/>
    <n v="10000"/>
    <n v="72800"/>
    <s v="Naufal Rizky"/>
    <s v="internal"/>
    <x v="1"/>
  </r>
  <r>
    <s v="SHP00491"/>
    <s v="EMP091"/>
    <x v="373"/>
    <d v="2024-11-25T00:00:00"/>
    <x v="0"/>
    <x v="0"/>
    <x v="0"/>
    <x v="1"/>
    <n v="5.79"/>
    <s v="&gt;5kg"/>
    <n v="4"/>
    <n v="3"/>
    <x v="0"/>
    <n v="10000"/>
    <n v="57900"/>
    <s v="Olin Febriani"/>
    <s v="crowd source"/>
    <x v="0"/>
  </r>
  <r>
    <s v="SHP00492"/>
    <s v="EMP092"/>
    <x v="374"/>
    <d v="2023-12-04T00:00:00"/>
    <x v="1"/>
    <x v="3"/>
    <x v="1"/>
    <x v="1"/>
    <n v="6.35"/>
    <s v="&gt;5kg"/>
    <n v="0"/>
    <n v="1"/>
    <x v="1"/>
    <n v="12000"/>
    <n v="76200"/>
    <s v="Praditya Wicaksono"/>
    <s v="internal"/>
    <x v="1"/>
  </r>
  <r>
    <s v="SHP00493"/>
    <s v="EMP093"/>
    <x v="375"/>
    <d v="2023-10-27T00:00:00"/>
    <x v="2"/>
    <x v="0"/>
    <x v="0"/>
    <x v="0"/>
    <n v="1.26"/>
    <s v="&lt; 5kg"/>
    <n v="6"/>
    <n v="3"/>
    <x v="0"/>
    <n v="10000"/>
    <n v="12600"/>
    <s v="Qory Azzahra"/>
    <s v="internal"/>
    <x v="0"/>
  </r>
  <r>
    <s v="SHP00494"/>
    <s v="EMP094"/>
    <x v="376"/>
    <d v="2024-03-03T00:00:00"/>
    <x v="3"/>
    <x v="3"/>
    <x v="0"/>
    <x v="0"/>
    <n v="4.8499999999999996"/>
    <s v="&lt; 5kg"/>
    <n v="1"/>
    <n v="3"/>
    <x v="1"/>
    <n v="10000"/>
    <n v="48500"/>
    <s v="Rendi Saputra"/>
    <s v="crowd source"/>
    <x v="1"/>
  </r>
  <r>
    <s v="SHP00495"/>
    <s v="EMP095"/>
    <x v="377"/>
    <d v="2024-06-29T00:00:00"/>
    <x v="4"/>
    <x v="1"/>
    <x v="0"/>
    <x v="0"/>
    <n v="1.1299999999999999"/>
    <s v="&lt; 5kg"/>
    <n v="1"/>
    <n v="3"/>
    <x v="1"/>
    <n v="10000"/>
    <n v="11299.999999999998"/>
    <s v="Salma Nuraini"/>
    <s v="internal"/>
    <x v="0"/>
  </r>
  <r>
    <s v="SHP00496"/>
    <s v="EMP096"/>
    <x v="184"/>
    <d v="2023-11-17T00:00:00"/>
    <x v="5"/>
    <x v="1"/>
    <x v="0"/>
    <x v="0"/>
    <n v="3.67"/>
    <s v="&lt; 5kg"/>
    <n v="3"/>
    <n v="3"/>
    <x v="1"/>
    <n v="10000"/>
    <n v="36700"/>
    <s v="Tegar Prakoso"/>
    <s v="internal"/>
    <x v="1"/>
  </r>
  <r>
    <s v="SHP00497"/>
    <s v="EMP097"/>
    <x v="198"/>
    <d v="2023-05-22T00:00:00"/>
    <x v="6"/>
    <x v="3"/>
    <x v="2"/>
    <x v="0"/>
    <n v="0.94"/>
    <s v="&lt; 5kg"/>
    <n v="1"/>
    <n v="5"/>
    <x v="1"/>
    <n v="9000"/>
    <n v="8460"/>
    <s v="Ulfa Khairunnisa"/>
    <s v="crowd source"/>
    <x v="0"/>
  </r>
  <r>
    <s v="SHP00498"/>
    <s v="EMP098"/>
    <x v="152"/>
    <d v="2023-02-21T00:00:00"/>
    <x v="7"/>
    <x v="4"/>
    <x v="0"/>
    <x v="1"/>
    <n v="3.2"/>
    <s v="&lt; 5kg"/>
    <n v="0"/>
    <n v="3"/>
    <x v="1"/>
    <n v="10000"/>
    <n v="32000"/>
    <s v="Vito Mahendra"/>
    <s v="internal"/>
    <x v="0"/>
  </r>
  <r>
    <s v="SHP00499"/>
    <s v="EMP099"/>
    <x v="378"/>
    <d v="2024-05-25T00:00:00"/>
    <x v="8"/>
    <x v="1"/>
    <x v="1"/>
    <x v="0"/>
    <n v="4.51"/>
    <s v="&lt; 5kg"/>
    <n v="0"/>
    <n v="1"/>
    <x v="1"/>
    <n v="12000"/>
    <n v="54120"/>
    <s v="Winda Sari"/>
    <s v="internal"/>
    <x v="0"/>
  </r>
  <r>
    <s v="SHP00500"/>
    <s v="EMP100"/>
    <x v="247"/>
    <d v="2023-12-01T00:00:00"/>
    <x v="9"/>
    <x v="6"/>
    <x v="0"/>
    <x v="0"/>
    <n v="2.68"/>
    <s v="&lt; 5kg"/>
    <n v="3"/>
    <n v="3"/>
    <x v="1"/>
    <n v="10000"/>
    <n v="26800"/>
    <s v="Yusuf Al Ghazali"/>
    <s v="crowd source"/>
    <x v="1"/>
  </r>
  <r>
    <s v="SHP00501"/>
    <s v="EMP001"/>
    <x v="47"/>
    <d v="2024-06-09T00:00:00"/>
    <x v="0"/>
    <x v="7"/>
    <x v="0"/>
    <x v="0"/>
    <n v="4.91"/>
    <s v="&lt; 5kg"/>
    <n v="2"/>
    <n v="3"/>
    <x v="1"/>
    <n v="10000"/>
    <n v="49100"/>
    <s v="Andi Pratama"/>
    <s v="internal"/>
    <x v="0"/>
  </r>
  <r>
    <s v="SHP00502"/>
    <s v="EMP002"/>
    <x v="36"/>
    <d v="2023-06-07T00:00:00"/>
    <x v="1"/>
    <x v="4"/>
    <x v="2"/>
    <x v="0"/>
    <n v="3.69"/>
    <s v="&lt; 5kg"/>
    <n v="1"/>
    <n v="5"/>
    <x v="1"/>
    <n v="9000"/>
    <n v="33210"/>
    <s v="Budi Santoso"/>
    <s v="internal"/>
    <x v="1"/>
  </r>
  <r>
    <s v="SHP00503"/>
    <s v="EMP003"/>
    <x v="379"/>
    <d v="2023-10-26T00:00:00"/>
    <x v="2"/>
    <x v="2"/>
    <x v="1"/>
    <x v="1"/>
    <n v="2.58"/>
    <s v="&lt; 5kg"/>
    <n v="1"/>
    <n v="1"/>
    <x v="1"/>
    <n v="12000"/>
    <n v="30960"/>
    <s v="Citra Lestari"/>
    <s v="crowd source"/>
    <x v="0"/>
  </r>
  <r>
    <s v="SHP00504"/>
    <s v="EMP004"/>
    <x v="33"/>
    <d v="2024-09-28T00:00:00"/>
    <x v="3"/>
    <x v="3"/>
    <x v="0"/>
    <x v="1"/>
    <n v="7.48"/>
    <s v="&gt;5kg"/>
    <n v="0"/>
    <n v="3"/>
    <x v="1"/>
    <n v="10000"/>
    <n v="74800"/>
    <s v="Dedi Saputra"/>
    <s v="crowd source"/>
    <x v="1"/>
  </r>
  <r>
    <s v="SHP00505"/>
    <s v="EMP005"/>
    <x v="380"/>
    <d v="2024-07-16T00:00:00"/>
    <x v="4"/>
    <x v="0"/>
    <x v="0"/>
    <x v="1"/>
    <n v="6.55"/>
    <s v="&gt;5kg"/>
    <n v="5"/>
    <n v="3"/>
    <x v="0"/>
    <n v="10000"/>
    <n v="65500"/>
    <s v="Eko Nugroho"/>
    <s v="internal"/>
    <x v="0"/>
  </r>
  <r>
    <s v="SHP00506"/>
    <s v="EMP006"/>
    <x v="240"/>
    <d v="2023-12-13T00:00:00"/>
    <x v="5"/>
    <x v="3"/>
    <x v="2"/>
    <x v="0"/>
    <n v="4.34"/>
    <s v="&lt; 5kg"/>
    <n v="2"/>
    <n v="5"/>
    <x v="1"/>
    <n v="9000"/>
    <n v="39060"/>
    <s v="Fajar Hidayat"/>
    <s v="internal"/>
    <x v="1"/>
  </r>
  <r>
    <s v="SHP00507"/>
    <s v="EMP007"/>
    <x v="210"/>
    <d v="2023-06-21T00:00:00"/>
    <x v="6"/>
    <x v="7"/>
    <x v="0"/>
    <x v="0"/>
    <n v="4.07"/>
    <s v="&lt; 5kg"/>
    <n v="3"/>
    <n v="3"/>
    <x v="1"/>
    <n v="10000"/>
    <n v="40700"/>
    <s v="Gita Rahmawati"/>
    <s v="crowd source"/>
    <x v="0"/>
  </r>
  <r>
    <s v="SHP00508"/>
    <s v="EMP008"/>
    <x v="269"/>
    <d v="2023-12-30T00:00:00"/>
    <x v="7"/>
    <x v="1"/>
    <x v="1"/>
    <x v="1"/>
    <n v="1.26"/>
    <s v="&lt; 5kg"/>
    <n v="0"/>
    <n v="1"/>
    <x v="1"/>
    <n v="12000"/>
    <n v="15120"/>
    <s v="Hendra Wijaya"/>
    <s v="internal"/>
    <x v="1"/>
  </r>
  <r>
    <s v="SHP00509"/>
    <s v="EMP009"/>
    <x v="144"/>
    <d v="2023-12-09T00:00:00"/>
    <x v="8"/>
    <x v="3"/>
    <x v="0"/>
    <x v="1"/>
    <n v="0.99"/>
    <s v="&lt; 5kg"/>
    <n v="1"/>
    <n v="3"/>
    <x v="1"/>
    <n v="10000"/>
    <n v="9900"/>
    <s v="Indah Permata"/>
    <s v="crowd source"/>
    <x v="0"/>
  </r>
  <r>
    <s v="SHP00510"/>
    <s v="EMP010"/>
    <x v="51"/>
    <d v="2024-11-02T00:00:00"/>
    <x v="9"/>
    <x v="8"/>
    <x v="2"/>
    <x v="0"/>
    <n v="1"/>
    <s v="&lt; 5kg"/>
    <n v="4"/>
    <n v="5"/>
    <x v="1"/>
    <n v="9000"/>
    <n v="9000"/>
    <s v="Joko Susilo"/>
    <s v="internal"/>
    <x v="1"/>
  </r>
  <r>
    <s v="SHP00511"/>
    <s v="EMP011"/>
    <x v="381"/>
    <d v="2024-08-01T00:00:00"/>
    <x v="0"/>
    <x v="2"/>
    <x v="1"/>
    <x v="0"/>
    <n v="1"/>
    <s v="&lt; 5kg"/>
    <n v="1"/>
    <n v="1"/>
    <x v="1"/>
    <n v="12000"/>
    <n v="12000"/>
    <s v="Kurniawan Putra"/>
    <s v="crowd source"/>
    <x v="1"/>
  </r>
  <r>
    <s v="SHP00512"/>
    <s v="EMP012"/>
    <x v="158"/>
    <d v="2023-03-27T00:00:00"/>
    <x v="1"/>
    <x v="8"/>
    <x v="0"/>
    <x v="1"/>
    <n v="3.84"/>
    <s v="&lt; 5kg"/>
    <n v="3"/>
    <n v="3"/>
    <x v="1"/>
    <n v="10000"/>
    <n v="38400"/>
    <s v="Lina Marlina"/>
    <s v="internal"/>
    <x v="0"/>
  </r>
  <r>
    <s v="SHP00513"/>
    <s v="EMP013"/>
    <x v="221"/>
    <d v="2023-09-26T00:00:00"/>
    <x v="2"/>
    <x v="0"/>
    <x v="0"/>
    <x v="0"/>
    <n v="10.029999999999999"/>
    <s v="&gt;5kg"/>
    <n v="4"/>
    <n v="3"/>
    <x v="0"/>
    <n v="10000"/>
    <n v="100300"/>
    <s v="Rizky Ananda"/>
    <s v="crowd source"/>
    <x v="0"/>
  </r>
  <r>
    <s v="SHP00514"/>
    <s v="EMP014"/>
    <x v="382"/>
    <d v="2023-12-30T00:00:00"/>
    <x v="3"/>
    <x v="4"/>
    <x v="0"/>
    <x v="1"/>
    <n v="1.63"/>
    <s v="&lt; 5kg"/>
    <n v="1"/>
    <n v="3"/>
    <x v="1"/>
    <n v="10000"/>
    <n v="16299.999999999998"/>
    <s v="Nanda Prakoso"/>
    <s v="internal"/>
    <x v="1"/>
  </r>
  <r>
    <s v="SHP00515"/>
    <s v="EMP015"/>
    <x v="181"/>
    <d v="2024-10-07T00:00:00"/>
    <x v="4"/>
    <x v="3"/>
    <x v="0"/>
    <x v="1"/>
    <n v="0.66"/>
    <s v="&lt; 5kg"/>
    <n v="1"/>
    <n v="3"/>
    <x v="1"/>
    <n v="10000"/>
    <n v="6600"/>
    <s v="Oktavian Yusuf"/>
    <s v="crowd source"/>
    <x v="1"/>
  </r>
  <r>
    <s v="SHP00516"/>
    <s v="EMP016"/>
    <x v="270"/>
    <d v="2023-08-02T00:00:00"/>
    <x v="5"/>
    <x v="5"/>
    <x v="2"/>
    <x v="1"/>
    <n v="8.2200000000000006"/>
    <s v="&gt;5kg"/>
    <n v="4"/>
    <n v="5"/>
    <x v="1"/>
    <n v="9000"/>
    <n v="73980"/>
    <s v="Putri Ayu Lestari"/>
    <s v="internal"/>
    <x v="0"/>
  </r>
  <r>
    <s v="SHP00517"/>
    <s v="EMP017"/>
    <x v="383"/>
    <d v="2023-08-16T00:00:00"/>
    <x v="6"/>
    <x v="4"/>
    <x v="0"/>
    <x v="0"/>
    <n v="4.43"/>
    <s v="&lt; 5kg"/>
    <n v="5"/>
    <n v="3"/>
    <x v="0"/>
    <n v="10000"/>
    <n v="44300"/>
    <s v="Rafi Maulana"/>
    <s v="internal"/>
    <x v="0"/>
  </r>
  <r>
    <s v="SHP00518"/>
    <s v="EMP018"/>
    <x v="275"/>
    <d v="2023-07-24T00:00:00"/>
    <x v="7"/>
    <x v="8"/>
    <x v="0"/>
    <x v="1"/>
    <n v="10.37"/>
    <s v="&gt;5kg"/>
    <n v="4"/>
    <n v="3"/>
    <x v="0"/>
    <n v="10000"/>
    <n v="103699.99999999999"/>
    <s v="Sari Puspita"/>
    <s v="crowd source"/>
    <x v="0"/>
  </r>
  <r>
    <s v="SHP00519"/>
    <s v="EMP019"/>
    <x v="104"/>
    <d v="2023-12-26T00:00:00"/>
    <x v="8"/>
    <x v="8"/>
    <x v="1"/>
    <x v="0"/>
    <n v="5.82"/>
    <s v="&gt;5kg"/>
    <n v="10"/>
    <n v="1"/>
    <x v="0"/>
    <n v="12000"/>
    <n v="69840"/>
    <s v="Teguh Wibowo"/>
    <s v="internal"/>
    <x v="1"/>
  </r>
  <r>
    <s v="SHP00520"/>
    <s v="EMP020"/>
    <x v="23"/>
    <d v="2024-09-10T00:00:00"/>
    <x v="9"/>
    <x v="5"/>
    <x v="2"/>
    <x v="1"/>
    <n v="2.64"/>
    <s v="&lt; 5kg"/>
    <n v="1"/>
    <n v="5"/>
    <x v="1"/>
    <n v="9000"/>
    <n v="23760"/>
    <s v="Umi Kalsum"/>
    <s v="crowd source"/>
    <x v="0"/>
  </r>
  <r>
    <s v="SHP00521"/>
    <s v="EMP021"/>
    <x v="54"/>
    <d v="2024-10-13T00:00:00"/>
    <x v="0"/>
    <x v="4"/>
    <x v="2"/>
    <x v="1"/>
    <n v="8.1300000000000008"/>
    <s v="&gt;5kg"/>
    <n v="4"/>
    <n v="5"/>
    <x v="1"/>
    <n v="9000"/>
    <n v="73170"/>
    <s v="Vina Oktaviani"/>
    <s v="internal"/>
    <x v="0"/>
  </r>
  <r>
    <s v="SHP00522"/>
    <s v="EMP022"/>
    <x v="384"/>
    <d v="2023-11-25T00:00:00"/>
    <x v="1"/>
    <x v="8"/>
    <x v="1"/>
    <x v="1"/>
    <n v="8.39"/>
    <s v="&gt;5kg"/>
    <n v="8"/>
    <n v="1"/>
    <x v="0"/>
    <n v="12000"/>
    <n v="100680"/>
    <s v="Wahyu Setiawan"/>
    <s v="crowd source"/>
    <x v="1"/>
  </r>
  <r>
    <s v="SHP00523"/>
    <s v="EMP023"/>
    <x v="385"/>
    <d v="2024-01-06T00:00:00"/>
    <x v="2"/>
    <x v="1"/>
    <x v="1"/>
    <x v="1"/>
    <n v="0.99"/>
    <s v="&lt; 5kg"/>
    <n v="0"/>
    <n v="1"/>
    <x v="1"/>
    <n v="12000"/>
    <n v="11880"/>
    <s v="Yogi Firmansyah"/>
    <s v="internal"/>
    <x v="1"/>
  </r>
  <r>
    <s v="SHP00524"/>
    <s v="EMP024"/>
    <x v="1"/>
    <d v="2023-12-06T00:00:00"/>
    <x v="3"/>
    <x v="4"/>
    <x v="2"/>
    <x v="0"/>
    <n v="5.55"/>
    <s v="&gt;5kg"/>
    <n v="6"/>
    <n v="5"/>
    <x v="0"/>
    <n v="9000"/>
    <n v="49950"/>
    <s v="Zainal Abidin"/>
    <s v="crowd source"/>
    <x v="1"/>
  </r>
  <r>
    <s v="SHP00525"/>
    <s v="EMP025"/>
    <x v="19"/>
    <d v="2023-08-07T00:00:00"/>
    <x v="4"/>
    <x v="0"/>
    <x v="2"/>
    <x v="1"/>
    <n v="5.35"/>
    <s v="&gt;5kg"/>
    <n v="8"/>
    <n v="5"/>
    <x v="0"/>
    <n v="9000"/>
    <n v="48150"/>
    <s v="Ahmad Fauzi"/>
    <s v="internal"/>
    <x v="0"/>
  </r>
  <r>
    <s v="SHP00526"/>
    <s v="EMP026"/>
    <x v="386"/>
    <d v="2023-02-04T00:00:00"/>
    <x v="5"/>
    <x v="4"/>
    <x v="0"/>
    <x v="0"/>
    <n v="5.36"/>
    <s v="&gt;5kg"/>
    <n v="4"/>
    <n v="3"/>
    <x v="0"/>
    <n v="10000"/>
    <n v="53600"/>
    <s v="Bayu Ramadhan"/>
    <s v="crowd source"/>
    <x v="0"/>
  </r>
  <r>
    <s v="SHP00527"/>
    <s v="EMP027"/>
    <x v="387"/>
    <d v="2024-05-28T00:00:00"/>
    <x v="6"/>
    <x v="2"/>
    <x v="2"/>
    <x v="1"/>
    <n v="0.79"/>
    <s v="&lt; 5kg"/>
    <n v="0"/>
    <n v="5"/>
    <x v="1"/>
    <n v="9000"/>
    <n v="7110"/>
    <s v="Cindy Oktavia"/>
    <s v="internal"/>
    <x v="0"/>
  </r>
  <r>
    <s v="SHP00528"/>
    <s v="EMP028"/>
    <x v="388"/>
    <d v="2024-07-21T00:00:00"/>
    <x v="7"/>
    <x v="8"/>
    <x v="2"/>
    <x v="0"/>
    <n v="1.92"/>
    <s v="&lt; 5kg"/>
    <n v="4"/>
    <n v="5"/>
    <x v="1"/>
    <n v="9000"/>
    <n v="17280"/>
    <s v="Dian Pramudya"/>
    <s v="crowd source"/>
    <x v="1"/>
  </r>
  <r>
    <s v="SHP00529"/>
    <s v="EMP029"/>
    <x v="389"/>
    <d v="2024-08-03T00:00:00"/>
    <x v="8"/>
    <x v="5"/>
    <x v="1"/>
    <x v="0"/>
    <n v="2.69"/>
    <s v="&lt; 5kg"/>
    <n v="1"/>
    <n v="1"/>
    <x v="1"/>
    <n v="12000"/>
    <n v="32280"/>
    <s v="Erwin Kurniawan"/>
    <s v="internal"/>
    <x v="1"/>
  </r>
  <r>
    <s v="SHP00530"/>
    <s v="EMP030"/>
    <x v="390"/>
    <d v="2024-04-14T00:00:00"/>
    <x v="9"/>
    <x v="4"/>
    <x v="2"/>
    <x v="1"/>
    <n v="3.44"/>
    <s v="&lt; 5kg"/>
    <n v="7"/>
    <n v="5"/>
    <x v="0"/>
    <n v="9000"/>
    <n v="30960"/>
    <s v="Fitri Handayani"/>
    <s v="crowd source"/>
    <x v="0"/>
  </r>
  <r>
    <s v="SHP00531"/>
    <s v="EMP031"/>
    <x v="236"/>
    <d v="2024-07-07T00:00:00"/>
    <x v="0"/>
    <x v="4"/>
    <x v="0"/>
    <x v="1"/>
    <n v="6.85"/>
    <s v="&gt;5kg"/>
    <n v="4"/>
    <n v="3"/>
    <x v="0"/>
    <n v="10000"/>
    <n v="68500"/>
    <s v="Gilang Saputra"/>
    <s v="internal"/>
    <x v="0"/>
  </r>
  <r>
    <s v="SHP00532"/>
    <s v="EMP032"/>
    <x v="391"/>
    <d v="2023-05-08T00:00:00"/>
    <x v="1"/>
    <x v="7"/>
    <x v="0"/>
    <x v="1"/>
    <n v="6.46"/>
    <s v="&gt;5kg"/>
    <n v="11"/>
    <n v="3"/>
    <x v="0"/>
    <n v="10000"/>
    <n v="64600"/>
    <s v="Hariyanto"/>
    <s v="crowd source"/>
    <x v="1"/>
  </r>
  <r>
    <s v="SHP00533"/>
    <s v="EMP033"/>
    <x v="81"/>
    <d v="2024-05-30T00:00:00"/>
    <x v="2"/>
    <x v="0"/>
    <x v="2"/>
    <x v="1"/>
    <n v="5.87"/>
    <s v="&gt;5kg"/>
    <n v="11"/>
    <n v="5"/>
    <x v="0"/>
    <n v="9000"/>
    <n v="52830"/>
    <s v="Intan Maharani"/>
    <s v="internal"/>
    <x v="0"/>
  </r>
  <r>
    <s v="SHP00534"/>
    <s v="EMP034"/>
    <x v="392"/>
    <d v="2024-12-21T00:00:00"/>
    <x v="3"/>
    <x v="0"/>
    <x v="0"/>
    <x v="1"/>
    <n v="4.1399999999999997"/>
    <s v="&lt; 5kg"/>
    <n v="4"/>
    <n v="3"/>
    <x v="0"/>
    <n v="10000"/>
    <n v="41400"/>
    <s v="Jefri Alamsyah"/>
    <s v="internal"/>
    <x v="1"/>
  </r>
  <r>
    <s v="SHP00535"/>
    <s v="EMP035"/>
    <x v="393"/>
    <d v="2024-01-22T00:00:00"/>
    <x v="4"/>
    <x v="9"/>
    <x v="2"/>
    <x v="1"/>
    <n v="9.69"/>
    <s v="&gt;5kg"/>
    <n v="4"/>
    <n v="5"/>
    <x v="1"/>
    <n v="9000"/>
    <n v="87210"/>
    <s v="Kartika Sari"/>
    <s v="crowd source"/>
    <x v="0"/>
  </r>
  <r>
    <s v="SHP00536"/>
    <s v="EMP036"/>
    <x v="394"/>
    <d v="2023-01-21T00:00:00"/>
    <x v="5"/>
    <x v="1"/>
    <x v="1"/>
    <x v="1"/>
    <n v="4.75"/>
    <s v="&lt; 5kg"/>
    <n v="0"/>
    <n v="1"/>
    <x v="1"/>
    <n v="12000"/>
    <n v="57000"/>
    <s v="Lukman Hakim"/>
    <s v="internal"/>
    <x v="1"/>
  </r>
  <r>
    <s v="SHP00537"/>
    <s v="EMP037"/>
    <x v="301"/>
    <d v="2023-02-11T00:00:00"/>
    <x v="6"/>
    <x v="5"/>
    <x v="1"/>
    <x v="0"/>
    <n v="9.7100000000000009"/>
    <s v="&gt;5kg"/>
    <n v="4"/>
    <n v="1"/>
    <x v="0"/>
    <n v="12000"/>
    <n v="116520.00000000001"/>
    <s v="Mega Puspitasari"/>
    <s v="internal"/>
    <x v="0"/>
  </r>
  <r>
    <s v="SHP00538"/>
    <s v="EMP038"/>
    <x v="395"/>
    <d v="2023-03-15T00:00:00"/>
    <x v="7"/>
    <x v="9"/>
    <x v="1"/>
    <x v="0"/>
    <n v="4.1900000000000004"/>
    <s v="&lt; 5kg"/>
    <n v="7"/>
    <n v="1"/>
    <x v="0"/>
    <n v="12000"/>
    <n v="50280.000000000007"/>
    <s v="Niko Prasetyo"/>
    <s v="crowd source"/>
    <x v="1"/>
  </r>
  <r>
    <s v="SHP00539"/>
    <s v="EMP039"/>
    <x v="213"/>
    <d v="2023-04-18T00:00:00"/>
    <x v="8"/>
    <x v="1"/>
    <x v="0"/>
    <x v="0"/>
    <n v="3.11"/>
    <s v="&lt; 5kg"/>
    <n v="3"/>
    <n v="3"/>
    <x v="1"/>
    <n v="10000"/>
    <n v="31100"/>
    <s v="Olivia Putri"/>
    <s v="internal"/>
    <x v="0"/>
  </r>
  <r>
    <s v="SHP00540"/>
    <s v="EMP040"/>
    <x v="396"/>
    <d v="2024-03-30T00:00:00"/>
    <x v="9"/>
    <x v="1"/>
    <x v="0"/>
    <x v="1"/>
    <n v="0.62"/>
    <s v="&lt; 5kg"/>
    <n v="2"/>
    <n v="3"/>
    <x v="1"/>
    <n v="10000"/>
    <n v="6200"/>
    <s v="Prasetyo Utomo"/>
    <s v="internal"/>
    <x v="1"/>
  </r>
  <r>
    <s v="SHP00541"/>
    <s v="EMP041"/>
    <x v="397"/>
    <d v="2023-11-14T00:00:00"/>
    <x v="0"/>
    <x v="6"/>
    <x v="0"/>
    <x v="1"/>
    <n v="4.7"/>
    <s v="&lt; 5kg"/>
    <n v="10"/>
    <n v="3"/>
    <x v="0"/>
    <n v="10000"/>
    <n v="47000"/>
    <s v="Qori Annisa"/>
    <s v="crowd source"/>
    <x v="0"/>
  </r>
  <r>
    <s v="SHP00542"/>
    <s v="EMP042"/>
    <x v="247"/>
    <d v="2023-12-05T00:00:00"/>
    <x v="1"/>
    <x v="7"/>
    <x v="1"/>
    <x v="0"/>
    <n v="9.39"/>
    <s v="&gt;5kg"/>
    <n v="7"/>
    <n v="1"/>
    <x v="0"/>
    <n v="12000"/>
    <n v="112680"/>
    <s v="Rangga Saptonugroho"/>
    <s v="crowd source"/>
    <x v="1"/>
  </r>
  <r>
    <s v="SHP00543"/>
    <s v="EMP043"/>
    <x v="398"/>
    <d v="2024-02-02T00:00:00"/>
    <x v="2"/>
    <x v="6"/>
    <x v="0"/>
    <x v="0"/>
    <n v="1.24"/>
    <s v="&lt; 5kg"/>
    <n v="10"/>
    <n v="3"/>
    <x v="0"/>
    <n v="10000"/>
    <n v="12400"/>
    <s v="Sinta Dewi"/>
    <s v="internal"/>
    <x v="0"/>
  </r>
  <r>
    <s v="SHP00544"/>
    <s v="EMP044"/>
    <x v="321"/>
    <d v="2023-08-23T00:00:00"/>
    <x v="3"/>
    <x v="2"/>
    <x v="1"/>
    <x v="0"/>
    <n v="1.04"/>
    <s v="&lt; 5kg"/>
    <n v="0"/>
    <n v="1"/>
    <x v="1"/>
    <n v="12000"/>
    <n v="12480"/>
    <s v="Taufik Hidayat"/>
    <s v="internal"/>
    <x v="1"/>
  </r>
  <r>
    <s v="SHP00545"/>
    <s v="EMP045"/>
    <x v="271"/>
    <d v="2023-09-27T00:00:00"/>
    <x v="4"/>
    <x v="2"/>
    <x v="0"/>
    <x v="0"/>
    <n v="5.87"/>
    <s v="&gt;5kg"/>
    <n v="4"/>
    <n v="3"/>
    <x v="0"/>
    <n v="10000"/>
    <n v="58700"/>
    <s v="Usman Ali"/>
    <s v="crowd source"/>
    <x v="0"/>
  </r>
  <r>
    <s v="SHP00546"/>
    <s v="EMP046"/>
    <x v="28"/>
    <d v="2024-08-17T00:00:00"/>
    <x v="5"/>
    <x v="0"/>
    <x v="2"/>
    <x v="0"/>
    <n v="9.0299999999999994"/>
    <s v="&gt;5kg"/>
    <n v="8"/>
    <n v="5"/>
    <x v="0"/>
    <n v="9000"/>
    <n v="81270"/>
    <s v="Vivi Lestari"/>
    <s v="internal"/>
    <x v="0"/>
  </r>
  <r>
    <s v="SHP00547"/>
    <s v="EMP047"/>
    <x v="329"/>
    <d v="2024-11-01T00:00:00"/>
    <x v="6"/>
    <x v="3"/>
    <x v="0"/>
    <x v="1"/>
    <n v="4.87"/>
    <s v="&lt; 5kg"/>
    <n v="1"/>
    <n v="3"/>
    <x v="1"/>
    <n v="10000"/>
    <n v="48700"/>
    <s v="Wawan Setiabudi"/>
    <s v="internal"/>
    <x v="1"/>
  </r>
  <r>
    <s v="SHP00548"/>
    <s v="EMP048"/>
    <x v="233"/>
    <d v="2024-07-03T00:00:00"/>
    <x v="7"/>
    <x v="7"/>
    <x v="1"/>
    <x v="1"/>
    <n v="4.28"/>
    <s v="&lt; 5kg"/>
    <n v="8"/>
    <n v="1"/>
    <x v="0"/>
    <n v="12000"/>
    <n v="51360"/>
    <s v="Xenia Maharani"/>
    <s v="crowd source"/>
    <x v="0"/>
  </r>
  <r>
    <s v="SHP00549"/>
    <s v="EMP049"/>
    <x v="371"/>
    <d v="2024-08-19T00:00:00"/>
    <x v="8"/>
    <x v="1"/>
    <x v="0"/>
    <x v="1"/>
    <n v="10.039999999999999"/>
    <s v="&gt;5kg"/>
    <n v="4"/>
    <n v="3"/>
    <x v="0"/>
    <n v="10000"/>
    <n v="100399.99999999999"/>
    <s v="Yoga Pradana"/>
    <s v="internal"/>
    <x v="0"/>
  </r>
  <r>
    <s v="SHP00550"/>
    <s v="EMP050"/>
    <x v="399"/>
    <d v="2024-03-18T00:00:00"/>
    <x v="9"/>
    <x v="9"/>
    <x v="1"/>
    <x v="0"/>
    <n v="0.6"/>
    <s v="&lt; 5kg"/>
    <n v="6"/>
    <n v="1"/>
    <x v="0"/>
    <n v="12000"/>
    <n v="7200"/>
    <s v="Zulfikar Ramadhan"/>
    <s v="crowd source"/>
    <x v="1"/>
  </r>
  <r>
    <s v="SHP00551"/>
    <s v="EMP051"/>
    <x v="314"/>
    <d v="2023-04-01T00:00:00"/>
    <x v="0"/>
    <x v="5"/>
    <x v="0"/>
    <x v="0"/>
    <n v="4.99"/>
    <s v="&lt; 5kg"/>
    <n v="1"/>
    <n v="3"/>
    <x v="1"/>
    <n v="10000"/>
    <n v="49900"/>
    <s v="Aditya Saputra"/>
    <s v="internal"/>
    <x v="0"/>
  </r>
  <r>
    <s v="SHP00552"/>
    <s v="EMP052"/>
    <x v="400"/>
    <d v="2023-08-18T00:00:00"/>
    <x v="1"/>
    <x v="6"/>
    <x v="0"/>
    <x v="1"/>
    <n v="8.1"/>
    <s v="&gt;5kg"/>
    <n v="5"/>
    <n v="3"/>
    <x v="0"/>
    <n v="10000"/>
    <n v="81000"/>
    <s v="Bella Oktaviani"/>
    <s v="internal"/>
    <x v="0"/>
  </r>
  <r>
    <s v="SHP00553"/>
    <s v="EMP053"/>
    <x v="200"/>
    <d v="2023-06-25T00:00:00"/>
    <x v="2"/>
    <x v="6"/>
    <x v="0"/>
    <x v="1"/>
    <n v="7.8"/>
    <s v="&gt;5kg"/>
    <n v="2"/>
    <n v="3"/>
    <x v="1"/>
    <n v="10000"/>
    <n v="78000"/>
    <s v="Chandra Wijaya"/>
    <s v="crowd source"/>
    <x v="1"/>
  </r>
  <r>
    <s v="SHP00554"/>
    <s v="EMP054"/>
    <x v="401"/>
    <d v="2023-09-27T00:00:00"/>
    <x v="3"/>
    <x v="7"/>
    <x v="1"/>
    <x v="0"/>
    <n v="6.97"/>
    <s v="&gt;5kg"/>
    <n v="11"/>
    <n v="1"/>
    <x v="0"/>
    <n v="12000"/>
    <n v="83640"/>
    <s v="Dewi Sartika"/>
    <s v="internal"/>
    <x v="0"/>
  </r>
  <r>
    <s v="SHP00555"/>
    <s v="EMP055"/>
    <x v="402"/>
    <d v="2023-01-09T00:00:00"/>
    <x v="4"/>
    <x v="4"/>
    <x v="0"/>
    <x v="0"/>
    <n v="2.19"/>
    <s v="&lt; 5kg"/>
    <n v="0"/>
    <n v="3"/>
    <x v="1"/>
    <n v="10000"/>
    <n v="21900"/>
    <s v="Edi Kurniawan"/>
    <s v="internal"/>
    <x v="1"/>
  </r>
  <r>
    <s v="SHP00556"/>
    <s v="EMP056"/>
    <x v="403"/>
    <d v="2024-01-05T00:00:00"/>
    <x v="5"/>
    <x v="0"/>
    <x v="1"/>
    <x v="0"/>
    <n v="3.89"/>
    <s v="&lt; 5kg"/>
    <n v="8"/>
    <n v="1"/>
    <x v="0"/>
    <n v="12000"/>
    <n v="46680"/>
    <s v="Farah Nabila"/>
    <s v="crowd source"/>
    <x v="0"/>
  </r>
  <r>
    <s v="SHP00557"/>
    <s v="EMP057"/>
    <x v="303"/>
    <d v="2023-07-20T00:00:00"/>
    <x v="6"/>
    <x v="1"/>
    <x v="2"/>
    <x v="1"/>
    <n v="1.39"/>
    <s v="&lt; 5kg"/>
    <n v="3"/>
    <n v="5"/>
    <x v="1"/>
    <n v="9000"/>
    <n v="12510"/>
    <s v="Galih Pratomo"/>
    <s v="internal"/>
    <x v="0"/>
  </r>
  <r>
    <s v="SHP00558"/>
    <s v="EMP058"/>
    <x v="404"/>
    <d v="2023-02-01T00:00:00"/>
    <x v="7"/>
    <x v="9"/>
    <x v="2"/>
    <x v="0"/>
    <n v="8.08"/>
    <s v="&gt;5kg"/>
    <n v="4"/>
    <n v="5"/>
    <x v="1"/>
    <n v="9000"/>
    <n v="72720"/>
    <s v="Hadi Purnomo"/>
    <s v="crowd source"/>
    <x v="1"/>
  </r>
  <r>
    <s v="SHP00559"/>
    <s v="EMP059"/>
    <x v="405"/>
    <d v="2024-11-10T00:00:00"/>
    <x v="8"/>
    <x v="5"/>
    <x v="0"/>
    <x v="1"/>
    <n v="3"/>
    <s v="&lt; 5kg"/>
    <n v="7"/>
    <n v="3"/>
    <x v="0"/>
    <n v="10000"/>
    <n v="30000"/>
    <s v="Ika Lestari"/>
    <s v="internal"/>
    <x v="0"/>
  </r>
  <r>
    <s v="SHP00560"/>
    <s v="EMP060"/>
    <x v="406"/>
    <d v="2023-06-15T00:00:00"/>
    <x v="9"/>
    <x v="6"/>
    <x v="0"/>
    <x v="0"/>
    <n v="2.93"/>
    <s v="&lt; 5kg"/>
    <n v="0"/>
    <n v="3"/>
    <x v="1"/>
    <n v="10000"/>
    <n v="29300"/>
    <s v="Jamil Akbar"/>
    <s v="internal"/>
    <x v="1"/>
  </r>
  <r>
    <s v="SHP00561"/>
    <s v="EMP061"/>
    <x v="110"/>
    <d v="2024-10-20T00:00:00"/>
    <x v="0"/>
    <x v="8"/>
    <x v="1"/>
    <x v="1"/>
    <n v="5.63"/>
    <s v="&gt;5kg"/>
    <n v="3"/>
    <n v="1"/>
    <x v="0"/>
    <n v="12000"/>
    <n v="67560"/>
    <s v="Kevin Sanjaya"/>
    <s v="crowd source"/>
    <x v="0"/>
  </r>
  <r>
    <s v="SHP00562"/>
    <s v="EMP062"/>
    <x v="213"/>
    <d v="2023-04-16T00:00:00"/>
    <x v="1"/>
    <x v="3"/>
    <x v="0"/>
    <x v="0"/>
    <n v="2.04"/>
    <s v="&lt; 5kg"/>
    <n v="1"/>
    <n v="3"/>
    <x v="1"/>
    <n v="10000"/>
    <n v="20400"/>
    <s v="Laila Nuraini"/>
    <s v="internal"/>
    <x v="0"/>
  </r>
  <r>
    <s v="SHP00563"/>
    <s v="EMP063"/>
    <x v="407"/>
    <d v="2023-08-06T00:00:00"/>
    <x v="2"/>
    <x v="9"/>
    <x v="0"/>
    <x v="1"/>
    <n v="2.34"/>
    <s v="&lt; 5kg"/>
    <n v="11"/>
    <n v="3"/>
    <x v="0"/>
    <n v="10000"/>
    <n v="23400"/>
    <s v="Miko Setiawan"/>
    <s v="crowd source"/>
    <x v="1"/>
  </r>
  <r>
    <s v="SHP00564"/>
    <s v="EMP064"/>
    <x v="408"/>
    <d v="2023-04-01T00:00:00"/>
    <x v="3"/>
    <x v="4"/>
    <x v="0"/>
    <x v="1"/>
    <n v="4.41"/>
    <s v="&lt; 5kg"/>
    <n v="2"/>
    <n v="3"/>
    <x v="1"/>
    <n v="10000"/>
    <n v="44100"/>
    <s v="Nisa Aulia"/>
    <s v="internal"/>
    <x v="0"/>
  </r>
  <r>
    <s v="SHP00565"/>
    <s v="EMP065"/>
    <x v="200"/>
    <d v="2023-06-27T00:00:00"/>
    <x v="4"/>
    <x v="7"/>
    <x v="0"/>
    <x v="0"/>
    <n v="8.6300000000000008"/>
    <s v="&gt;5kg"/>
    <n v="4"/>
    <n v="3"/>
    <x v="0"/>
    <n v="10000"/>
    <n v="86300.000000000015"/>
    <s v="Oki Pramono"/>
    <s v="internal"/>
    <x v="1"/>
  </r>
  <r>
    <s v="SHP00566"/>
    <s v="EMP066"/>
    <x v="33"/>
    <d v="2024-09-29T00:00:00"/>
    <x v="5"/>
    <x v="7"/>
    <x v="0"/>
    <x v="1"/>
    <n v="1.07"/>
    <s v="&lt; 5kg"/>
    <n v="1"/>
    <n v="3"/>
    <x v="1"/>
    <n v="10000"/>
    <n v="10700"/>
    <s v="Putra Mahendra"/>
    <s v="crowd source"/>
    <x v="0"/>
  </r>
  <r>
    <s v="SHP00567"/>
    <s v="EMP067"/>
    <x v="103"/>
    <d v="2024-07-28T00:00:00"/>
    <x v="6"/>
    <x v="2"/>
    <x v="1"/>
    <x v="1"/>
    <n v="2.74"/>
    <s v="&lt; 5kg"/>
    <n v="1"/>
    <n v="1"/>
    <x v="1"/>
    <n v="12000"/>
    <n v="32880"/>
    <s v="Qolbi Ramadhani"/>
    <s v="internal"/>
    <x v="0"/>
  </r>
  <r>
    <s v="SHP00568"/>
    <s v="EMP068"/>
    <x v="409"/>
    <d v="2024-12-31T00:00:00"/>
    <x v="7"/>
    <x v="5"/>
    <x v="2"/>
    <x v="0"/>
    <n v="2.98"/>
    <s v="&lt; 5kg"/>
    <n v="3"/>
    <n v="5"/>
    <x v="1"/>
    <n v="9000"/>
    <n v="26820"/>
    <s v="Reza Firmansyah"/>
    <s v="crowd source"/>
    <x v="1"/>
  </r>
  <r>
    <s v="SHP00569"/>
    <s v="EMP069"/>
    <x v="410"/>
    <d v="2024-05-10T00:00:00"/>
    <x v="8"/>
    <x v="8"/>
    <x v="2"/>
    <x v="1"/>
    <n v="7.54"/>
    <s v="&gt;5kg"/>
    <n v="11"/>
    <n v="5"/>
    <x v="0"/>
    <n v="9000"/>
    <n v="67860"/>
    <s v="Siska Amelia"/>
    <s v="internal"/>
    <x v="0"/>
  </r>
  <r>
    <s v="SHP00570"/>
    <s v="EMP070"/>
    <x v="363"/>
    <d v="2023-11-15T00:00:00"/>
    <x v="9"/>
    <x v="9"/>
    <x v="1"/>
    <x v="0"/>
    <n v="9.3000000000000007"/>
    <s v="&gt;5kg"/>
    <n v="2"/>
    <n v="1"/>
    <x v="0"/>
    <n v="12000"/>
    <n v="111600.00000000001"/>
    <s v="Tri Wibowo"/>
    <s v="internal"/>
    <x v="1"/>
  </r>
  <r>
    <s v="SHP00571"/>
    <s v="EMP071"/>
    <x v="46"/>
    <d v="2023-09-04T00:00:00"/>
    <x v="0"/>
    <x v="3"/>
    <x v="1"/>
    <x v="1"/>
    <n v="6.08"/>
    <s v="&gt;5kg"/>
    <n v="4"/>
    <n v="1"/>
    <x v="0"/>
    <n v="12000"/>
    <n v="72960"/>
    <s v="Ubay Prakoso"/>
    <s v="crowd source"/>
    <x v="0"/>
  </r>
  <r>
    <s v="SHP00572"/>
    <s v="EMP072"/>
    <x v="6"/>
    <d v="2023-08-24T00:00:00"/>
    <x v="1"/>
    <x v="7"/>
    <x v="0"/>
    <x v="0"/>
    <n v="5.7"/>
    <s v="&gt;5kg"/>
    <n v="4"/>
    <n v="3"/>
    <x v="0"/>
    <n v="10000"/>
    <n v="57000"/>
    <s v="Vania Putri"/>
    <s v="internal"/>
    <x v="0"/>
  </r>
  <r>
    <s v="SHP00573"/>
    <s v="EMP073"/>
    <x v="411"/>
    <d v="2023-12-12T00:00:00"/>
    <x v="2"/>
    <x v="0"/>
    <x v="2"/>
    <x v="0"/>
    <n v="2.61"/>
    <s v="&lt; 5kg"/>
    <n v="2"/>
    <n v="5"/>
    <x v="1"/>
    <n v="9000"/>
    <n v="23490"/>
    <s v="Wira Nugraha"/>
    <s v="internal"/>
    <x v="1"/>
  </r>
  <r>
    <s v="SHP00574"/>
    <s v="EMP074"/>
    <x v="31"/>
    <d v="2024-04-22T00:00:00"/>
    <x v="3"/>
    <x v="5"/>
    <x v="0"/>
    <x v="1"/>
    <n v="6.14"/>
    <s v="&gt;5kg"/>
    <n v="9"/>
    <n v="3"/>
    <x v="0"/>
    <n v="10000"/>
    <n v="61400"/>
    <s v="Xaverius Adi"/>
    <s v="crowd source"/>
    <x v="1"/>
  </r>
  <r>
    <s v="SHP00575"/>
    <s v="EMP075"/>
    <x v="149"/>
    <d v="2024-05-13T00:00:00"/>
    <x v="4"/>
    <x v="7"/>
    <x v="0"/>
    <x v="1"/>
    <n v="3.41"/>
    <s v="&lt; 5kg"/>
    <n v="1"/>
    <n v="3"/>
    <x v="1"/>
    <n v="10000"/>
    <n v="34100"/>
    <s v="Yuliana Kartini"/>
    <s v="internal"/>
    <x v="0"/>
  </r>
  <r>
    <s v="SHP00576"/>
    <s v="EMP076"/>
    <x v="165"/>
    <d v="2024-04-13T00:00:00"/>
    <x v="5"/>
    <x v="5"/>
    <x v="1"/>
    <x v="0"/>
    <n v="4.79"/>
    <s v="&lt; 5kg"/>
    <n v="7"/>
    <n v="1"/>
    <x v="0"/>
    <n v="12000"/>
    <n v="57480"/>
    <s v="Zaki Alamsyah"/>
    <s v="internal"/>
    <x v="0"/>
  </r>
  <r>
    <s v="SHP00577"/>
    <s v="EMP077"/>
    <x v="277"/>
    <d v="2023-12-07T00:00:00"/>
    <x v="6"/>
    <x v="9"/>
    <x v="1"/>
    <x v="0"/>
    <n v="6.04"/>
    <s v="&gt;5kg"/>
    <n v="0"/>
    <n v="1"/>
    <x v="1"/>
    <n v="12000"/>
    <n v="72480"/>
    <s v="Arief Setyawan"/>
    <s v="crowd source"/>
    <x v="1"/>
  </r>
  <r>
    <s v="SHP00578"/>
    <s v="EMP078"/>
    <x v="412"/>
    <d v="2023-02-03T00:00:00"/>
    <x v="7"/>
    <x v="8"/>
    <x v="0"/>
    <x v="1"/>
    <n v="6.69"/>
    <s v="&gt;5kg"/>
    <n v="4"/>
    <n v="3"/>
    <x v="0"/>
    <n v="10000"/>
    <n v="66900"/>
    <s v="Bunga Cahyani"/>
    <s v="internal"/>
    <x v="0"/>
  </r>
  <r>
    <s v="SHP00579"/>
    <s v="EMP079"/>
    <x v="413"/>
    <d v="2024-08-23T00:00:00"/>
    <x v="8"/>
    <x v="4"/>
    <x v="0"/>
    <x v="1"/>
    <n v="0.74"/>
    <s v="&lt; 5kg"/>
    <n v="2"/>
    <n v="3"/>
    <x v="1"/>
    <n v="10000"/>
    <n v="7400"/>
    <s v="Cahyo Prabowo"/>
    <s v="internal"/>
    <x v="1"/>
  </r>
  <r>
    <s v="SHP00580"/>
    <s v="EMP080"/>
    <x v="414"/>
    <d v="2024-01-02T00:00:00"/>
    <x v="9"/>
    <x v="0"/>
    <x v="1"/>
    <x v="0"/>
    <n v="1.99"/>
    <s v="&lt; 5kg"/>
    <n v="0"/>
    <n v="1"/>
    <x v="1"/>
    <n v="12000"/>
    <n v="23880"/>
    <s v="Diah Permata"/>
    <s v="crowd source"/>
    <x v="0"/>
  </r>
  <r>
    <s v="SHP00581"/>
    <s v="EMP081"/>
    <x v="144"/>
    <d v="2023-12-19T00:00:00"/>
    <x v="0"/>
    <x v="0"/>
    <x v="0"/>
    <x v="1"/>
    <n v="8.86"/>
    <s v="&gt;5kg"/>
    <n v="11"/>
    <n v="3"/>
    <x v="0"/>
    <n v="10000"/>
    <n v="88600"/>
    <s v="Evania Putri"/>
    <s v="internal"/>
    <x v="0"/>
  </r>
  <r>
    <s v="SHP00582"/>
    <s v="EMP082"/>
    <x v="36"/>
    <d v="2023-06-07T00:00:00"/>
    <x v="1"/>
    <x v="1"/>
    <x v="0"/>
    <x v="1"/>
    <n v="8.65"/>
    <s v="&gt;5kg"/>
    <n v="1"/>
    <n v="3"/>
    <x v="1"/>
    <n v="10000"/>
    <n v="86500"/>
    <s v="Fikri Ramadhan"/>
    <s v="crowd source"/>
    <x v="1"/>
  </r>
  <r>
    <s v="SHP00583"/>
    <s v="EMP083"/>
    <x v="31"/>
    <d v="2024-04-15T00:00:00"/>
    <x v="2"/>
    <x v="8"/>
    <x v="1"/>
    <x v="1"/>
    <n v="7.19"/>
    <s v="&gt;5kg"/>
    <n v="2"/>
    <n v="1"/>
    <x v="0"/>
    <n v="12000"/>
    <n v="86280"/>
    <s v="Gilang Ramli"/>
    <s v="internal"/>
    <x v="0"/>
  </r>
  <r>
    <s v="SHP00584"/>
    <s v="EMP084"/>
    <x v="415"/>
    <d v="2024-03-03T00:00:00"/>
    <x v="3"/>
    <x v="7"/>
    <x v="0"/>
    <x v="0"/>
    <n v="0.9"/>
    <s v="&lt; 5kg"/>
    <n v="0"/>
    <n v="3"/>
    <x v="1"/>
    <n v="10000"/>
    <n v="9000"/>
    <s v="Hana Zahra"/>
    <s v="internal"/>
    <x v="0"/>
  </r>
  <r>
    <s v="SHP00585"/>
    <s v="EMP085"/>
    <x v="416"/>
    <d v="2023-12-28T00:00:00"/>
    <x v="4"/>
    <x v="0"/>
    <x v="0"/>
    <x v="1"/>
    <n v="5.41"/>
    <s v="&gt;5kg"/>
    <n v="7"/>
    <n v="3"/>
    <x v="0"/>
    <n v="10000"/>
    <n v="54100"/>
    <s v="Irfan Maulana"/>
    <s v="internal"/>
    <x v="1"/>
  </r>
  <r>
    <s v="SHP00586"/>
    <s v="EMP086"/>
    <x v="165"/>
    <d v="2024-04-10T00:00:00"/>
    <x v="5"/>
    <x v="0"/>
    <x v="2"/>
    <x v="1"/>
    <n v="6.3"/>
    <s v="&gt;5kg"/>
    <n v="4"/>
    <n v="5"/>
    <x v="1"/>
    <n v="9000"/>
    <n v="56700"/>
    <s v="Jihan Salsabila"/>
    <s v="crowd source"/>
    <x v="0"/>
  </r>
  <r>
    <s v="SHP00587"/>
    <s v="EMP087"/>
    <x v="63"/>
    <d v="2024-10-11T00:00:00"/>
    <x v="6"/>
    <x v="9"/>
    <x v="1"/>
    <x v="0"/>
    <n v="4.79"/>
    <s v="&lt; 5kg"/>
    <n v="4"/>
    <n v="1"/>
    <x v="0"/>
    <n v="12000"/>
    <n v="57480"/>
    <s v="Koko Santoso"/>
    <s v="internal"/>
    <x v="0"/>
  </r>
  <r>
    <s v="SHP00588"/>
    <s v="EMP088"/>
    <x v="243"/>
    <d v="2023-01-21T00:00:00"/>
    <x v="7"/>
    <x v="4"/>
    <x v="0"/>
    <x v="0"/>
    <n v="8.8000000000000007"/>
    <s v="&gt;5kg"/>
    <n v="2"/>
    <n v="3"/>
    <x v="1"/>
    <n v="10000"/>
    <n v="88000"/>
    <s v="Luthfi Hakim"/>
    <s v="crowd source"/>
    <x v="1"/>
  </r>
  <r>
    <s v="SHP00589"/>
    <s v="EMP089"/>
    <x v="417"/>
    <d v="2023-10-23T00:00:00"/>
    <x v="8"/>
    <x v="3"/>
    <x v="1"/>
    <x v="0"/>
    <n v="4.8600000000000003"/>
    <s v="&lt; 5kg"/>
    <n v="0"/>
    <n v="1"/>
    <x v="1"/>
    <n v="12000"/>
    <n v="58320.000000000007"/>
    <s v="Melati Anggraini"/>
    <s v="internal"/>
    <x v="0"/>
  </r>
  <r>
    <s v="SHP00590"/>
    <s v="EMP090"/>
    <x v="418"/>
    <d v="2023-11-30T00:00:00"/>
    <x v="9"/>
    <x v="9"/>
    <x v="0"/>
    <x v="1"/>
    <n v="9.1300000000000008"/>
    <s v="&gt;5kg"/>
    <n v="3"/>
    <n v="3"/>
    <x v="1"/>
    <n v="10000"/>
    <n v="91300.000000000015"/>
    <s v="Naufal Rizky"/>
    <s v="internal"/>
    <x v="1"/>
  </r>
  <r>
    <s v="SHP00591"/>
    <s v="EMP091"/>
    <x v="139"/>
    <d v="2024-04-19T00:00:00"/>
    <x v="0"/>
    <x v="3"/>
    <x v="0"/>
    <x v="0"/>
    <n v="4.3"/>
    <s v="&lt; 5kg"/>
    <n v="1"/>
    <n v="3"/>
    <x v="1"/>
    <n v="10000"/>
    <n v="43000"/>
    <s v="Olin Febriani"/>
    <s v="crowd source"/>
    <x v="0"/>
  </r>
  <r>
    <s v="SHP00592"/>
    <s v="EMP092"/>
    <x v="419"/>
    <d v="2024-08-29T00:00:00"/>
    <x v="1"/>
    <x v="2"/>
    <x v="2"/>
    <x v="0"/>
    <n v="8.65"/>
    <s v="&gt;5kg"/>
    <n v="4"/>
    <n v="5"/>
    <x v="1"/>
    <n v="9000"/>
    <n v="77850"/>
    <s v="Praditya Wicaksono"/>
    <s v="internal"/>
    <x v="1"/>
  </r>
  <r>
    <s v="SHP00593"/>
    <s v="EMP093"/>
    <x v="239"/>
    <d v="2024-02-15T00:00:00"/>
    <x v="2"/>
    <x v="5"/>
    <x v="1"/>
    <x v="1"/>
    <n v="3.68"/>
    <s v="&lt; 5kg"/>
    <n v="9"/>
    <n v="1"/>
    <x v="0"/>
    <n v="12000"/>
    <n v="44160"/>
    <s v="Qory Azzahra"/>
    <s v="internal"/>
    <x v="0"/>
  </r>
  <r>
    <s v="SHP00594"/>
    <s v="EMP094"/>
    <x v="420"/>
    <d v="2024-12-08T00:00:00"/>
    <x v="3"/>
    <x v="6"/>
    <x v="0"/>
    <x v="0"/>
    <n v="4.43"/>
    <s v="&lt; 5kg"/>
    <n v="1"/>
    <n v="3"/>
    <x v="1"/>
    <n v="10000"/>
    <n v="44300"/>
    <s v="Rendi Saputra"/>
    <s v="crowd source"/>
    <x v="1"/>
  </r>
  <r>
    <s v="SHP00595"/>
    <s v="EMP095"/>
    <x v="421"/>
    <d v="2024-07-19T00:00:00"/>
    <x v="4"/>
    <x v="5"/>
    <x v="1"/>
    <x v="1"/>
    <n v="5.22"/>
    <s v="&gt;5kg"/>
    <n v="4"/>
    <n v="1"/>
    <x v="0"/>
    <n v="12000"/>
    <n v="62640"/>
    <s v="Salma Nuraini"/>
    <s v="internal"/>
    <x v="0"/>
  </r>
  <r>
    <s v="SHP00596"/>
    <s v="EMP096"/>
    <x v="3"/>
    <d v="2023-06-18T00:00:00"/>
    <x v="5"/>
    <x v="6"/>
    <x v="0"/>
    <x v="0"/>
    <n v="4.58"/>
    <s v="&lt; 5kg"/>
    <n v="6"/>
    <n v="3"/>
    <x v="0"/>
    <n v="10000"/>
    <n v="45800"/>
    <s v="Tegar Prakoso"/>
    <s v="internal"/>
    <x v="1"/>
  </r>
  <r>
    <s v="SHP00597"/>
    <s v="EMP097"/>
    <x v="284"/>
    <d v="2023-10-08T00:00:00"/>
    <x v="6"/>
    <x v="3"/>
    <x v="1"/>
    <x v="0"/>
    <n v="6.84"/>
    <s v="&gt;5kg"/>
    <n v="4"/>
    <n v="1"/>
    <x v="0"/>
    <n v="12000"/>
    <n v="82080"/>
    <s v="Ulfa Khairunnisa"/>
    <s v="crowd source"/>
    <x v="0"/>
  </r>
  <r>
    <s v="SHP00598"/>
    <s v="EMP098"/>
    <x v="422"/>
    <d v="2024-09-02T00:00:00"/>
    <x v="7"/>
    <x v="7"/>
    <x v="0"/>
    <x v="0"/>
    <n v="3.64"/>
    <s v="&lt; 5kg"/>
    <n v="3"/>
    <n v="3"/>
    <x v="1"/>
    <n v="10000"/>
    <n v="36400"/>
    <s v="Vito Mahendra"/>
    <s v="internal"/>
    <x v="0"/>
  </r>
  <r>
    <s v="SHP00599"/>
    <s v="EMP099"/>
    <x v="246"/>
    <d v="2024-12-31T00:00:00"/>
    <x v="8"/>
    <x v="7"/>
    <x v="0"/>
    <x v="0"/>
    <n v="7.73"/>
    <s v="&gt;5kg"/>
    <n v="4"/>
    <n v="3"/>
    <x v="0"/>
    <n v="10000"/>
    <n v="77300"/>
    <s v="Winda Sari"/>
    <s v="internal"/>
    <x v="0"/>
  </r>
  <r>
    <s v="SHP00600"/>
    <s v="EMP100"/>
    <x v="423"/>
    <d v="2024-09-23T00:00:00"/>
    <x v="9"/>
    <x v="9"/>
    <x v="2"/>
    <x v="1"/>
    <n v="9.58"/>
    <s v="&gt;5kg"/>
    <n v="3"/>
    <n v="5"/>
    <x v="1"/>
    <n v="9000"/>
    <n v="86220"/>
    <s v="Yusuf Al Ghazali"/>
    <s v="crowd source"/>
    <x v="1"/>
  </r>
  <r>
    <s v="SHP00601"/>
    <s v="EMP001"/>
    <x v="109"/>
    <d v="2023-07-17T00:00:00"/>
    <x v="0"/>
    <x v="3"/>
    <x v="1"/>
    <x v="1"/>
    <n v="4.33"/>
    <s v="&lt; 5kg"/>
    <n v="1"/>
    <n v="1"/>
    <x v="1"/>
    <n v="12000"/>
    <n v="51960"/>
    <s v="Andi Pratama"/>
    <s v="internal"/>
    <x v="0"/>
  </r>
  <r>
    <s v="SHP00602"/>
    <s v="EMP002"/>
    <x v="21"/>
    <d v="2024-04-21T00:00:00"/>
    <x v="1"/>
    <x v="4"/>
    <x v="0"/>
    <x v="1"/>
    <n v="1.48"/>
    <s v="&lt; 5kg"/>
    <n v="0"/>
    <n v="3"/>
    <x v="1"/>
    <n v="10000"/>
    <n v="14800"/>
    <s v="Budi Santoso"/>
    <s v="internal"/>
    <x v="1"/>
  </r>
  <r>
    <s v="SHP00603"/>
    <s v="EMP003"/>
    <x v="78"/>
    <d v="2024-08-20T00:00:00"/>
    <x v="2"/>
    <x v="3"/>
    <x v="1"/>
    <x v="0"/>
    <n v="6.3"/>
    <s v="&gt;5kg"/>
    <n v="4"/>
    <n v="1"/>
    <x v="0"/>
    <n v="12000"/>
    <n v="75600"/>
    <s v="Citra Lestari"/>
    <s v="crowd source"/>
    <x v="0"/>
  </r>
  <r>
    <s v="SHP00604"/>
    <s v="EMP004"/>
    <x v="57"/>
    <d v="2024-10-19T00:00:00"/>
    <x v="3"/>
    <x v="2"/>
    <x v="0"/>
    <x v="0"/>
    <n v="3.6"/>
    <s v="&lt; 5kg"/>
    <n v="1"/>
    <n v="3"/>
    <x v="1"/>
    <n v="10000"/>
    <n v="36000"/>
    <s v="Dedi Saputra"/>
    <s v="crowd source"/>
    <x v="1"/>
  </r>
  <r>
    <s v="SHP00605"/>
    <s v="EMP005"/>
    <x v="424"/>
    <d v="2023-05-10T00:00:00"/>
    <x v="4"/>
    <x v="0"/>
    <x v="1"/>
    <x v="1"/>
    <n v="2.4900000000000002"/>
    <s v="&lt; 5kg"/>
    <n v="0"/>
    <n v="1"/>
    <x v="1"/>
    <n v="12000"/>
    <n v="29880.000000000004"/>
    <s v="Eko Nugroho"/>
    <s v="internal"/>
    <x v="0"/>
  </r>
  <r>
    <s v="SHP00606"/>
    <s v="EMP006"/>
    <x v="351"/>
    <d v="2024-01-26T00:00:00"/>
    <x v="5"/>
    <x v="1"/>
    <x v="0"/>
    <x v="1"/>
    <n v="3.7"/>
    <s v="&lt; 5kg"/>
    <n v="0"/>
    <n v="3"/>
    <x v="1"/>
    <n v="10000"/>
    <n v="37000"/>
    <s v="Fajar Hidayat"/>
    <s v="internal"/>
    <x v="1"/>
  </r>
  <r>
    <s v="SHP00607"/>
    <s v="EMP007"/>
    <x v="425"/>
    <d v="2023-03-17T00:00:00"/>
    <x v="6"/>
    <x v="0"/>
    <x v="0"/>
    <x v="1"/>
    <n v="3.63"/>
    <s v="&lt; 5kg"/>
    <n v="0"/>
    <n v="3"/>
    <x v="1"/>
    <n v="10000"/>
    <n v="36300"/>
    <s v="Gita Rahmawati"/>
    <s v="crowd source"/>
    <x v="0"/>
  </r>
  <r>
    <s v="SHP00608"/>
    <s v="EMP008"/>
    <x v="89"/>
    <d v="2023-01-12T00:00:00"/>
    <x v="7"/>
    <x v="0"/>
    <x v="1"/>
    <x v="0"/>
    <n v="4.5199999999999996"/>
    <s v="&lt; 5kg"/>
    <n v="6"/>
    <n v="1"/>
    <x v="0"/>
    <n v="12000"/>
    <n v="54239.999999999993"/>
    <s v="Hendra Wijaya"/>
    <s v="internal"/>
    <x v="1"/>
  </r>
  <r>
    <s v="SHP00609"/>
    <s v="EMP009"/>
    <x v="426"/>
    <d v="2023-04-16T00:00:00"/>
    <x v="8"/>
    <x v="2"/>
    <x v="2"/>
    <x v="0"/>
    <n v="2"/>
    <s v="&lt; 5kg"/>
    <n v="0"/>
    <n v="5"/>
    <x v="1"/>
    <n v="9000"/>
    <n v="18000"/>
    <s v="Indah Permata"/>
    <s v="crowd source"/>
    <x v="0"/>
  </r>
  <r>
    <s v="SHP00610"/>
    <s v="EMP010"/>
    <x v="427"/>
    <d v="2024-02-05T00:00:00"/>
    <x v="9"/>
    <x v="1"/>
    <x v="0"/>
    <x v="0"/>
    <n v="6.72"/>
    <s v="&gt;5kg"/>
    <n v="1"/>
    <n v="3"/>
    <x v="1"/>
    <n v="10000"/>
    <n v="67200"/>
    <s v="Joko Susilo"/>
    <s v="internal"/>
    <x v="1"/>
  </r>
  <r>
    <s v="SHP00611"/>
    <s v="EMP011"/>
    <x v="2"/>
    <d v="2024-06-18T00:00:00"/>
    <x v="0"/>
    <x v="2"/>
    <x v="2"/>
    <x v="0"/>
    <n v="2.48"/>
    <s v="&lt; 5kg"/>
    <n v="5"/>
    <n v="5"/>
    <x v="1"/>
    <n v="9000"/>
    <n v="22320"/>
    <s v="Kurniawan Putra"/>
    <s v="crowd source"/>
    <x v="1"/>
  </r>
  <r>
    <s v="SHP00612"/>
    <s v="EMP012"/>
    <x v="315"/>
    <d v="2023-04-10T00:00:00"/>
    <x v="1"/>
    <x v="5"/>
    <x v="2"/>
    <x v="0"/>
    <n v="0.95"/>
    <s v="&lt; 5kg"/>
    <n v="0"/>
    <n v="5"/>
    <x v="1"/>
    <n v="9000"/>
    <n v="8550"/>
    <s v="Lina Marlina"/>
    <s v="internal"/>
    <x v="0"/>
  </r>
  <r>
    <s v="SHP00613"/>
    <s v="EMP013"/>
    <x v="428"/>
    <d v="2023-08-01T00:00:00"/>
    <x v="2"/>
    <x v="5"/>
    <x v="0"/>
    <x v="1"/>
    <n v="6.38"/>
    <s v="&gt;5kg"/>
    <n v="4"/>
    <n v="3"/>
    <x v="0"/>
    <n v="10000"/>
    <n v="63800"/>
    <s v="Rizky Ananda"/>
    <s v="crowd source"/>
    <x v="0"/>
  </r>
  <r>
    <s v="SHP00614"/>
    <s v="EMP014"/>
    <x v="331"/>
    <d v="2023-03-17T00:00:00"/>
    <x v="3"/>
    <x v="1"/>
    <x v="2"/>
    <x v="1"/>
    <n v="9.5"/>
    <s v="&gt;5kg"/>
    <n v="1"/>
    <n v="5"/>
    <x v="1"/>
    <n v="9000"/>
    <n v="85500"/>
    <s v="Nanda Prakoso"/>
    <s v="internal"/>
    <x v="1"/>
  </r>
  <r>
    <s v="SHP00615"/>
    <s v="EMP015"/>
    <x v="429"/>
    <d v="2023-08-17T00:00:00"/>
    <x v="4"/>
    <x v="9"/>
    <x v="0"/>
    <x v="0"/>
    <n v="2.21"/>
    <s v="&lt; 5kg"/>
    <n v="8"/>
    <n v="3"/>
    <x v="0"/>
    <n v="10000"/>
    <n v="22100"/>
    <s v="Oktavian Yusuf"/>
    <s v="crowd source"/>
    <x v="1"/>
  </r>
  <r>
    <s v="SHP00616"/>
    <s v="EMP016"/>
    <x v="430"/>
    <d v="2024-11-10T00:00:00"/>
    <x v="5"/>
    <x v="6"/>
    <x v="1"/>
    <x v="1"/>
    <n v="2"/>
    <s v="&lt; 5kg"/>
    <n v="11"/>
    <n v="1"/>
    <x v="0"/>
    <n v="12000"/>
    <n v="24000"/>
    <s v="Putri Ayu Lestari"/>
    <s v="internal"/>
    <x v="0"/>
  </r>
  <r>
    <s v="SHP00617"/>
    <s v="EMP017"/>
    <x v="109"/>
    <d v="2023-07-19T00:00:00"/>
    <x v="6"/>
    <x v="6"/>
    <x v="2"/>
    <x v="1"/>
    <n v="4.99"/>
    <s v="&lt; 5kg"/>
    <n v="3"/>
    <n v="5"/>
    <x v="1"/>
    <n v="9000"/>
    <n v="44910"/>
    <s v="Rafi Maulana"/>
    <s v="internal"/>
    <x v="0"/>
  </r>
  <r>
    <s v="SHP00618"/>
    <s v="EMP018"/>
    <x v="331"/>
    <d v="2023-03-22T00:00:00"/>
    <x v="7"/>
    <x v="0"/>
    <x v="0"/>
    <x v="0"/>
    <n v="5.2"/>
    <s v="&gt;5kg"/>
    <n v="6"/>
    <n v="3"/>
    <x v="0"/>
    <n v="10000"/>
    <n v="52000"/>
    <s v="Sari Puspita"/>
    <s v="crowd source"/>
    <x v="0"/>
  </r>
  <r>
    <s v="SHP00619"/>
    <s v="EMP019"/>
    <x v="220"/>
    <d v="2023-02-06T00:00:00"/>
    <x v="8"/>
    <x v="4"/>
    <x v="0"/>
    <x v="0"/>
    <n v="2.36"/>
    <s v="&lt; 5kg"/>
    <n v="10"/>
    <n v="3"/>
    <x v="0"/>
    <n v="10000"/>
    <n v="23600"/>
    <s v="Teguh Wibowo"/>
    <s v="internal"/>
    <x v="1"/>
  </r>
  <r>
    <s v="SHP00620"/>
    <s v="EMP020"/>
    <x v="189"/>
    <d v="2024-01-15T00:00:00"/>
    <x v="9"/>
    <x v="8"/>
    <x v="1"/>
    <x v="0"/>
    <n v="9.24"/>
    <s v="&gt;5kg"/>
    <n v="8"/>
    <n v="1"/>
    <x v="0"/>
    <n v="12000"/>
    <n v="110880"/>
    <s v="Umi Kalsum"/>
    <s v="crowd source"/>
    <x v="0"/>
  </r>
  <r>
    <s v="SHP00621"/>
    <s v="EMP021"/>
    <x v="45"/>
    <d v="2023-11-06T00:00:00"/>
    <x v="0"/>
    <x v="3"/>
    <x v="1"/>
    <x v="1"/>
    <n v="1.41"/>
    <s v="&lt; 5kg"/>
    <n v="0"/>
    <n v="1"/>
    <x v="1"/>
    <n v="12000"/>
    <n v="16920"/>
    <s v="Vina Oktaviani"/>
    <s v="internal"/>
    <x v="0"/>
  </r>
  <r>
    <s v="SHP00622"/>
    <s v="EMP022"/>
    <x v="223"/>
    <d v="2024-04-23T00:00:00"/>
    <x v="1"/>
    <x v="3"/>
    <x v="1"/>
    <x v="0"/>
    <n v="3.23"/>
    <s v="&lt; 5kg"/>
    <n v="0"/>
    <n v="1"/>
    <x v="1"/>
    <n v="12000"/>
    <n v="38760"/>
    <s v="Wahyu Setiawan"/>
    <s v="crowd source"/>
    <x v="1"/>
  </r>
  <r>
    <s v="SHP00623"/>
    <s v="EMP023"/>
    <x v="431"/>
    <d v="2024-03-12T00:00:00"/>
    <x v="2"/>
    <x v="0"/>
    <x v="1"/>
    <x v="1"/>
    <n v="5.42"/>
    <s v="&gt;5kg"/>
    <n v="1"/>
    <n v="1"/>
    <x v="1"/>
    <n v="12000"/>
    <n v="65040"/>
    <s v="Yogi Firmansyah"/>
    <s v="internal"/>
    <x v="1"/>
  </r>
  <r>
    <s v="SHP00624"/>
    <s v="EMP024"/>
    <x v="169"/>
    <d v="2024-06-11T00:00:00"/>
    <x v="3"/>
    <x v="1"/>
    <x v="2"/>
    <x v="0"/>
    <n v="6.55"/>
    <s v="&gt;5kg"/>
    <n v="1"/>
    <n v="5"/>
    <x v="1"/>
    <n v="9000"/>
    <n v="58950"/>
    <s v="Zainal Abidin"/>
    <s v="crowd source"/>
    <x v="1"/>
  </r>
  <r>
    <s v="SHP00625"/>
    <s v="EMP025"/>
    <x v="315"/>
    <d v="2023-04-14T00:00:00"/>
    <x v="4"/>
    <x v="3"/>
    <x v="0"/>
    <x v="0"/>
    <n v="6"/>
    <s v="&gt;5kg"/>
    <n v="4"/>
    <n v="3"/>
    <x v="0"/>
    <n v="10000"/>
    <n v="60000"/>
    <s v="Ahmad Fauzi"/>
    <s v="internal"/>
    <x v="0"/>
  </r>
  <r>
    <s v="SHP00626"/>
    <s v="EMP026"/>
    <x v="286"/>
    <d v="2023-01-28T00:00:00"/>
    <x v="5"/>
    <x v="0"/>
    <x v="2"/>
    <x v="1"/>
    <n v="1.3"/>
    <s v="&lt; 5kg"/>
    <n v="11"/>
    <n v="5"/>
    <x v="0"/>
    <n v="9000"/>
    <n v="11700"/>
    <s v="Bayu Ramadhan"/>
    <s v="crowd source"/>
    <x v="0"/>
  </r>
  <r>
    <s v="SHP00627"/>
    <s v="EMP027"/>
    <x v="275"/>
    <d v="2023-07-24T00:00:00"/>
    <x v="6"/>
    <x v="0"/>
    <x v="0"/>
    <x v="1"/>
    <n v="8.09"/>
    <s v="&gt;5kg"/>
    <n v="4"/>
    <n v="3"/>
    <x v="0"/>
    <n v="10000"/>
    <n v="80900"/>
    <s v="Cindy Oktavia"/>
    <s v="internal"/>
    <x v="0"/>
  </r>
  <r>
    <s v="SHP00628"/>
    <s v="EMP028"/>
    <x v="395"/>
    <d v="2023-03-19T00:00:00"/>
    <x v="7"/>
    <x v="8"/>
    <x v="1"/>
    <x v="0"/>
    <n v="6.88"/>
    <s v="&gt;5kg"/>
    <n v="11"/>
    <n v="1"/>
    <x v="0"/>
    <n v="12000"/>
    <n v="82560"/>
    <s v="Dian Pramudya"/>
    <s v="crowd source"/>
    <x v="1"/>
  </r>
  <r>
    <s v="SHP00629"/>
    <s v="EMP029"/>
    <x v="432"/>
    <d v="2024-07-16T00:00:00"/>
    <x v="8"/>
    <x v="8"/>
    <x v="0"/>
    <x v="1"/>
    <n v="6.49"/>
    <s v="&gt;5kg"/>
    <n v="4"/>
    <n v="3"/>
    <x v="0"/>
    <n v="10000"/>
    <n v="64900"/>
    <s v="Erwin Kurniawan"/>
    <s v="internal"/>
    <x v="1"/>
  </r>
  <r>
    <s v="SHP00630"/>
    <s v="EMP030"/>
    <x v="433"/>
    <d v="2024-09-03T00:00:00"/>
    <x v="9"/>
    <x v="2"/>
    <x v="2"/>
    <x v="1"/>
    <n v="4.21"/>
    <s v="&lt; 5kg"/>
    <n v="0"/>
    <n v="5"/>
    <x v="1"/>
    <n v="9000"/>
    <n v="37890"/>
    <s v="Fitri Handayani"/>
    <s v="crowd source"/>
    <x v="0"/>
  </r>
  <r>
    <s v="SHP00631"/>
    <s v="EMP031"/>
    <x v="19"/>
    <d v="2023-08-03T00:00:00"/>
    <x v="0"/>
    <x v="4"/>
    <x v="0"/>
    <x v="0"/>
    <n v="6.9"/>
    <s v="&gt;5kg"/>
    <n v="4"/>
    <n v="3"/>
    <x v="0"/>
    <n v="10000"/>
    <n v="69000"/>
    <s v="Gilang Saputra"/>
    <s v="internal"/>
    <x v="0"/>
  </r>
  <r>
    <s v="SHP00632"/>
    <s v="EMP032"/>
    <x v="226"/>
    <d v="2024-05-02T00:00:00"/>
    <x v="1"/>
    <x v="1"/>
    <x v="1"/>
    <x v="0"/>
    <n v="6.23"/>
    <s v="&gt;5kg"/>
    <n v="1"/>
    <n v="1"/>
    <x v="1"/>
    <n v="12000"/>
    <n v="74760"/>
    <s v="Hariyanto"/>
    <s v="crowd source"/>
    <x v="1"/>
  </r>
  <r>
    <s v="SHP00633"/>
    <s v="EMP033"/>
    <x v="434"/>
    <d v="2024-10-17T00:00:00"/>
    <x v="2"/>
    <x v="8"/>
    <x v="2"/>
    <x v="0"/>
    <n v="6.34"/>
    <s v="&gt;5kg"/>
    <n v="4"/>
    <n v="5"/>
    <x v="1"/>
    <n v="9000"/>
    <n v="57060"/>
    <s v="Intan Maharani"/>
    <s v="internal"/>
    <x v="0"/>
  </r>
  <r>
    <s v="SHP00634"/>
    <s v="EMP034"/>
    <x v="435"/>
    <d v="2023-09-16T00:00:00"/>
    <x v="3"/>
    <x v="4"/>
    <x v="2"/>
    <x v="1"/>
    <n v="4.99"/>
    <s v="&lt; 5kg"/>
    <n v="9"/>
    <n v="5"/>
    <x v="0"/>
    <n v="9000"/>
    <n v="44910"/>
    <s v="Jefri Alamsyah"/>
    <s v="internal"/>
    <x v="1"/>
  </r>
  <r>
    <s v="SHP00635"/>
    <s v="EMP035"/>
    <x v="423"/>
    <d v="2024-09-20T00:00:00"/>
    <x v="4"/>
    <x v="3"/>
    <x v="0"/>
    <x v="1"/>
    <n v="2.2200000000000002"/>
    <s v="&lt; 5kg"/>
    <n v="0"/>
    <n v="3"/>
    <x v="1"/>
    <n v="10000"/>
    <n v="22200.000000000004"/>
    <s v="Kartika Sari"/>
    <s v="crowd source"/>
    <x v="0"/>
  </r>
  <r>
    <s v="SHP00636"/>
    <s v="EMP036"/>
    <x v="436"/>
    <d v="2023-02-11T00:00:00"/>
    <x v="5"/>
    <x v="3"/>
    <x v="1"/>
    <x v="0"/>
    <n v="3.99"/>
    <s v="&lt; 5kg"/>
    <n v="1"/>
    <n v="1"/>
    <x v="1"/>
    <n v="12000"/>
    <n v="47880"/>
    <s v="Lukman Hakim"/>
    <s v="internal"/>
    <x v="1"/>
  </r>
  <r>
    <s v="SHP00637"/>
    <s v="EMP037"/>
    <x v="376"/>
    <d v="2024-03-10T00:00:00"/>
    <x v="6"/>
    <x v="0"/>
    <x v="0"/>
    <x v="0"/>
    <n v="7.83"/>
    <s v="&gt;5kg"/>
    <n v="8"/>
    <n v="3"/>
    <x v="0"/>
    <n v="10000"/>
    <n v="78300"/>
    <s v="Mega Puspitasari"/>
    <s v="internal"/>
    <x v="0"/>
  </r>
  <r>
    <s v="SHP00638"/>
    <s v="EMP038"/>
    <x v="437"/>
    <d v="2023-12-24T00:00:00"/>
    <x v="7"/>
    <x v="2"/>
    <x v="0"/>
    <x v="1"/>
    <n v="8.19"/>
    <s v="&gt;5kg"/>
    <n v="1"/>
    <n v="3"/>
    <x v="1"/>
    <n v="10000"/>
    <n v="81900"/>
    <s v="Niko Prasetyo"/>
    <s v="crowd source"/>
    <x v="1"/>
  </r>
  <r>
    <s v="SHP00639"/>
    <s v="EMP039"/>
    <x v="280"/>
    <d v="2024-03-31T00:00:00"/>
    <x v="8"/>
    <x v="1"/>
    <x v="0"/>
    <x v="1"/>
    <n v="6.89"/>
    <s v="&gt;5kg"/>
    <n v="4"/>
    <n v="3"/>
    <x v="0"/>
    <n v="10000"/>
    <n v="68900"/>
    <s v="Olivia Putri"/>
    <s v="internal"/>
    <x v="0"/>
  </r>
  <r>
    <s v="SHP00640"/>
    <s v="EMP040"/>
    <x v="217"/>
    <d v="2023-02-04T00:00:00"/>
    <x v="9"/>
    <x v="3"/>
    <x v="1"/>
    <x v="0"/>
    <n v="7.68"/>
    <s v="&gt;5kg"/>
    <n v="0"/>
    <n v="1"/>
    <x v="1"/>
    <n v="12000"/>
    <n v="92160"/>
    <s v="Prasetyo Utomo"/>
    <s v="internal"/>
    <x v="1"/>
  </r>
  <r>
    <s v="SHP00641"/>
    <s v="EMP041"/>
    <x v="119"/>
    <d v="2023-12-06T00:00:00"/>
    <x v="0"/>
    <x v="1"/>
    <x v="0"/>
    <x v="1"/>
    <n v="6.4"/>
    <s v="&gt;5kg"/>
    <n v="4"/>
    <n v="3"/>
    <x v="0"/>
    <n v="10000"/>
    <n v="64000"/>
    <s v="Qori Annisa"/>
    <s v="crowd source"/>
    <x v="0"/>
  </r>
  <r>
    <s v="SHP00642"/>
    <s v="EMP042"/>
    <x v="252"/>
    <d v="2024-11-10T00:00:00"/>
    <x v="1"/>
    <x v="4"/>
    <x v="0"/>
    <x v="0"/>
    <n v="7.03"/>
    <s v="&gt;5kg"/>
    <n v="1"/>
    <n v="3"/>
    <x v="1"/>
    <n v="10000"/>
    <n v="70300"/>
    <s v="Rangga Saptonugroho"/>
    <s v="crowd source"/>
    <x v="1"/>
  </r>
  <r>
    <s v="SHP00643"/>
    <s v="EMP043"/>
    <x v="401"/>
    <d v="2023-09-20T00:00:00"/>
    <x v="2"/>
    <x v="2"/>
    <x v="0"/>
    <x v="1"/>
    <n v="9.91"/>
    <s v="&gt;5kg"/>
    <n v="4"/>
    <n v="3"/>
    <x v="0"/>
    <n v="10000"/>
    <n v="99100"/>
    <s v="Sinta Dewi"/>
    <s v="internal"/>
    <x v="0"/>
  </r>
  <r>
    <s v="SHP00644"/>
    <s v="EMP044"/>
    <x v="157"/>
    <d v="2023-08-25T00:00:00"/>
    <x v="3"/>
    <x v="0"/>
    <x v="0"/>
    <x v="1"/>
    <n v="5.1100000000000003"/>
    <s v="&gt;5kg"/>
    <n v="3"/>
    <n v="3"/>
    <x v="1"/>
    <n v="10000"/>
    <n v="51100"/>
    <s v="Taufik Hidayat"/>
    <s v="internal"/>
    <x v="1"/>
  </r>
  <r>
    <s v="SHP00645"/>
    <s v="EMP045"/>
    <x v="438"/>
    <d v="2023-03-26T00:00:00"/>
    <x v="4"/>
    <x v="8"/>
    <x v="2"/>
    <x v="1"/>
    <n v="6.11"/>
    <s v="&gt;5kg"/>
    <n v="4"/>
    <n v="5"/>
    <x v="1"/>
    <n v="9000"/>
    <n v="54990"/>
    <s v="Usman Ali"/>
    <s v="crowd source"/>
    <x v="0"/>
  </r>
  <r>
    <s v="SHP00646"/>
    <s v="EMP046"/>
    <x v="390"/>
    <d v="2024-04-11T00:00:00"/>
    <x v="5"/>
    <x v="3"/>
    <x v="2"/>
    <x v="0"/>
    <n v="5.23"/>
    <s v="&gt;5kg"/>
    <n v="4"/>
    <n v="5"/>
    <x v="1"/>
    <n v="9000"/>
    <n v="47070.000000000007"/>
    <s v="Vivi Lestari"/>
    <s v="internal"/>
    <x v="0"/>
  </r>
  <r>
    <s v="SHP00647"/>
    <s v="EMP047"/>
    <x v="393"/>
    <d v="2024-01-25T00:00:00"/>
    <x v="6"/>
    <x v="0"/>
    <x v="0"/>
    <x v="0"/>
    <n v="2.7"/>
    <s v="&lt; 5kg"/>
    <n v="7"/>
    <n v="3"/>
    <x v="0"/>
    <n v="10000"/>
    <n v="27000"/>
    <s v="Wawan Setiabudi"/>
    <s v="internal"/>
    <x v="1"/>
  </r>
  <r>
    <s v="SHP00648"/>
    <s v="EMP048"/>
    <x v="83"/>
    <d v="2023-04-06T00:00:00"/>
    <x v="7"/>
    <x v="8"/>
    <x v="1"/>
    <x v="1"/>
    <n v="7.03"/>
    <s v="&gt;5kg"/>
    <n v="5"/>
    <n v="1"/>
    <x v="0"/>
    <n v="12000"/>
    <n v="84360"/>
    <s v="Xenia Maharani"/>
    <s v="crowd source"/>
    <x v="0"/>
  </r>
  <r>
    <s v="SHP00649"/>
    <s v="EMP049"/>
    <x v="439"/>
    <d v="2023-11-08T00:00:00"/>
    <x v="8"/>
    <x v="5"/>
    <x v="2"/>
    <x v="0"/>
    <n v="3.97"/>
    <s v="&lt; 5kg"/>
    <n v="5"/>
    <n v="5"/>
    <x v="1"/>
    <n v="9000"/>
    <n v="35730"/>
    <s v="Yoga Pradana"/>
    <s v="internal"/>
    <x v="0"/>
  </r>
  <r>
    <s v="SHP00650"/>
    <s v="EMP050"/>
    <x v="238"/>
    <d v="2024-10-27T00:00:00"/>
    <x v="9"/>
    <x v="0"/>
    <x v="0"/>
    <x v="1"/>
    <n v="2.75"/>
    <s v="&lt; 5kg"/>
    <n v="7"/>
    <n v="3"/>
    <x v="0"/>
    <n v="10000"/>
    <n v="27500"/>
    <s v="Zulfikar Ramadhan"/>
    <s v="crowd source"/>
    <x v="1"/>
  </r>
  <r>
    <s v="SHP00651"/>
    <s v="EMP051"/>
    <x v="253"/>
    <d v="2023-05-26T00:00:00"/>
    <x v="0"/>
    <x v="3"/>
    <x v="0"/>
    <x v="1"/>
    <n v="10.029999999999999"/>
    <s v="&gt;5kg"/>
    <n v="4"/>
    <n v="3"/>
    <x v="0"/>
    <n v="10000"/>
    <n v="100300"/>
    <s v="Aditya Saputra"/>
    <s v="internal"/>
    <x v="0"/>
  </r>
  <r>
    <s v="SHP00652"/>
    <s v="EMP052"/>
    <x v="182"/>
    <d v="2023-06-04T00:00:00"/>
    <x v="1"/>
    <x v="7"/>
    <x v="0"/>
    <x v="1"/>
    <n v="6.26"/>
    <s v="&gt;5kg"/>
    <n v="8"/>
    <n v="3"/>
    <x v="0"/>
    <n v="10000"/>
    <n v="62600"/>
    <s v="Bella Oktaviani"/>
    <s v="internal"/>
    <x v="0"/>
  </r>
  <r>
    <s v="SHP00653"/>
    <s v="EMP053"/>
    <x v="63"/>
    <d v="2024-10-08T00:00:00"/>
    <x v="2"/>
    <x v="3"/>
    <x v="1"/>
    <x v="0"/>
    <n v="9.32"/>
    <s v="&gt;5kg"/>
    <n v="1"/>
    <n v="1"/>
    <x v="1"/>
    <n v="12000"/>
    <n v="111840"/>
    <s v="Chandra Wijaya"/>
    <s v="crowd source"/>
    <x v="1"/>
  </r>
  <r>
    <s v="SHP00654"/>
    <s v="EMP054"/>
    <x v="307"/>
    <d v="2024-12-25T00:00:00"/>
    <x v="3"/>
    <x v="2"/>
    <x v="0"/>
    <x v="1"/>
    <n v="9.26"/>
    <s v="&gt;5kg"/>
    <n v="4"/>
    <n v="3"/>
    <x v="0"/>
    <n v="10000"/>
    <n v="92600"/>
    <s v="Dewi Sartika"/>
    <s v="internal"/>
    <x v="0"/>
  </r>
  <r>
    <s v="SHP00655"/>
    <s v="EMP055"/>
    <x v="202"/>
    <d v="2023-05-30T00:00:00"/>
    <x v="4"/>
    <x v="7"/>
    <x v="1"/>
    <x v="1"/>
    <n v="9.8000000000000007"/>
    <s v="&gt;5kg"/>
    <n v="5"/>
    <n v="1"/>
    <x v="0"/>
    <n v="12000"/>
    <n v="117600.00000000001"/>
    <s v="Edi Kurniawan"/>
    <s v="internal"/>
    <x v="1"/>
  </r>
  <r>
    <s v="SHP00656"/>
    <s v="EMP056"/>
    <x v="440"/>
    <d v="2024-04-05T00:00:00"/>
    <x v="5"/>
    <x v="0"/>
    <x v="0"/>
    <x v="0"/>
    <n v="9.99"/>
    <s v="&gt;5kg"/>
    <n v="4"/>
    <n v="3"/>
    <x v="0"/>
    <n v="10000"/>
    <n v="99900"/>
    <s v="Farah Nabila"/>
    <s v="crowd source"/>
    <x v="0"/>
  </r>
  <r>
    <s v="SHP00657"/>
    <s v="EMP057"/>
    <x v="192"/>
    <d v="2024-07-26T00:00:00"/>
    <x v="6"/>
    <x v="8"/>
    <x v="0"/>
    <x v="1"/>
    <n v="6.79"/>
    <s v="&gt;5kg"/>
    <n v="5"/>
    <n v="3"/>
    <x v="0"/>
    <n v="10000"/>
    <n v="67900"/>
    <s v="Galih Pratomo"/>
    <s v="internal"/>
    <x v="0"/>
  </r>
  <r>
    <s v="SHP00658"/>
    <s v="EMP058"/>
    <x v="441"/>
    <d v="2024-04-30T00:00:00"/>
    <x v="7"/>
    <x v="8"/>
    <x v="0"/>
    <x v="1"/>
    <n v="3.13"/>
    <s v="&lt; 5kg"/>
    <n v="6"/>
    <n v="3"/>
    <x v="0"/>
    <n v="10000"/>
    <n v="31300"/>
    <s v="Hadi Purnomo"/>
    <s v="crowd source"/>
    <x v="1"/>
  </r>
  <r>
    <s v="SHP00659"/>
    <s v="EMP059"/>
    <x v="184"/>
    <d v="2023-11-23T00:00:00"/>
    <x v="8"/>
    <x v="4"/>
    <x v="0"/>
    <x v="0"/>
    <n v="4.51"/>
    <s v="&lt; 5kg"/>
    <n v="9"/>
    <n v="3"/>
    <x v="0"/>
    <n v="10000"/>
    <n v="45100"/>
    <s v="Ika Lestari"/>
    <s v="internal"/>
    <x v="0"/>
  </r>
  <r>
    <s v="SHP00660"/>
    <s v="EMP060"/>
    <x v="442"/>
    <d v="2023-11-02T00:00:00"/>
    <x v="9"/>
    <x v="5"/>
    <x v="2"/>
    <x v="1"/>
    <n v="2.83"/>
    <s v="&lt; 5kg"/>
    <n v="7"/>
    <n v="5"/>
    <x v="0"/>
    <n v="9000"/>
    <n v="25470"/>
    <s v="Jamil Akbar"/>
    <s v="internal"/>
    <x v="1"/>
  </r>
  <r>
    <s v="SHP00661"/>
    <s v="EMP061"/>
    <x v="378"/>
    <d v="2024-05-25T00:00:00"/>
    <x v="0"/>
    <x v="0"/>
    <x v="0"/>
    <x v="0"/>
    <n v="2.15"/>
    <s v="&lt; 5kg"/>
    <n v="0"/>
    <n v="3"/>
    <x v="1"/>
    <n v="10000"/>
    <n v="21500"/>
    <s v="Kevin Sanjaya"/>
    <s v="crowd source"/>
    <x v="0"/>
  </r>
  <r>
    <s v="SHP00662"/>
    <s v="EMP062"/>
    <x v="336"/>
    <d v="2023-07-17T00:00:00"/>
    <x v="1"/>
    <x v="3"/>
    <x v="0"/>
    <x v="1"/>
    <n v="7.81"/>
    <s v="&gt;5kg"/>
    <n v="4"/>
    <n v="3"/>
    <x v="0"/>
    <n v="10000"/>
    <n v="78100"/>
    <s v="Laila Nuraini"/>
    <s v="internal"/>
    <x v="0"/>
  </r>
  <r>
    <s v="SHP00663"/>
    <s v="EMP063"/>
    <x v="313"/>
    <d v="2024-04-10T00:00:00"/>
    <x v="2"/>
    <x v="1"/>
    <x v="2"/>
    <x v="0"/>
    <n v="4.7699999999999996"/>
    <s v="&lt; 5kg"/>
    <n v="0"/>
    <n v="5"/>
    <x v="1"/>
    <n v="9000"/>
    <n v="42929.999999999993"/>
    <s v="Miko Setiawan"/>
    <s v="crowd source"/>
    <x v="1"/>
  </r>
  <r>
    <s v="SHP00664"/>
    <s v="EMP064"/>
    <x v="139"/>
    <d v="2024-04-22T00:00:00"/>
    <x v="3"/>
    <x v="3"/>
    <x v="2"/>
    <x v="0"/>
    <n v="7.77"/>
    <s v="&gt;5kg"/>
    <n v="4"/>
    <n v="5"/>
    <x v="1"/>
    <n v="9000"/>
    <n v="69930"/>
    <s v="Nisa Aulia"/>
    <s v="internal"/>
    <x v="0"/>
  </r>
  <r>
    <s v="SHP00665"/>
    <s v="EMP065"/>
    <x v="23"/>
    <d v="2024-09-12T00:00:00"/>
    <x v="4"/>
    <x v="9"/>
    <x v="0"/>
    <x v="1"/>
    <n v="7.65"/>
    <s v="&gt;5kg"/>
    <n v="3"/>
    <n v="3"/>
    <x v="1"/>
    <n v="10000"/>
    <n v="76500"/>
    <s v="Oki Pramono"/>
    <s v="internal"/>
    <x v="1"/>
  </r>
  <r>
    <s v="SHP00666"/>
    <s v="EMP066"/>
    <x v="143"/>
    <d v="2024-03-21T00:00:00"/>
    <x v="5"/>
    <x v="9"/>
    <x v="0"/>
    <x v="0"/>
    <n v="3.24"/>
    <s v="&lt; 5kg"/>
    <n v="5"/>
    <n v="3"/>
    <x v="0"/>
    <n v="10000"/>
    <n v="32400.000000000004"/>
    <s v="Putra Mahendra"/>
    <s v="crowd source"/>
    <x v="0"/>
  </r>
  <r>
    <s v="SHP00667"/>
    <s v="EMP067"/>
    <x v="120"/>
    <d v="2023-01-18T00:00:00"/>
    <x v="6"/>
    <x v="0"/>
    <x v="0"/>
    <x v="0"/>
    <n v="2.5099999999999998"/>
    <s v="&lt; 5kg"/>
    <n v="5"/>
    <n v="3"/>
    <x v="0"/>
    <n v="10000"/>
    <n v="25099.999999999996"/>
    <s v="Qolbi Ramadhani"/>
    <s v="internal"/>
    <x v="0"/>
  </r>
  <r>
    <s v="SHP00668"/>
    <s v="EMP068"/>
    <x v="443"/>
    <d v="2023-06-02T00:00:00"/>
    <x v="7"/>
    <x v="6"/>
    <x v="0"/>
    <x v="0"/>
    <n v="1.87"/>
    <s v="&lt; 5kg"/>
    <n v="2"/>
    <n v="3"/>
    <x v="1"/>
    <n v="10000"/>
    <n v="18700"/>
    <s v="Reza Firmansyah"/>
    <s v="crowd source"/>
    <x v="1"/>
  </r>
  <r>
    <s v="SHP00669"/>
    <s v="EMP069"/>
    <x v="135"/>
    <d v="2024-07-29T00:00:00"/>
    <x v="8"/>
    <x v="3"/>
    <x v="2"/>
    <x v="1"/>
    <n v="4.1900000000000004"/>
    <s v="&lt; 5kg"/>
    <n v="1"/>
    <n v="5"/>
    <x v="1"/>
    <n v="9000"/>
    <n v="37710"/>
    <s v="Siska Amelia"/>
    <s v="internal"/>
    <x v="0"/>
  </r>
  <r>
    <s v="SHP00670"/>
    <s v="EMP070"/>
    <x v="127"/>
    <d v="2023-03-04T00:00:00"/>
    <x v="9"/>
    <x v="5"/>
    <x v="1"/>
    <x v="1"/>
    <n v="8.92"/>
    <s v="&gt;5kg"/>
    <n v="6"/>
    <n v="1"/>
    <x v="0"/>
    <n v="12000"/>
    <n v="107040"/>
    <s v="Tri Wibowo"/>
    <s v="internal"/>
    <x v="1"/>
  </r>
  <r>
    <s v="SHP00671"/>
    <s v="EMP071"/>
    <x v="89"/>
    <d v="2023-01-10T00:00:00"/>
    <x v="0"/>
    <x v="1"/>
    <x v="1"/>
    <x v="0"/>
    <n v="7.91"/>
    <s v="&gt;5kg"/>
    <n v="4"/>
    <n v="1"/>
    <x v="0"/>
    <n v="12000"/>
    <n v="94920"/>
    <s v="Ubay Prakoso"/>
    <s v="crowd source"/>
    <x v="0"/>
  </r>
  <r>
    <s v="SHP00672"/>
    <s v="EMP072"/>
    <x v="397"/>
    <d v="2023-11-11T00:00:00"/>
    <x v="1"/>
    <x v="4"/>
    <x v="1"/>
    <x v="1"/>
    <n v="10.42"/>
    <s v="&gt;5kg"/>
    <n v="7"/>
    <n v="1"/>
    <x v="0"/>
    <n v="12000"/>
    <n v="125040"/>
    <s v="Vania Putri"/>
    <s v="internal"/>
    <x v="0"/>
  </r>
  <r>
    <s v="SHP00673"/>
    <s v="EMP073"/>
    <x v="9"/>
    <d v="2024-08-28T00:00:00"/>
    <x v="2"/>
    <x v="5"/>
    <x v="0"/>
    <x v="1"/>
    <n v="10.16"/>
    <s v="&gt;5kg"/>
    <n v="2"/>
    <n v="3"/>
    <x v="1"/>
    <n v="10000"/>
    <n v="101600"/>
    <s v="Wira Nugraha"/>
    <s v="internal"/>
    <x v="1"/>
  </r>
  <r>
    <s v="SHP00674"/>
    <s v="EMP074"/>
    <x v="429"/>
    <d v="2023-08-14T00:00:00"/>
    <x v="3"/>
    <x v="6"/>
    <x v="2"/>
    <x v="0"/>
    <n v="10.23"/>
    <s v="&gt;5kg"/>
    <n v="5"/>
    <n v="5"/>
    <x v="1"/>
    <n v="9000"/>
    <n v="92070"/>
    <s v="Xaverius Adi"/>
    <s v="crowd source"/>
    <x v="1"/>
  </r>
  <r>
    <s v="SHP00675"/>
    <s v="EMP075"/>
    <x v="285"/>
    <d v="2023-10-17T00:00:00"/>
    <x v="4"/>
    <x v="8"/>
    <x v="0"/>
    <x v="1"/>
    <n v="1.39"/>
    <s v="&lt; 5kg"/>
    <n v="5"/>
    <n v="3"/>
    <x v="0"/>
    <n v="10000"/>
    <n v="13899.999999999998"/>
    <s v="Yuliana Kartini"/>
    <s v="internal"/>
    <x v="0"/>
  </r>
  <r>
    <s v="SHP00676"/>
    <s v="EMP076"/>
    <x v="141"/>
    <d v="2023-06-17T00:00:00"/>
    <x v="5"/>
    <x v="9"/>
    <x v="2"/>
    <x v="1"/>
    <n v="1.57"/>
    <s v="&lt; 5kg"/>
    <n v="8"/>
    <n v="5"/>
    <x v="0"/>
    <n v="9000"/>
    <n v="14130"/>
    <s v="Zaki Alamsyah"/>
    <s v="internal"/>
    <x v="0"/>
  </r>
  <r>
    <s v="SHP00677"/>
    <s v="EMP077"/>
    <x v="164"/>
    <d v="2024-10-02T00:00:00"/>
    <x v="6"/>
    <x v="5"/>
    <x v="2"/>
    <x v="0"/>
    <n v="4.72"/>
    <s v="&lt; 5kg"/>
    <n v="7"/>
    <n v="5"/>
    <x v="0"/>
    <n v="9000"/>
    <n v="42480"/>
    <s v="Arief Setyawan"/>
    <s v="crowd source"/>
    <x v="1"/>
  </r>
  <r>
    <s v="SHP00678"/>
    <s v="EMP078"/>
    <x v="444"/>
    <d v="2023-09-05T00:00:00"/>
    <x v="7"/>
    <x v="5"/>
    <x v="2"/>
    <x v="0"/>
    <n v="3.95"/>
    <s v="&lt; 5kg"/>
    <n v="3"/>
    <n v="5"/>
    <x v="1"/>
    <n v="9000"/>
    <n v="35550"/>
    <s v="Bunga Cahyani"/>
    <s v="internal"/>
    <x v="0"/>
  </r>
  <r>
    <s v="SHP00679"/>
    <s v="EMP079"/>
    <x v="445"/>
    <d v="2023-01-04T00:00:00"/>
    <x v="8"/>
    <x v="5"/>
    <x v="2"/>
    <x v="0"/>
    <n v="4.7699999999999996"/>
    <s v="&lt; 5kg"/>
    <n v="3"/>
    <n v="5"/>
    <x v="1"/>
    <n v="9000"/>
    <n v="42929.999999999993"/>
    <s v="Cahyo Prabowo"/>
    <s v="internal"/>
    <x v="1"/>
  </r>
  <r>
    <s v="SHP00680"/>
    <s v="EMP080"/>
    <x v="263"/>
    <d v="2024-04-18T00:00:00"/>
    <x v="9"/>
    <x v="7"/>
    <x v="0"/>
    <x v="1"/>
    <n v="7.93"/>
    <s v="&gt;5kg"/>
    <n v="7"/>
    <n v="3"/>
    <x v="0"/>
    <n v="10000"/>
    <n v="79300"/>
    <s v="Diah Permata"/>
    <s v="crowd source"/>
    <x v="0"/>
  </r>
  <r>
    <s v="SHP00681"/>
    <s v="EMP081"/>
    <x v="33"/>
    <d v="2024-10-03T00:00:00"/>
    <x v="0"/>
    <x v="9"/>
    <x v="2"/>
    <x v="1"/>
    <n v="3.59"/>
    <s v="&lt; 5kg"/>
    <n v="5"/>
    <n v="5"/>
    <x v="1"/>
    <n v="9000"/>
    <n v="32310"/>
    <s v="Evania Putri"/>
    <s v="internal"/>
    <x v="0"/>
  </r>
  <r>
    <s v="SHP00682"/>
    <s v="EMP082"/>
    <x v="351"/>
    <d v="2024-01-28T00:00:00"/>
    <x v="1"/>
    <x v="6"/>
    <x v="2"/>
    <x v="0"/>
    <n v="1.47"/>
    <s v="&lt; 5kg"/>
    <n v="2"/>
    <n v="5"/>
    <x v="1"/>
    <n v="9000"/>
    <n v="13230"/>
    <s v="Fikri Ramadhan"/>
    <s v="crowd source"/>
    <x v="1"/>
  </r>
  <r>
    <s v="SHP00683"/>
    <s v="EMP083"/>
    <x v="446"/>
    <d v="2024-11-17T00:00:00"/>
    <x v="2"/>
    <x v="2"/>
    <x v="1"/>
    <x v="0"/>
    <n v="5.9"/>
    <s v="&gt;5kg"/>
    <n v="4"/>
    <n v="1"/>
    <x v="0"/>
    <n v="12000"/>
    <n v="70800"/>
    <s v="Gilang Ramli"/>
    <s v="internal"/>
    <x v="0"/>
  </r>
  <r>
    <s v="SHP00684"/>
    <s v="EMP084"/>
    <x v="247"/>
    <d v="2023-11-29T00:00:00"/>
    <x v="3"/>
    <x v="7"/>
    <x v="0"/>
    <x v="1"/>
    <n v="0.73"/>
    <s v="&lt; 5kg"/>
    <n v="1"/>
    <n v="3"/>
    <x v="1"/>
    <n v="10000"/>
    <n v="7300"/>
    <s v="Hana Zahra"/>
    <s v="internal"/>
    <x v="0"/>
  </r>
  <r>
    <s v="SHP00685"/>
    <s v="EMP085"/>
    <x v="447"/>
    <d v="2023-02-07T00:00:00"/>
    <x v="4"/>
    <x v="0"/>
    <x v="2"/>
    <x v="1"/>
    <n v="8.5299999999999994"/>
    <s v="&gt;5kg"/>
    <n v="9"/>
    <n v="5"/>
    <x v="0"/>
    <n v="9000"/>
    <n v="76770"/>
    <s v="Irfan Maulana"/>
    <s v="internal"/>
    <x v="1"/>
  </r>
  <r>
    <s v="SHP00686"/>
    <s v="EMP086"/>
    <x v="393"/>
    <d v="2024-01-18T00:00:00"/>
    <x v="5"/>
    <x v="5"/>
    <x v="0"/>
    <x v="1"/>
    <n v="0.96"/>
    <s v="&lt; 5kg"/>
    <n v="0"/>
    <n v="3"/>
    <x v="1"/>
    <n v="10000"/>
    <n v="9600"/>
    <s v="Jihan Salsabila"/>
    <s v="crowd source"/>
    <x v="0"/>
  </r>
  <r>
    <s v="SHP00687"/>
    <s v="EMP087"/>
    <x v="444"/>
    <d v="2023-09-05T00:00:00"/>
    <x v="6"/>
    <x v="7"/>
    <x v="0"/>
    <x v="1"/>
    <n v="2.8"/>
    <s v="&lt; 5kg"/>
    <n v="3"/>
    <n v="3"/>
    <x v="1"/>
    <n v="10000"/>
    <n v="28000"/>
    <s v="Koko Santoso"/>
    <s v="internal"/>
    <x v="0"/>
  </r>
  <r>
    <s v="SHP00688"/>
    <s v="EMP088"/>
    <x v="427"/>
    <d v="2024-02-08T00:00:00"/>
    <x v="7"/>
    <x v="7"/>
    <x v="0"/>
    <x v="1"/>
    <n v="3.52"/>
    <s v="&lt; 5kg"/>
    <n v="4"/>
    <n v="3"/>
    <x v="0"/>
    <n v="10000"/>
    <n v="35200"/>
    <s v="Luthfi Hakim"/>
    <s v="crowd source"/>
    <x v="1"/>
  </r>
  <r>
    <s v="SHP00689"/>
    <s v="EMP089"/>
    <x v="448"/>
    <d v="2023-11-12T00:00:00"/>
    <x v="8"/>
    <x v="2"/>
    <x v="1"/>
    <x v="1"/>
    <n v="9.27"/>
    <s v="&gt;5kg"/>
    <n v="4"/>
    <n v="1"/>
    <x v="0"/>
    <n v="12000"/>
    <n v="111240"/>
    <s v="Melati Anggraini"/>
    <s v="internal"/>
    <x v="0"/>
  </r>
  <r>
    <s v="SHP00690"/>
    <s v="EMP090"/>
    <x v="449"/>
    <d v="2023-10-13T00:00:00"/>
    <x v="9"/>
    <x v="7"/>
    <x v="0"/>
    <x v="0"/>
    <n v="1.1100000000000001"/>
    <s v="&lt; 5kg"/>
    <n v="7"/>
    <n v="3"/>
    <x v="0"/>
    <n v="10000"/>
    <n v="11100.000000000002"/>
    <s v="Naufal Rizky"/>
    <s v="internal"/>
    <x v="1"/>
  </r>
  <r>
    <s v="SHP00691"/>
    <s v="EMP091"/>
    <x v="450"/>
    <d v="2023-10-23T00:00:00"/>
    <x v="0"/>
    <x v="2"/>
    <x v="0"/>
    <x v="0"/>
    <n v="1.52"/>
    <s v="&lt; 5kg"/>
    <n v="1"/>
    <n v="3"/>
    <x v="1"/>
    <n v="10000"/>
    <n v="15200"/>
    <s v="Olin Febriani"/>
    <s v="crowd source"/>
    <x v="0"/>
  </r>
  <r>
    <s v="SHP00692"/>
    <s v="EMP092"/>
    <x v="451"/>
    <d v="2023-01-07T00:00:00"/>
    <x v="1"/>
    <x v="3"/>
    <x v="1"/>
    <x v="1"/>
    <n v="7.19"/>
    <s v="&gt;5kg"/>
    <n v="0"/>
    <n v="1"/>
    <x v="1"/>
    <n v="12000"/>
    <n v="86280"/>
    <s v="Praditya Wicaksono"/>
    <s v="internal"/>
    <x v="1"/>
  </r>
  <r>
    <s v="SHP00693"/>
    <s v="EMP093"/>
    <x v="452"/>
    <d v="2023-10-05T00:00:00"/>
    <x v="2"/>
    <x v="6"/>
    <x v="2"/>
    <x v="1"/>
    <n v="8.4499999999999993"/>
    <s v="&gt;5kg"/>
    <n v="4"/>
    <n v="5"/>
    <x v="1"/>
    <n v="9000"/>
    <n v="76050"/>
    <s v="Qory Azzahra"/>
    <s v="internal"/>
    <x v="0"/>
  </r>
  <r>
    <s v="SHP00694"/>
    <s v="EMP094"/>
    <x v="453"/>
    <d v="2023-05-18T00:00:00"/>
    <x v="3"/>
    <x v="1"/>
    <x v="2"/>
    <x v="0"/>
    <n v="6.8"/>
    <s v="&gt;5kg"/>
    <n v="5"/>
    <n v="5"/>
    <x v="1"/>
    <n v="9000"/>
    <n v="61200"/>
    <s v="Rendi Saputra"/>
    <s v="crowd source"/>
    <x v="1"/>
  </r>
  <r>
    <s v="SHP00695"/>
    <s v="EMP095"/>
    <x v="236"/>
    <d v="2024-07-04T00:00:00"/>
    <x v="4"/>
    <x v="0"/>
    <x v="1"/>
    <x v="0"/>
    <n v="3.76"/>
    <s v="&lt; 5kg"/>
    <n v="1"/>
    <n v="1"/>
    <x v="1"/>
    <n v="12000"/>
    <n v="45120"/>
    <s v="Salma Nuraini"/>
    <s v="internal"/>
    <x v="0"/>
  </r>
  <r>
    <s v="SHP00696"/>
    <s v="EMP096"/>
    <x v="454"/>
    <d v="2024-03-20T00:00:00"/>
    <x v="5"/>
    <x v="0"/>
    <x v="1"/>
    <x v="1"/>
    <n v="6.27"/>
    <s v="&gt;5kg"/>
    <n v="2"/>
    <n v="1"/>
    <x v="0"/>
    <n v="12000"/>
    <n v="75240"/>
    <s v="Tegar Prakoso"/>
    <s v="internal"/>
    <x v="1"/>
  </r>
  <r>
    <s v="SHP00697"/>
    <s v="EMP097"/>
    <x v="29"/>
    <d v="2024-06-10T00:00:00"/>
    <x v="6"/>
    <x v="9"/>
    <x v="0"/>
    <x v="0"/>
    <n v="8.9499999999999993"/>
    <s v="&gt;5kg"/>
    <n v="4"/>
    <n v="3"/>
    <x v="0"/>
    <n v="10000"/>
    <n v="89500"/>
    <s v="Ulfa Khairunnisa"/>
    <s v="crowd source"/>
    <x v="0"/>
  </r>
  <r>
    <s v="SHP00698"/>
    <s v="EMP098"/>
    <x v="325"/>
    <d v="2024-02-26T00:00:00"/>
    <x v="7"/>
    <x v="6"/>
    <x v="0"/>
    <x v="1"/>
    <n v="0.85"/>
    <s v="&lt; 5kg"/>
    <n v="10"/>
    <n v="3"/>
    <x v="0"/>
    <n v="10000"/>
    <n v="8500"/>
    <s v="Vito Mahendra"/>
    <s v="internal"/>
    <x v="0"/>
  </r>
  <r>
    <s v="SHP00699"/>
    <s v="EMP099"/>
    <x v="455"/>
    <d v="2024-11-23T00:00:00"/>
    <x v="8"/>
    <x v="1"/>
    <x v="0"/>
    <x v="0"/>
    <n v="7.45"/>
    <s v="&gt;5kg"/>
    <n v="4"/>
    <n v="3"/>
    <x v="0"/>
    <n v="10000"/>
    <n v="74500"/>
    <s v="Winda Sari"/>
    <s v="internal"/>
    <x v="0"/>
  </r>
  <r>
    <s v="SHP00700"/>
    <s v="EMP100"/>
    <x v="250"/>
    <d v="2024-04-13T00:00:00"/>
    <x v="9"/>
    <x v="2"/>
    <x v="1"/>
    <x v="1"/>
    <n v="3.8"/>
    <s v="&lt; 5kg"/>
    <n v="1"/>
    <n v="1"/>
    <x v="1"/>
    <n v="12000"/>
    <n v="45600"/>
    <s v="Yusuf Al Ghazali"/>
    <s v="crowd source"/>
    <x v="1"/>
  </r>
  <r>
    <s v="SHP00701"/>
    <s v="EMP001"/>
    <x v="85"/>
    <d v="2024-09-05T00:00:00"/>
    <x v="0"/>
    <x v="6"/>
    <x v="0"/>
    <x v="0"/>
    <n v="10.199999999999999"/>
    <s v="&gt;5kg"/>
    <n v="4"/>
    <n v="3"/>
    <x v="0"/>
    <n v="10000"/>
    <n v="102000"/>
    <s v="Andi Pratama"/>
    <s v="internal"/>
    <x v="0"/>
  </r>
  <r>
    <s v="SHP00702"/>
    <s v="EMP002"/>
    <x v="456"/>
    <d v="2024-03-01T00:00:00"/>
    <x v="1"/>
    <x v="4"/>
    <x v="0"/>
    <x v="0"/>
    <n v="4.22"/>
    <s v="&lt; 5kg"/>
    <n v="2"/>
    <n v="3"/>
    <x v="1"/>
    <n v="10000"/>
    <n v="42200"/>
    <s v="Budi Santoso"/>
    <s v="internal"/>
    <x v="1"/>
  </r>
  <r>
    <s v="SHP00703"/>
    <s v="EMP003"/>
    <x v="145"/>
    <d v="2023-04-18T00:00:00"/>
    <x v="2"/>
    <x v="3"/>
    <x v="1"/>
    <x v="1"/>
    <n v="2.0699999999999998"/>
    <s v="&lt; 5kg"/>
    <n v="0"/>
    <n v="1"/>
    <x v="1"/>
    <n v="12000"/>
    <n v="24839.999999999996"/>
    <s v="Citra Lestari"/>
    <s v="crowd source"/>
    <x v="0"/>
  </r>
  <r>
    <s v="SHP00704"/>
    <s v="EMP004"/>
    <x v="50"/>
    <d v="2023-11-21T00:00:00"/>
    <x v="3"/>
    <x v="7"/>
    <x v="0"/>
    <x v="0"/>
    <n v="2.79"/>
    <s v="&lt; 5kg"/>
    <n v="2"/>
    <n v="3"/>
    <x v="1"/>
    <n v="10000"/>
    <n v="27900"/>
    <s v="Dedi Saputra"/>
    <s v="crowd source"/>
    <x v="1"/>
  </r>
  <r>
    <s v="SHP00705"/>
    <s v="EMP005"/>
    <x v="457"/>
    <d v="2023-06-13T00:00:00"/>
    <x v="4"/>
    <x v="7"/>
    <x v="0"/>
    <x v="0"/>
    <n v="1.01"/>
    <s v="&lt; 5kg"/>
    <n v="2"/>
    <n v="3"/>
    <x v="1"/>
    <n v="10000"/>
    <n v="10100"/>
    <s v="Eko Nugroho"/>
    <s v="internal"/>
    <x v="0"/>
  </r>
  <r>
    <s v="SHP00706"/>
    <s v="EMP006"/>
    <x v="458"/>
    <d v="2024-07-12T00:00:00"/>
    <x v="5"/>
    <x v="6"/>
    <x v="0"/>
    <x v="1"/>
    <n v="6.61"/>
    <s v="&gt;5kg"/>
    <n v="2"/>
    <n v="3"/>
    <x v="1"/>
    <n v="10000"/>
    <n v="66100"/>
    <s v="Fajar Hidayat"/>
    <s v="internal"/>
    <x v="1"/>
  </r>
  <r>
    <s v="SHP00707"/>
    <s v="EMP007"/>
    <x v="213"/>
    <d v="2023-04-19T00:00:00"/>
    <x v="6"/>
    <x v="9"/>
    <x v="2"/>
    <x v="0"/>
    <n v="5.77"/>
    <s v="&gt;5kg"/>
    <n v="4"/>
    <n v="5"/>
    <x v="1"/>
    <n v="9000"/>
    <n v="51929.999999999993"/>
    <s v="Gita Rahmawati"/>
    <s v="crowd source"/>
    <x v="0"/>
  </r>
  <r>
    <s v="SHP00708"/>
    <s v="EMP008"/>
    <x v="459"/>
    <d v="2024-11-10T00:00:00"/>
    <x v="7"/>
    <x v="5"/>
    <x v="0"/>
    <x v="0"/>
    <n v="5.4"/>
    <s v="&gt;5kg"/>
    <n v="3"/>
    <n v="3"/>
    <x v="1"/>
    <n v="10000"/>
    <n v="54000"/>
    <s v="Hendra Wijaya"/>
    <s v="internal"/>
    <x v="1"/>
  </r>
  <r>
    <s v="SHP00709"/>
    <s v="EMP009"/>
    <x v="157"/>
    <d v="2023-08-24T00:00:00"/>
    <x v="8"/>
    <x v="0"/>
    <x v="2"/>
    <x v="0"/>
    <n v="0.67"/>
    <s v="&lt; 5kg"/>
    <n v="2"/>
    <n v="5"/>
    <x v="1"/>
    <n v="9000"/>
    <n v="6030"/>
    <s v="Indah Permata"/>
    <s v="crowd source"/>
    <x v="0"/>
  </r>
  <r>
    <s v="SHP00710"/>
    <s v="EMP010"/>
    <x v="21"/>
    <d v="2024-04-21T00:00:00"/>
    <x v="9"/>
    <x v="3"/>
    <x v="0"/>
    <x v="1"/>
    <n v="2.79"/>
    <s v="&lt; 5kg"/>
    <n v="0"/>
    <n v="3"/>
    <x v="1"/>
    <n v="10000"/>
    <n v="27900"/>
    <s v="Joko Susilo"/>
    <s v="internal"/>
    <x v="1"/>
  </r>
  <r>
    <s v="SHP00711"/>
    <s v="EMP011"/>
    <x v="455"/>
    <d v="2024-11-24T00:00:00"/>
    <x v="0"/>
    <x v="9"/>
    <x v="0"/>
    <x v="0"/>
    <n v="3.24"/>
    <s v="&lt; 5kg"/>
    <n v="5"/>
    <n v="3"/>
    <x v="0"/>
    <n v="10000"/>
    <n v="32400.000000000004"/>
    <s v="Kurniawan Putra"/>
    <s v="crowd source"/>
    <x v="1"/>
  </r>
  <r>
    <s v="SHP00712"/>
    <s v="EMP012"/>
    <x v="140"/>
    <d v="2023-10-24T00:00:00"/>
    <x v="1"/>
    <x v="8"/>
    <x v="1"/>
    <x v="0"/>
    <n v="5.99"/>
    <s v="&gt;5kg"/>
    <n v="10"/>
    <n v="1"/>
    <x v="0"/>
    <n v="12000"/>
    <n v="71880"/>
    <s v="Lina Marlina"/>
    <s v="internal"/>
    <x v="0"/>
  </r>
  <r>
    <s v="SHP00713"/>
    <s v="EMP013"/>
    <x v="363"/>
    <d v="2023-11-17T00:00:00"/>
    <x v="2"/>
    <x v="4"/>
    <x v="0"/>
    <x v="1"/>
    <n v="9.5"/>
    <s v="&gt;5kg"/>
    <n v="4"/>
    <n v="3"/>
    <x v="0"/>
    <n v="10000"/>
    <n v="95000"/>
    <s v="Rizky Ananda"/>
    <s v="crowd source"/>
    <x v="0"/>
  </r>
  <r>
    <s v="SHP00714"/>
    <s v="EMP014"/>
    <x v="242"/>
    <d v="2024-09-04T00:00:00"/>
    <x v="3"/>
    <x v="0"/>
    <x v="2"/>
    <x v="1"/>
    <n v="9.52"/>
    <s v="&gt;5kg"/>
    <n v="2"/>
    <n v="5"/>
    <x v="1"/>
    <n v="9000"/>
    <n v="85680"/>
    <s v="Nanda Prakoso"/>
    <s v="internal"/>
    <x v="1"/>
  </r>
  <r>
    <s v="SHP00715"/>
    <s v="EMP015"/>
    <x v="460"/>
    <d v="2023-02-20T00:00:00"/>
    <x v="4"/>
    <x v="8"/>
    <x v="0"/>
    <x v="0"/>
    <n v="8.02"/>
    <s v="&gt;5kg"/>
    <n v="3"/>
    <n v="3"/>
    <x v="1"/>
    <n v="10000"/>
    <n v="80200"/>
    <s v="Oktavian Yusuf"/>
    <s v="crowd source"/>
    <x v="1"/>
  </r>
  <r>
    <s v="SHP00716"/>
    <s v="EMP016"/>
    <x v="152"/>
    <d v="2023-03-03T00:00:00"/>
    <x v="5"/>
    <x v="5"/>
    <x v="2"/>
    <x v="1"/>
    <n v="3.34"/>
    <s v="&lt; 5kg"/>
    <n v="10"/>
    <n v="5"/>
    <x v="0"/>
    <n v="9000"/>
    <n v="30060"/>
    <s v="Putri Ayu Lestari"/>
    <s v="internal"/>
    <x v="0"/>
  </r>
  <r>
    <s v="SHP00717"/>
    <s v="EMP017"/>
    <x v="73"/>
    <d v="2024-12-22T00:00:00"/>
    <x v="6"/>
    <x v="8"/>
    <x v="0"/>
    <x v="1"/>
    <n v="9.0500000000000007"/>
    <s v="&gt;5kg"/>
    <n v="6"/>
    <n v="3"/>
    <x v="0"/>
    <n v="10000"/>
    <n v="90500"/>
    <s v="Rafi Maulana"/>
    <s v="internal"/>
    <x v="0"/>
  </r>
  <r>
    <s v="SHP00718"/>
    <s v="EMP018"/>
    <x v="405"/>
    <d v="2024-11-07T00:00:00"/>
    <x v="7"/>
    <x v="6"/>
    <x v="2"/>
    <x v="0"/>
    <n v="9.25"/>
    <s v="&gt;5kg"/>
    <n v="4"/>
    <n v="5"/>
    <x v="1"/>
    <n v="9000"/>
    <n v="83250"/>
    <s v="Sari Puspita"/>
    <s v="crowd source"/>
    <x v="0"/>
  </r>
  <r>
    <s v="SHP00719"/>
    <s v="EMP019"/>
    <x v="131"/>
    <d v="2023-02-20T00:00:00"/>
    <x v="8"/>
    <x v="8"/>
    <x v="0"/>
    <x v="0"/>
    <n v="1.27"/>
    <s v="&lt; 5kg"/>
    <n v="1"/>
    <n v="3"/>
    <x v="1"/>
    <n v="10000"/>
    <n v="12700"/>
    <s v="Teguh Wibowo"/>
    <s v="internal"/>
    <x v="1"/>
  </r>
  <r>
    <s v="SHP00720"/>
    <s v="EMP020"/>
    <x v="73"/>
    <d v="2024-12-20T00:00:00"/>
    <x v="9"/>
    <x v="5"/>
    <x v="0"/>
    <x v="1"/>
    <n v="9.8699999999999992"/>
    <s v="&gt;5kg"/>
    <n v="4"/>
    <n v="3"/>
    <x v="0"/>
    <n v="10000"/>
    <n v="98699.999999999985"/>
    <s v="Umi Kalsum"/>
    <s v="crowd source"/>
    <x v="0"/>
  </r>
  <r>
    <s v="SHP00721"/>
    <s v="EMP021"/>
    <x v="461"/>
    <d v="2023-07-23T00:00:00"/>
    <x v="0"/>
    <x v="0"/>
    <x v="1"/>
    <x v="1"/>
    <n v="7.1"/>
    <s v="&gt;5kg"/>
    <n v="8"/>
    <n v="1"/>
    <x v="0"/>
    <n v="12000"/>
    <n v="85200"/>
    <s v="Vina Oktaviani"/>
    <s v="internal"/>
    <x v="0"/>
  </r>
  <r>
    <s v="SHP00722"/>
    <s v="EMP022"/>
    <x v="390"/>
    <d v="2024-04-08T00:00:00"/>
    <x v="1"/>
    <x v="3"/>
    <x v="2"/>
    <x v="0"/>
    <n v="2.92"/>
    <s v="&lt; 5kg"/>
    <n v="1"/>
    <n v="5"/>
    <x v="1"/>
    <n v="9000"/>
    <n v="26280"/>
    <s v="Wahyu Setiawan"/>
    <s v="crowd source"/>
    <x v="1"/>
  </r>
  <r>
    <s v="SHP00723"/>
    <s v="EMP023"/>
    <x v="462"/>
    <d v="2024-06-23T00:00:00"/>
    <x v="2"/>
    <x v="6"/>
    <x v="0"/>
    <x v="1"/>
    <n v="8.07"/>
    <s v="&gt;5kg"/>
    <n v="1"/>
    <n v="3"/>
    <x v="1"/>
    <n v="10000"/>
    <n v="80700"/>
    <s v="Yogi Firmansyah"/>
    <s v="internal"/>
    <x v="1"/>
  </r>
  <r>
    <s v="SHP00724"/>
    <s v="EMP024"/>
    <x v="463"/>
    <d v="2023-02-23T00:00:00"/>
    <x v="3"/>
    <x v="0"/>
    <x v="0"/>
    <x v="0"/>
    <n v="1.1100000000000001"/>
    <s v="&lt; 5kg"/>
    <n v="3"/>
    <n v="3"/>
    <x v="1"/>
    <n v="10000"/>
    <n v="11100.000000000002"/>
    <s v="Zainal Abidin"/>
    <s v="crowd source"/>
    <x v="1"/>
  </r>
  <r>
    <s v="SHP00725"/>
    <s v="EMP025"/>
    <x v="96"/>
    <d v="2024-03-26T00:00:00"/>
    <x v="4"/>
    <x v="1"/>
    <x v="0"/>
    <x v="1"/>
    <n v="6.12"/>
    <s v="&gt;5kg"/>
    <n v="4"/>
    <n v="3"/>
    <x v="0"/>
    <n v="10000"/>
    <n v="61200"/>
    <s v="Ahmad Fauzi"/>
    <s v="internal"/>
    <x v="0"/>
  </r>
  <r>
    <s v="SHP00726"/>
    <s v="EMP026"/>
    <x v="366"/>
    <d v="2023-10-04T00:00:00"/>
    <x v="5"/>
    <x v="0"/>
    <x v="2"/>
    <x v="0"/>
    <n v="6.7"/>
    <s v="&gt;5kg"/>
    <n v="4"/>
    <n v="5"/>
    <x v="1"/>
    <n v="9000"/>
    <n v="60300"/>
    <s v="Bayu Ramadhan"/>
    <s v="crowd source"/>
    <x v="0"/>
  </r>
  <r>
    <s v="SHP00727"/>
    <s v="EMP027"/>
    <x v="4"/>
    <d v="2024-06-20T00:00:00"/>
    <x v="6"/>
    <x v="4"/>
    <x v="0"/>
    <x v="0"/>
    <n v="1.54"/>
    <s v="&lt; 5kg"/>
    <n v="4"/>
    <n v="3"/>
    <x v="0"/>
    <n v="10000"/>
    <n v="15400"/>
    <s v="Cindy Oktavia"/>
    <s v="internal"/>
    <x v="0"/>
  </r>
  <r>
    <s v="SHP00728"/>
    <s v="EMP028"/>
    <x v="464"/>
    <d v="2024-06-02T00:00:00"/>
    <x v="7"/>
    <x v="5"/>
    <x v="2"/>
    <x v="1"/>
    <n v="4.76"/>
    <s v="&lt; 5kg"/>
    <n v="10"/>
    <n v="5"/>
    <x v="0"/>
    <n v="9000"/>
    <n v="42840"/>
    <s v="Dian Pramudya"/>
    <s v="crowd source"/>
    <x v="1"/>
  </r>
  <r>
    <s v="SHP00729"/>
    <s v="EMP029"/>
    <x v="465"/>
    <d v="2023-10-15T00:00:00"/>
    <x v="8"/>
    <x v="8"/>
    <x v="1"/>
    <x v="0"/>
    <n v="10.08"/>
    <s v="&gt;5kg"/>
    <n v="0"/>
    <n v="1"/>
    <x v="1"/>
    <n v="12000"/>
    <n v="120960"/>
    <s v="Erwin Kurniawan"/>
    <s v="internal"/>
    <x v="1"/>
  </r>
  <r>
    <s v="SHP00730"/>
    <s v="EMP030"/>
    <x v="466"/>
    <d v="2023-12-17T00:00:00"/>
    <x v="9"/>
    <x v="5"/>
    <x v="1"/>
    <x v="1"/>
    <n v="5.89"/>
    <s v="&gt;5kg"/>
    <n v="3"/>
    <n v="1"/>
    <x v="0"/>
    <n v="12000"/>
    <n v="70680"/>
    <s v="Fitri Handayani"/>
    <s v="crowd source"/>
    <x v="0"/>
  </r>
  <r>
    <s v="SHP00731"/>
    <s v="EMP031"/>
    <x v="321"/>
    <d v="2023-08-28T00:00:00"/>
    <x v="0"/>
    <x v="8"/>
    <x v="0"/>
    <x v="1"/>
    <n v="6.25"/>
    <s v="&gt;5kg"/>
    <n v="5"/>
    <n v="3"/>
    <x v="0"/>
    <n v="10000"/>
    <n v="62500"/>
    <s v="Gilang Saputra"/>
    <s v="internal"/>
    <x v="0"/>
  </r>
  <r>
    <s v="SHP00732"/>
    <s v="EMP032"/>
    <x v="220"/>
    <d v="2023-01-28T00:00:00"/>
    <x v="1"/>
    <x v="3"/>
    <x v="0"/>
    <x v="1"/>
    <n v="8.27"/>
    <s v="&gt;5kg"/>
    <n v="1"/>
    <n v="3"/>
    <x v="1"/>
    <n v="10000"/>
    <n v="82700"/>
    <s v="Hariyanto"/>
    <s v="crowd source"/>
    <x v="1"/>
  </r>
  <r>
    <s v="SHP00733"/>
    <s v="EMP033"/>
    <x v="161"/>
    <d v="2024-12-18T00:00:00"/>
    <x v="2"/>
    <x v="9"/>
    <x v="0"/>
    <x v="0"/>
    <n v="10.3"/>
    <s v="&gt;5kg"/>
    <n v="9"/>
    <n v="3"/>
    <x v="0"/>
    <n v="10000"/>
    <n v="103000"/>
    <s v="Intan Maharani"/>
    <s v="internal"/>
    <x v="0"/>
  </r>
  <r>
    <s v="SHP00734"/>
    <s v="EMP034"/>
    <x v="235"/>
    <d v="2024-01-19T00:00:00"/>
    <x v="3"/>
    <x v="8"/>
    <x v="0"/>
    <x v="0"/>
    <n v="4.0199999999999996"/>
    <s v="&lt; 5kg"/>
    <n v="6"/>
    <n v="3"/>
    <x v="0"/>
    <n v="10000"/>
    <n v="40199.999999999993"/>
    <s v="Jefri Alamsyah"/>
    <s v="internal"/>
    <x v="1"/>
  </r>
  <r>
    <s v="SHP00735"/>
    <s v="EMP035"/>
    <x v="467"/>
    <d v="2024-07-22T00:00:00"/>
    <x v="4"/>
    <x v="1"/>
    <x v="2"/>
    <x v="1"/>
    <n v="7.6"/>
    <s v="&gt;5kg"/>
    <n v="4"/>
    <n v="5"/>
    <x v="1"/>
    <n v="9000"/>
    <n v="68400"/>
    <s v="Kartika Sari"/>
    <s v="crowd source"/>
    <x v="0"/>
  </r>
  <r>
    <s v="SHP00736"/>
    <s v="EMP036"/>
    <x v="203"/>
    <d v="2023-03-03T00:00:00"/>
    <x v="5"/>
    <x v="6"/>
    <x v="2"/>
    <x v="1"/>
    <n v="1.1100000000000001"/>
    <s v="&lt; 5kg"/>
    <n v="6"/>
    <n v="5"/>
    <x v="0"/>
    <n v="9000"/>
    <n v="9990"/>
    <s v="Lukman Hakim"/>
    <s v="internal"/>
    <x v="1"/>
  </r>
  <r>
    <s v="SHP00737"/>
    <s v="EMP037"/>
    <x v="253"/>
    <d v="2023-05-22T00:00:00"/>
    <x v="6"/>
    <x v="2"/>
    <x v="0"/>
    <x v="1"/>
    <n v="2.98"/>
    <s v="&lt; 5kg"/>
    <n v="0"/>
    <n v="3"/>
    <x v="1"/>
    <n v="10000"/>
    <n v="29800"/>
    <s v="Mega Puspitasari"/>
    <s v="internal"/>
    <x v="0"/>
  </r>
  <r>
    <s v="SHP00738"/>
    <s v="EMP038"/>
    <x v="95"/>
    <d v="2023-07-09T00:00:00"/>
    <x v="7"/>
    <x v="9"/>
    <x v="0"/>
    <x v="0"/>
    <n v="4.13"/>
    <s v="&lt; 5kg"/>
    <n v="0"/>
    <n v="3"/>
    <x v="1"/>
    <n v="10000"/>
    <n v="41300"/>
    <s v="Niko Prasetyo"/>
    <s v="crowd source"/>
    <x v="1"/>
  </r>
  <r>
    <s v="SHP00739"/>
    <s v="EMP039"/>
    <x v="468"/>
    <d v="2024-01-18T00:00:00"/>
    <x v="8"/>
    <x v="5"/>
    <x v="2"/>
    <x v="1"/>
    <n v="4.54"/>
    <s v="&lt; 5kg"/>
    <n v="4"/>
    <n v="5"/>
    <x v="1"/>
    <n v="9000"/>
    <n v="40860"/>
    <s v="Olivia Putri"/>
    <s v="internal"/>
    <x v="0"/>
  </r>
  <r>
    <s v="SHP00740"/>
    <s v="EMP040"/>
    <x v="469"/>
    <d v="2024-02-23T00:00:00"/>
    <x v="9"/>
    <x v="6"/>
    <x v="2"/>
    <x v="0"/>
    <n v="1.42"/>
    <s v="&lt; 5kg"/>
    <n v="10"/>
    <n v="5"/>
    <x v="0"/>
    <n v="9000"/>
    <n v="12780"/>
    <s v="Prasetyo Utomo"/>
    <s v="internal"/>
    <x v="1"/>
  </r>
  <r>
    <s v="SHP00741"/>
    <s v="EMP041"/>
    <x v="351"/>
    <d v="2024-01-30T00:00:00"/>
    <x v="0"/>
    <x v="3"/>
    <x v="0"/>
    <x v="1"/>
    <n v="6.24"/>
    <s v="&gt;5kg"/>
    <n v="4"/>
    <n v="3"/>
    <x v="0"/>
    <n v="10000"/>
    <n v="62400"/>
    <s v="Qori Annisa"/>
    <s v="crowd source"/>
    <x v="0"/>
  </r>
  <r>
    <s v="SHP00742"/>
    <s v="EMP042"/>
    <x v="470"/>
    <d v="2024-04-26T00:00:00"/>
    <x v="1"/>
    <x v="1"/>
    <x v="0"/>
    <x v="0"/>
    <n v="4.17"/>
    <s v="&lt; 5kg"/>
    <n v="0"/>
    <n v="3"/>
    <x v="1"/>
    <n v="10000"/>
    <n v="41700"/>
    <s v="Rangga Saptonugroho"/>
    <s v="crowd source"/>
    <x v="1"/>
  </r>
  <r>
    <s v="SHP00743"/>
    <s v="EMP043"/>
    <x v="153"/>
    <d v="2023-02-22T00:00:00"/>
    <x v="2"/>
    <x v="1"/>
    <x v="0"/>
    <x v="1"/>
    <n v="7.28"/>
    <s v="&gt;5kg"/>
    <n v="4"/>
    <n v="3"/>
    <x v="0"/>
    <n v="10000"/>
    <n v="72800"/>
    <s v="Sinta Dewi"/>
    <s v="internal"/>
    <x v="0"/>
  </r>
  <r>
    <s v="SHP00744"/>
    <s v="EMP044"/>
    <x v="135"/>
    <d v="2024-07-30T00:00:00"/>
    <x v="3"/>
    <x v="8"/>
    <x v="0"/>
    <x v="1"/>
    <n v="7.99"/>
    <s v="&gt;5kg"/>
    <n v="2"/>
    <n v="3"/>
    <x v="1"/>
    <n v="10000"/>
    <n v="79900"/>
    <s v="Taufik Hidayat"/>
    <s v="internal"/>
    <x v="1"/>
  </r>
  <r>
    <s v="SHP00745"/>
    <s v="EMP045"/>
    <x v="471"/>
    <d v="2023-07-31T00:00:00"/>
    <x v="4"/>
    <x v="3"/>
    <x v="0"/>
    <x v="0"/>
    <n v="4.83"/>
    <s v="&lt; 5kg"/>
    <n v="0"/>
    <n v="3"/>
    <x v="1"/>
    <n v="10000"/>
    <n v="48300"/>
    <s v="Usman Ali"/>
    <s v="crowd source"/>
    <x v="0"/>
  </r>
  <r>
    <s v="SHP00746"/>
    <s v="EMP046"/>
    <x v="235"/>
    <d v="2024-01-17T00:00:00"/>
    <x v="5"/>
    <x v="6"/>
    <x v="1"/>
    <x v="0"/>
    <n v="5.04"/>
    <s v="&gt;5kg"/>
    <n v="4"/>
    <n v="1"/>
    <x v="0"/>
    <n v="12000"/>
    <n v="60480"/>
    <s v="Vivi Lestari"/>
    <s v="internal"/>
    <x v="0"/>
  </r>
  <r>
    <s v="SHP00747"/>
    <s v="EMP047"/>
    <x v="180"/>
    <d v="2024-01-05T00:00:00"/>
    <x v="6"/>
    <x v="6"/>
    <x v="1"/>
    <x v="0"/>
    <n v="7.04"/>
    <s v="&gt;5kg"/>
    <n v="9"/>
    <n v="1"/>
    <x v="0"/>
    <n v="12000"/>
    <n v="84480"/>
    <s v="Wawan Setiabudi"/>
    <s v="internal"/>
    <x v="1"/>
  </r>
  <r>
    <s v="SHP00748"/>
    <s v="EMP048"/>
    <x v="472"/>
    <d v="2023-10-13T00:00:00"/>
    <x v="7"/>
    <x v="8"/>
    <x v="2"/>
    <x v="0"/>
    <n v="4.7699999999999996"/>
    <s v="&lt; 5kg"/>
    <n v="5"/>
    <n v="5"/>
    <x v="1"/>
    <n v="9000"/>
    <n v="42929.999999999993"/>
    <s v="Xenia Maharani"/>
    <s v="crowd source"/>
    <x v="0"/>
  </r>
  <r>
    <s v="SHP00749"/>
    <s v="EMP049"/>
    <x v="88"/>
    <d v="2024-10-31T00:00:00"/>
    <x v="8"/>
    <x v="6"/>
    <x v="0"/>
    <x v="1"/>
    <n v="6.54"/>
    <s v="&gt;5kg"/>
    <n v="10"/>
    <n v="3"/>
    <x v="0"/>
    <n v="10000"/>
    <n v="65400"/>
    <s v="Yoga Pradana"/>
    <s v="internal"/>
    <x v="0"/>
  </r>
  <r>
    <s v="SHP00750"/>
    <s v="EMP050"/>
    <x v="145"/>
    <d v="2023-04-19T00:00:00"/>
    <x v="9"/>
    <x v="7"/>
    <x v="0"/>
    <x v="1"/>
    <n v="7.24"/>
    <s v="&gt;5kg"/>
    <n v="1"/>
    <n v="3"/>
    <x v="1"/>
    <n v="10000"/>
    <n v="72400"/>
    <s v="Zulfikar Ramadhan"/>
    <s v="crowd source"/>
    <x v="1"/>
  </r>
  <r>
    <s v="SHP00751"/>
    <s v="EMP051"/>
    <x v="251"/>
    <d v="2024-06-30T00:00:00"/>
    <x v="0"/>
    <x v="0"/>
    <x v="1"/>
    <x v="0"/>
    <n v="3.13"/>
    <s v="&lt; 5kg"/>
    <n v="6"/>
    <n v="1"/>
    <x v="0"/>
    <n v="12000"/>
    <n v="37560"/>
    <s v="Aditya Saputra"/>
    <s v="internal"/>
    <x v="0"/>
  </r>
  <r>
    <s v="SHP00752"/>
    <s v="EMP052"/>
    <x v="303"/>
    <d v="2023-07-21T00:00:00"/>
    <x v="1"/>
    <x v="4"/>
    <x v="0"/>
    <x v="1"/>
    <n v="9.3800000000000008"/>
    <s v="&gt;5kg"/>
    <n v="4"/>
    <n v="3"/>
    <x v="0"/>
    <n v="10000"/>
    <n v="93800.000000000015"/>
    <s v="Bella Oktaviani"/>
    <s v="internal"/>
    <x v="0"/>
  </r>
  <r>
    <s v="SHP00753"/>
    <s v="EMP053"/>
    <x v="473"/>
    <d v="2024-12-25T00:00:00"/>
    <x v="2"/>
    <x v="4"/>
    <x v="2"/>
    <x v="0"/>
    <n v="9.34"/>
    <s v="&gt;5kg"/>
    <n v="3"/>
    <n v="5"/>
    <x v="1"/>
    <n v="9000"/>
    <n v="84060"/>
    <s v="Chandra Wijaya"/>
    <s v="crowd source"/>
    <x v="1"/>
  </r>
  <r>
    <s v="SHP00754"/>
    <s v="EMP054"/>
    <x v="474"/>
    <d v="2024-05-21T00:00:00"/>
    <x v="3"/>
    <x v="3"/>
    <x v="0"/>
    <x v="0"/>
    <n v="5.97"/>
    <s v="&gt;5kg"/>
    <n v="4"/>
    <n v="3"/>
    <x v="0"/>
    <n v="10000"/>
    <n v="59700"/>
    <s v="Dewi Sartika"/>
    <s v="internal"/>
    <x v="0"/>
  </r>
  <r>
    <s v="SHP00755"/>
    <s v="EMP055"/>
    <x v="475"/>
    <d v="2024-12-22T00:00:00"/>
    <x v="4"/>
    <x v="9"/>
    <x v="0"/>
    <x v="0"/>
    <n v="1.34"/>
    <s v="&lt; 5kg"/>
    <n v="3"/>
    <n v="3"/>
    <x v="1"/>
    <n v="10000"/>
    <n v="13400"/>
    <s v="Edi Kurniawan"/>
    <s v="internal"/>
    <x v="1"/>
  </r>
  <r>
    <s v="SHP00756"/>
    <s v="EMP056"/>
    <x v="332"/>
    <d v="2024-03-17T00:00:00"/>
    <x v="5"/>
    <x v="8"/>
    <x v="2"/>
    <x v="0"/>
    <n v="10.09"/>
    <s v="&gt;5kg"/>
    <n v="9"/>
    <n v="5"/>
    <x v="0"/>
    <n v="9000"/>
    <n v="90810"/>
    <s v="Farah Nabila"/>
    <s v="crowd source"/>
    <x v="0"/>
  </r>
  <r>
    <s v="SHP00757"/>
    <s v="EMP057"/>
    <x v="348"/>
    <d v="2024-06-04T00:00:00"/>
    <x v="6"/>
    <x v="7"/>
    <x v="0"/>
    <x v="0"/>
    <n v="5.13"/>
    <s v="&gt;5kg"/>
    <n v="4"/>
    <n v="3"/>
    <x v="0"/>
    <n v="10000"/>
    <n v="51300"/>
    <s v="Galih Pratomo"/>
    <s v="internal"/>
    <x v="0"/>
  </r>
  <r>
    <s v="SHP00758"/>
    <s v="EMP058"/>
    <x v="463"/>
    <d v="2023-02-24T00:00:00"/>
    <x v="7"/>
    <x v="6"/>
    <x v="2"/>
    <x v="0"/>
    <n v="4.01"/>
    <s v="&lt; 5kg"/>
    <n v="4"/>
    <n v="5"/>
    <x v="1"/>
    <n v="9000"/>
    <n v="36090"/>
    <s v="Hadi Purnomo"/>
    <s v="crowd source"/>
    <x v="1"/>
  </r>
  <r>
    <s v="SHP00759"/>
    <s v="EMP059"/>
    <x v="476"/>
    <d v="2023-01-07T00:00:00"/>
    <x v="8"/>
    <x v="3"/>
    <x v="2"/>
    <x v="0"/>
    <n v="8.92"/>
    <s v="&gt;5kg"/>
    <n v="4"/>
    <n v="5"/>
    <x v="1"/>
    <n v="9000"/>
    <n v="80280"/>
    <s v="Ika Lestari"/>
    <s v="internal"/>
    <x v="0"/>
  </r>
  <r>
    <s v="SHP00760"/>
    <s v="EMP060"/>
    <x v="477"/>
    <d v="2023-01-16T00:00:00"/>
    <x v="9"/>
    <x v="2"/>
    <x v="0"/>
    <x v="1"/>
    <n v="1.3"/>
    <s v="&lt; 5kg"/>
    <n v="1"/>
    <n v="3"/>
    <x v="1"/>
    <n v="10000"/>
    <n v="13000"/>
    <s v="Jamil Akbar"/>
    <s v="internal"/>
    <x v="1"/>
  </r>
  <r>
    <s v="SHP00761"/>
    <s v="EMP061"/>
    <x v="478"/>
    <d v="2023-01-19T00:00:00"/>
    <x v="0"/>
    <x v="3"/>
    <x v="0"/>
    <x v="0"/>
    <n v="4.46"/>
    <s v="&lt; 5kg"/>
    <n v="1"/>
    <n v="3"/>
    <x v="1"/>
    <n v="10000"/>
    <n v="44600"/>
    <s v="Kevin Sanjaya"/>
    <s v="crowd source"/>
    <x v="0"/>
  </r>
  <r>
    <s v="SHP00762"/>
    <s v="EMP062"/>
    <x v="479"/>
    <d v="2024-12-03T00:00:00"/>
    <x v="1"/>
    <x v="4"/>
    <x v="0"/>
    <x v="0"/>
    <n v="3.16"/>
    <s v="&lt; 5kg"/>
    <n v="5"/>
    <n v="3"/>
    <x v="0"/>
    <n v="10000"/>
    <n v="31600"/>
    <s v="Laila Nuraini"/>
    <s v="internal"/>
    <x v="0"/>
  </r>
  <r>
    <s v="SHP00763"/>
    <s v="EMP063"/>
    <x v="343"/>
    <d v="2023-07-11T00:00:00"/>
    <x v="2"/>
    <x v="3"/>
    <x v="0"/>
    <x v="0"/>
    <n v="9.9700000000000006"/>
    <s v="&gt;5kg"/>
    <n v="0"/>
    <n v="3"/>
    <x v="1"/>
    <n v="10000"/>
    <n v="99700"/>
    <s v="Miko Setiawan"/>
    <s v="crowd source"/>
    <x v="1"/>
  </r>
  <r>
    <s v="SHP00764"/>
    <s v="EMP064"/>
    <x v="124"/>
    <d v="2023-12-02T00:00:00"/>
    <x v="3"/>
    <x v="5"/>
    <x v="0"/>
    <x v="0"/>
    <n v="5.56"/>
    <s v="&gt;5kg"/>
    <n v="9"/>
    <n v="3"/>
    <x v="0"/>
    <n v="10000"/>
    <n v="55599.999999999993"/>
    <s v="Nisa Aulia"/>
    <s v="internal"/>
    <x v="0"/>
  </r>
  <r>
    <s v="SHP00765"/>
    <s v="EMP065"/>
    <x v="480"/>
    <d v="2023-01-27T00:00:00"/>
    <x v="4"/>
    <x v="0"/>
    <x v="2"/>
    <x v="1"/>
    <n v="5.28"/>
    <s v="&gt;5kg"/>
    <n v="3"/>
    <n v="5"/>
    <x v="1"/>
    <n v="9000"/>
    <n v="47520"/>
    <s v="Oki Pramono"/>
    <s v="internal"/>
    <x v="1"/>
  </r>
  <r>
    <s v="SHP00766"/>
    <s v="EMP066"/>
    <x v="166"/>
    <d v="2023-10-22T00:00:00"/>
    <x v="5"/>
    <x v="5"/>
    <x v="0"/>
    <x v="0"/>
    <n v="7.33"/>
    <s v="&gt;5kg"/>
    <n v="6"/>
    <n v="3"/>
    <x v="0"/>
    <n v="10000"/>
    <n v="73300"/>
    <s v="Putra Mahendra"/>
    <s v="crowd source"/>
    <x v="0"/>
  </r>
  <r>
    <s v="SHP00767"/>
    <s v="EMP067"/>
    <x v="481"/>
    <d v="2023-07-17T00:00:00"/>
    <x v="6"/>
    <x v="4"/>
    <x v="1"/>
    <x v="1"/>
    <n v="7.54"/>
    <s v="&gt;5kg"/>
    <n v="5"/>
    <n v="1"/>
    <x v="0"/>
    <n v="12000"/>
    <n v="90480"/>
    <s v="Qolbi Ramadhani"/>
    <s v="internal"/>
    <x v="0"/>
  </r>
  <r>
    <s v="SHP00768"/>
    <s v="EMP068"/>
    <x v="197"/>
    <d v="2023-10-14T00:00:00"/>
    <x v="7"/>
    <x v="6"/>
    <x v="0"/>
    <x v="1"/>
    <n v="4.63"/>
    <s v="&lt; 5kg"/>
    <n v="4"/>
    <n v="3"/>
    <x v="0"/>
    <n v="10000"/>
    <n v="46300"/>
    <s v="Reza Firmansyah"/>
    <s v="crowd source"/>
    <x v="1"/>
  </r>
  <r>
    <s v="SHP00769"/>
    <s v="EMP069"/>
    <x v="482"/>
    <d v="2024-01-07T00:00:00"/>
    <x v="8"/>
    <x v="7"/>
    <x v="2"/>
    <x v="0"/>
    <n v="3.65"/>
    <s v="&lt; 5kg"/>
    <n v="3"/>
    <n v="5"/>
    <x v="1"/>
    <n v="9000"/>
    <n v="32850"/>
    <s v="Siska Amelia"/>
    <s v="internal"/>
    <x v="0"/>
  </r>
  <r>
    <s v="SHP00770"/>
    <s v="EMP070"/>
    <x v="483"/>
    <d v="2023-09-30T00:00:00"/>
    <x v="9"/>
    <x v="1"/>
    <x v="2"/>
    <x v="1"/>
    <n v="9.66"/>
    <s v="&gt;5kg"/>
    <n v="2"/>
    <n v="5"/>
    <x v="1"/>
    <n v="9000"/>
    <n v="86940"/>
    <s v="Tri Wibowo"/>
    <s v="internal"/>
    <x v="1"/>
  </r>
  <r>
    <s v="SHP00771"/>
    <s v="EMP071"/>
    <x v="363"/>
    <d v="2023-11-13T00:00:00"/>
    <x v="0"/>
    <x v="2"/>
    <x v="1"/>
    <x v="0"/>
    <n v="2.4700000000000002"/>
    <s v="&lt; 5kg"/>
    <n v="0"/>
    <n v="1"/>
    <x v="1"/>
    <n v="12000"/>
    <n v="29640.000000000004"/>
    <s v="Ubay Prakoso"/>
    <s v="crowd source"/>
    <x v="0"/>
  </r>
  <r>
    <s v="SHP00772"/>
    <s v="EMP072"/>
    <x v="307"/>
    <d v="2024-12-25T00:00:00"/>
    <x v="1"/>
    <x v="4"/>
    <x v="0"/>
    <x v="0"/>
    <n v="4.33"/>
    <s v="&lt; 5kg"/>
    <n v="4"/>
    <n v="3"/>
    <x v="0"/>
    <n v="10000"/>
    <n v="43300"/>
    <s v="Vania Putri"/>
    <s v="internal"/>
    <x v="0"/>
  </r>
  <r>
    <s v="SHP00773"/>
    <s v="EMP073"/>
    <x v="191"/>
    <d v="2023-12-26T00:00:00"/>
    <x v="2"/>
    <x v="5"/>
    <x v="2"/>
    <x v="1"/>
    <n v="5.01"/>
    <s v="&gt;5kg"/>
    <n v="1"/>
    <n v="5"/>
    <x v="1"/>
    <n v="9000"/>
    <n v="45090"/>
    <s v="Wira Nugraha"/>
    <s v="internal"/>
    <x v="1"/>
  </r>
  <r>
    <s v="SHP00774"/>
    <s v="EMP074"/>
    <x v="95"/>
    <d v="2023-07-12T00:00:00"/>
    <x v="3"/>
    <x v="8"/>
    <x v="0"/>
    <x v="0"/>
    <n v="8.3000000000000007"/>
    <s v="&gt;5kg"/>
    <n v="3"/>
    <n v="3"/>
    <x v="1"/>
    <n v="10000"/>
    <n v="83000"/>
    <s v="Xaverius Adi"/>
    <s v="crowd source"/>
    <x v="1"/>
  </r>
  <r>
    <s v="SHP00775"/>
    <s v="EMP075"/>
    <x v="392"/>
    <d v="2024-12-24T00:00:00"/>
    <x v="4"/>
    <x v="5"/>
    <x v="0"/>
    <x v="1"/>
    <n v="1.1000000000000001"/>
    <s v="&lt; 5kg"/>
    <n v="7"/>
    <n v="3"/>
    <x v="0"/>
    <n v="10000"/>
    <n v="11000"/>
    <s v="Yuliana Kartini"/>
    <s v="internal"/>
    <x v="0"/>
  </r>
  <r>
    <s v="SHP00776"/>
    <s v="EMP076"/>
    <x v="484"/>
    <d v="2024-02-23T00:00:00"/>
    <x v="5"/>
    <x v="8"/>
    <x v="0"/>
    <x v="0"/>
    <n v="7.07"/>
    <s v="&gt;5kg"/>
    <n v="4"/>
    <n v="3"/>
    <x v="0"/>
    <n v="10000"/>
    <n v="70700"/>
    <s v="Zaki Alamsyah"/>
    <s v="internal"/>
    <x v="0"/>
  </r>
  <r>
    <s v="SHP00777"/>
    <s v="EMP077"/>
    <x v="75"/>
    <d v="2024-02-01T00:00:00"/>
    <x v="6"/>
    <x v="0"/>
    <x v="0"/>
    <x v="1"/>
    <n v="9.32"/>
    <s v="&gt;5kg"/>
    <n v="7"/>
    <n v="3"/>
    <x v="0"/>
    <n v="10000"/>
    <n v="93200"/>
    <s v="Arief Setyawan"/>
    <s v="crowd source"/>
    <x v="1"/>
  </r>
  <r>
    <s v="SHP00778"/>
    <s v="EMP078"/>
    <x v="485"/>
    <d v="2023-11-03T00:00:00"/>
    <x v="7"/>
    <x v="2"/>
    <x v="0"/>
    <x v="1"/>
    <n v="6.92"/>
    <s v="&gt;5kg"/>
    <n v="4"/>
    <n v="3"/>
    <x v="0"/>
    <n v="10000"/>
    <n v="69200"/>
    <s v="Bunga Cahyani"/>
    <s v="internal"/>
    <x v="0"/>
  </r>
  <r>
    <s v="SHP00779"/>
    <s v="EMP079"/>
    <x v="388"/>
    <d v="2024-07-25T00:00:00"/>
    <x v="8"/>
    <x v="8"/>
    <x v="0"/>
    <x v="1"/>
    <n v="4.16"/>
    <s v="&lt; 5kg"/>
    <n v="8"/>
    <n v="3"/>
    <x v="0"/>
    <n v="10000"/>
    <n v="41600"/>
    <s v="Cahyo Prabowo"/>
    <s v="internal"/>
    <x v="1"/>
  </r>
  <r>
    <s v="SHP00780"/>
    <s v="EMP080"/>
    <x v="186"/>
    <d v="2023-07-22T00:00:00"/>
    <x v="9"/>
    <x v="2"/>
    <x v="1"/>
    <x v="0"/>
    <n v="4.1900000000000004"/>
    <s v="&lt; 5kg"/>
    <n v="0"/>
    <n v="1"/>
    <x v="1"/>
    <n v="12000"/>
    <n v="50280.000000000007"/>
    <s v="Diah Permata"/>
    <s v="crowd source"/>
    <x v="0"/>
  </r>
  <r>
    <s v="SHP00781"/>
    <s v="EMP081"/>
    <x v="82"/>
    <d v="2023-06-28T00:00:00"/>
    <x v="0"/>
    <x v="2"/>
    <x v="1"/>
    <x v="1"/>
    <n v="5.93"/>
    <s v="&gt;5kg"/>
    <n v="4"/>
    <n v="1"/>
    <x v="0"/>
    <n v="12000"/>
    <n v="71160"/>
    <s v="Evania Putri"/>
    <s v="internal"/>
    <x v="0"/>
  </r>
  <r>
    <s v="SHP00782"/>
    <s v="EMP082"/>
    <x v="143"/>
    <d v="2024-03-23T00:00:00"/>
    <x v="1"/>
    <x v="5"/>
    <x v="2"/>
    <x v="0"/>
    <n v="1.01"/>
    <s v="&lt; 5kg"/>
    <n v="7"/>
    <n v="5"/>
    <x v="0"/>
    <n v="9000"/>
    <n v="9090"/>
    <s v="Fikri Ramadhan"/>
    <s v="crowd source"/>
    <x v="1"/>
  </r>
  <r>
    <s v="SHP00783"/>
    <s v="EMP083"/>
    <x v="419"/>
    <d v="2024-08-29T00:00:00"/>
    <x v="2"/>
    <x v="8"/>
    <x v="0"/>
    <x v="1"/>
    <n v="9.6"/>
    <s v="&gt;5kg"/>
    <n v="4"/>
    <n v="3"/>
    <x v="0"/>
    <n v="10000"/>
    <n v="96000"/>
    <s v="Gilang Ramli"/>
    <s v="internal"/>
    <x v="0"/>
  </r>
  <r>
    <s v="SHP00784"/>
    <s v="EMP084"/>
    <x v="359"/>
    <d v="2023-04-22T00:00:00"/>
    <x v="3"/>
    <x v="1"/>
    <x v="1"/>
    <x v="0"/>
    <n v="3.65"/>
    <s v="&lt; 5kg"/>
    <n v="1"/>
    <n v="1"/>
    <x v="1"/>
    <n v="12000"/>
    <n v="43800"/>
    <s v="Hana Zahra"/>
    <s v="internal"/>
    <x v="0"/>
  </r>
  <r>
    <s v="SHP00785"/>
    <s v="EMP085"/>
    <x v="89"/>
    <d v="2023-01-10T00:00:00"/>
    <x v="4"/>
    <x v="7"/>
    <x v="0"/>
    <x v="1"/>
    <n v="7.62"/>
    <s v="&gt;5kg"/>
    <n v="4"/>
    <n v="3"/>
    <x v="0"/>
    <n v="10000"/>
    <n v="76200"/>
    <s v="Irfan Maulana"/>
    <s v="internal"/>
    <x v="1"/>
  </r>
  <r>
    <s v="SHP00786"/>
    <s v="EMP086"/>
    <x v="38"/>
    <d v="2024-09-22T00:00:00"/>
    <x v="5"/>
    <x v="9"/>
    <x v="1"/>
    <x v="1"/>
    <n v="8.2100000000000009"/>
    <s v="&gt;5kg"/>
    <n v="9"/>
    <n v="1"/>
    <x v="0"/>
    <n v="12000"/>
    <n v="98520.000000000015"/>
    <s v="Jihan Salsabila"/>
    <s v="crowd source"/>
    <x v="0"/>
  </r>
  <r>
    <s v="SHP00787"/>
    <s v="EMP087"/>
    <x v="486"/>
    <d v="2023-04-17T00:00:00"/>
    <x v="6"/>
    <x v="5"/>
    <x v="2"/>
    <x v="1"/>
    <n v="7.58"/>
    <s v="&gt;5kg"/>
    <n v="4"/>
    <n v="5"/>
    <x v="1"/>
    <n v="9000"/>
    <n v="68220"/>
    <s v="Koko Santoso"/>
    <s v="internal"/>
    <x v="0"/>
  </r>
  <r>
    <s v="SHP00788"/>
    <s v="EMP088"/>
    <x v="487"/>
    <d v="2024-10-05T00:00:00"/>
    <x v="7"/>
    <x v="0"/>
    <x v="2"/>
    <x v="1"/>
    <n v="8.24"/>
    <s v="&gt;5kg"/>
    <n v="6"/>
    <n v="5"/>
    <x v="0"/>
    <n v="9000"/>
    <n v="74160"/>
    <s v="Luthfi Hakim"/>
    <s v="crowd source"/>
    <x v="1"/>
  </r>
  <r>
    <s v="SHP00789"/>
    <s v="EMP089"/>
    <x v="471"/>
    <d v="2023-08-04T00:00:00"/>
    <x v="8"/>
    <x v="7"/>
    <x v="0"/>
    <x v="1"/>
    <n v="7.11"/>
    <s v="&gt;5kg"/>
    <n v="4"/>
    <n v="3"/>
    <x v="0"/>
    <n v="10000"/>
    <n v="71100"/>
    <s v="Melati Anggraini"/>
    <s v="internal"/>
    <x v="0"/>
  </r>
  <r>
    <s v="SHP00790"/>
    <s v="EMP090"/>
    <x v="251"/>
    <d v="2024-06-26T00:00:00"/>
    <x v="9"/>
    <x v="7"/>
    <x v="0"/>
    <x v="0"/>
    <n v="4.2699999999999996"/>
    <s v="&lt; 5kg"/>
    <n v="2"/>
    <n v="3"/>
    <x v="1"/>
    <n v="10000"/>
    <n v="42699.999999999993"/>
    <s v="Naufal Rizky"/>
    <s v="internal"/>
    <x v="1"/>
  </r>
  <r>
    <s v="SHP00791"/>
    <s v="EMP091"/>
    <x v="70"/>
    <d v="2023-09-25T00:00:00"/>
    <x v="0"/>
    <x v="3"/>
    <x v="1"/>
    <x v="0"/>
    <n v="6.42"/>
    <s v="&gt;5kg"/>
    <n v="4"/>
    <n v="1"/>
    <x v="0"/>
    <n v="12000"/>
    <n v="77040"/>
    <s v="Olin Febriani"/>
    <s v="crowd source"/>
    <x v="0"/>
  </r>
  <r>
    <s v="SHP00792"/>
    <s v="EMP092"/>
    <x v="234"/>
    <d v="2023-02-14T00:00:00"/>
    <x v="1"/>
    <x v="6"/>
    <x v="2"/>
    <x v="0"/>
    <n v="0.73"/>
    <s v="&lt; 5kg"/>
    <n v="9"/>
    <n v="5"/>
    <x v="0"/>
    <n v="9000"/>
    <n v="6570"/>
    <s v="Praditya Wicaksono"/>
    <s v="internal"/>
    <x v="1"/>
  </r>
  <r>
    <s v="SHP00793"/>
    <s v="EMP093"/>
    <x v="343"/>
    <d v="2023-07-14T00:00:00"/>
    <x v="2"/>
    <x v="0"/>
    <x v="1"/>
    <x v="1"/>
    <n v="5.91"/>
    <s v="&gt;5kg"/>
    <n v="3"/>
    <n v="1"/>
    <x v="0"/>
    <n v="12000"/>
    <n v="70920"/>
    <s v="Qory Azzahra"/>
    <s v="internal"/>
    <x v="0"/>
  </r>
  <r>
    <s v="SHP00794"/>
    <s v="EMP094"/>
    <x v="488"/>
    <d v="2024-12-14T00:00:00"/>
    <x v="3"/>
    <x v="3"/>
    <x v="1"/>
    <x v="1"/>
    <n v="2.69"/>
    <s v="&lt; 5kg"/>
    <n v="1"/>
    <n v="1"/>
    <x v="1"/>
    <n v="12000"/>
    <n v="32280"/>
    <s v="Rendi Saputra"/>
    <s v="crowd source"/>
    <x v="1"/>
  </r>
  <r>
    <s v="SHP00795"/>
    <s v="EMP095"/>
    <x v="452"/>
    <d v="2023-10-05T00:00:00"/>
    <x v="4"/>
    <x v="2"/>
    <x v="0"/>
    <x v="0"/>
    <n v="9.34"/>
    <s v="&gt;5kg"/>
    <n v="4"/>
    <n v="3"/>
    <x v="0"/>
    <n v="10000"/>
    <n v="93400"/>
    <s v="Salma Nuraini"/>
    <s v="internal"/>
    <x v="0"/>
  </r>
  <r>
    <s v="SHP00796"/>
    <s v="EMP096"/>
    <x v="10"/>
    <d v="2023-05-15T00:00:00"/>
    <x v="5"/>
    <x v="2"/>
    <x v="0"/>
    <x v="1"/>
    <n v="5.81"/>
    <s v="&gt;5kg"/>
    <n v="0"/>
    <n v="3"/>
    <x v="1"/>
    <n v="10000"/>
    <n v="58099.999999999993"/>
    <s v="Tegar Prakoso"/>
    <s v="internal"/>
    <x v="1"/>
  </r>
  <r>
    <s v="SHP00797"/>
    <s v="EMP097"/>
    <x v="70"/>
    <d v="2023-09-21T00:00:00"/>
    <x v="6"/>
    <x v="2"/>
    <x v="1"/>
    <x v="1"/>
    <n v="4.62"/>
    <s v="&lt; 5kg"/>
    <n v="0"/>
    <n v="1"/>
    <x v="1"/>
    <n v="12000"/>
    <n v="55440"/>
    <s v="Ulfa Khairunnisa"/>
    <s v="crowd source"/>
    <x v="0"/>
  </r>
  <r>
    <s v="SHP00798"/>
    <s v="EMP098"/>
    <x v="489"/>
    <d v="2024-11-09T00:00:00"/>
    <x v="7"/>
    <x v="3"/>
    <x v="2"/>
    <x v="0"/>
    <n v="1.56"/>
    <s v="&lt; 5kg"/>
    <n v="1"/>
    <n v="5"/>
    <x v="1"/>
    <n v="9000"/>
    <n v="14040"/>
    <s v="Vito Mahendra"/>
    <s v="internal"/>
    <x v="0"/>
  </r>
  <r>
    <s v="SHP00799"/>
    <s v="EMP099"/>
    <x v="10"/>
    <d v="2023-05-17T00:00:00"/>
    <x v="8"/>
    <x v="0"/>
    <x v="0"/>
    <x v="1"/>
    <n v="0.88"/>
    <s v="&lt; 5kg"/>
    <n v="2"/>
    <n v="3"/>
    <x v="1"/>
    <n v="10000"/>
    <n v="8800"/>
    <s v="Winda Sari"/>
    <s v="internal"/>
    <x v="0"/>
  </r>
  <r>
    <s v="SHP00800"/>
    <s v="EMP100"/>
    <x v="490"/>
    <d v="2024-11-18T00:00:00"/>
    <x v="9"/>
    <x v="5"/>
    <x v="0"/>
    <x v="1"/>
    <n v="10.49"/>
    <s v="&gt;5kg"/>
    <n v="8"/>
    <n v="3"/>
    <x v="0"/>
    <n v="10000"/>
    <n v="104900"/>
    <s v="Yusuf Al Ghazali"/>
    <s v="crowd source"/>
    <x v="1"/>
  </r>
  <r>
    <s v="SHP00801"/>
    <s v="EMP001"/>
    <x v="80"/>
    <d v="2023-05-16T00:00:00"/>
    <x v="0"/>
    <x v="2"/>
    <x v="0"/>
    <x v="0"/>
    <n v="6.55"/>
    <s v="&gt;5kg"/>
    <n v="4"/>
    <n v="3"/>
    <x v="0"/>
    <n v="10000"/>
    <n v="65500"/>
    <s v="Andi Pratama"/>
    <s v="internal"/>
    <x v="0"/>
  </r>
  <r>
    <s v="SHP00802"/>
    <s v="EMP002"/>
    <x v="491"/>
    <d v="2024-10-02T00:00:00"/>
    <x v="1"/>
    <x v="5"/>
    <x v="2"/>
    <x v="0"/>
    <n v="8.17"/>
    <s v="&gt;5kg"/>
    <n v="2"/>
    <n v="5"/>
    <x v="1"/>
    <n v="9000"/>
    <n v="73530"/>
    <s v="Budi Santoso"/>
    <s v="internal"/>
    <x v="1"/>
  </r>
  <r>
    <s v="SHP00803"/>
    <s v="EMP003"/>
    <x v="344"/>
    <d v="2023-08-22T00:00:00"/>
    <x v="2"/>
    <x v="9"/>
    <x v="0"/>
    <x v="1"/>
    <n v="2.41"/>
    <s v="&lt; 5kg"/>
    <n v="10"/>
    <n v="3"/>
    <x v="0"/>
    <n v="10000"/>
    <n v="24100"/>
    <s v="Citra Lestari"/>
    <s v="crowd source"/>
    <x v="0"/>
  </r>
  <r>
    <s v="SHP00804"/>
    <s v="EMP004"/>
    <x v="96"/>
    <d v="2024-03-24T00:00:00"/>
    <x v="3"/>
    <x v="2"/>
    <x v="0"/>
    <x v="0"/>
    <n v="3.14"/>
    <s v="&lt; 5kg"/>
    <n v="2"/>
    <n v="3"/>
    <x v="1"/>
    <n v="10000"/>
    <n v="31400"/>
    <s v="Dedi Saputra"/>
    <s v="crowd source"/>
    <x v="1"/>
  </r>
  <r>
    <s v="SHP00805"/>
    <s v="EMP005"/>
    <x v="306"/>
    <d v="2023-03-13T00:00:00"/>
    <x v="4"/>
    <x v="9"/>
    <x v="2"/>
    <x v="0"/>
    <n v="5.84"/>
    <s v="&gt;5kg"/>
    <n v="8"/>
    <n v="5"/>
    <x v="0"/>
    <n v="9000"/>
    <n v="52560"/>
    <s v="Eko Nugroho"/>
    <s v="internal"/>
    <x v="0"/>
  </r>
  <r>
    <s v="SHP00806"/>
    <s v="EMP006"/>
    <x v="364"/>
    <d v="2024-03-07T00:00:00"/>
    <x v="5"/>
    <x v="6"/>
    <x v="1"/>
    <x v="1"/>
    <n v="4.99"/>
    <s v="&lt; 5kg"/>
    <n v="6"/>
    <n v="1"/>
    <x v="0"/>
    <n v="12000"/>
    <n v="59880"/>
    <s v="Fajar Hidayat"/>
    <s v="internal"/>
    <x v="1"/>
  </r>
  <r>
    <s v="SHP00807"/>
    <s v="EMP007"/>
    <x v="231"/>
    <d v="2024-11-21T00:00:00"/>
    <x v="6"/>
    <x v="9"/>
    <x v="0"/>
    <x v="1"/>
    <n v="0.59"/>
    <s v="&lt; 5kg"/>
    <n v="10"/>
    <n v="3"/>
    <x v="0"/>
    <n v="10000"/>
    <n v="5900"/>
    <s v="Gita Rahmawati"/>
    <s v="crowd source"/>
    <x v="0"/>
  </r>
  <r>
    <s v="SHP00808"/>
    <s v="EMP008"/>
    <x v="106"/>
    <d v="2023-02-14T00:00:00"/>
    <x v="7"/>
    <x v="6"/>
    <x v="2"/>
    <x v="1"/>
    <n v="5.79"/>
    <s v="&gt;5kg"/>
    <n v="2"/>
    <n v="5"/>
    <x v="1"/>
    <n v="9000"/>
    <n v="52110"/>
    <s v="Hendra Wijaya"/>
    <s v="internal"/>
    <x v="1"/>
  </r>
  <r>
    <s v="SHP00809"/>
    <s v="EMP009"/>
    <x v="292"/>
    <d v="2024-12-19T00:00:00"/>
    <x v="8"/>
    <x v="6"/>
    <x v="0"/>
    <x v="0"/>
    <n v="4.26"/>
    <s v="&lt; 5kg"/>
    <n v="11"/>
    <n v="3"/>
    <x v="0"/>
    <n v="10000"/>
    <n v="42600"/>
    <s v="Indah Permata"/>
    <s v="crowd source"/>
    <x v="0"/>
  </r>
  <r>
    <s v="SHP00810"/>
    <s v="EMP010"/>
    <x v="230"/>
    <d v="2024-01-05T00:00:00"/>
    <x v="9"/>
    <x v="0"/>
    <x v="2"/>
    <x v="1"/>
    <n v="4.41"/>
    <s v="&lt; 5kg"/>
    <n v="5"/>
    <n v="5"/>
    <x v="1"/>
    <n v="9000"/>
    <n v="39690"/>
    <s v="Joko Susilo"/>
    <s v="internal"/>
    <x v="1"/>
  </r>
  <r>
    <s v="SHP00811"/>
    <s v="EMP011"/>
    <x v="284"/>
    <d v="2023-10-07T00:00:00"/>
    <x v="0"/>
    <x v="6"/>
    <x v="2"/>
    <x v="0"/>
    <n v="6.27"/>
    <s v="&gt;5kg"/>
    <n v="3"/>
    <n v="5"/>
    <x v="1"/>
    <n v="9000"/>
    <n v="56429.999999999993"/>
    <s v="Kurniawan Putra"/>
    <s v="crowd source"/>
    <x v="1"/>
  </r>
  <r>
    <s v="SHP00812"/>
    <s v="EMP012"/>
    <x v="492"/>
    <d v="2024-03-09T00:00:00"/>
    <x v="1"/>
    <x v="8"/>
    <x v="0"/>
    <x v="1"/>
    <n v="0.75"/>
    <s v="&lt; 5kg"/>
    <n v="2"/>
    <n v="3"/>
    <x v="1"/>
    <n v="10000"/>
    <n v="7500"/>
    <s v="Lina Marlina"/>
    <s v="internal"/>
    <x v="0"/>
  </r>
  <r>
    <s v="SHP00813"/>
    <s v="EMP013"/>
    <x v="441"/>
    <d v="2024-04-26T00:00:00"/>
    <x v="2"/>
    <x v="2"/>
    <x v="2"/>
    <x v="0"/>
    <n v="4.07"/>
    <s v="&lt; 5kg"/>
    <n v="2"/>
    <n v="5"/>
    <x v="1"/>
    <n v="9000"/>
    <n v="36630"/>
    <s v="Rizky Ananda"/>
    <s v="crowd source"/>
    <x v="0"/>
  </r>
  <r>
    <s v="SHP00814"/>
    <s v="EMP014"/>
    <x v="493"/>
    <d v="2024-06-25T00:00:00"/>
    <x v="3"/>
    <x v="2"/>
    <x v="2"/>
    <x v="1"/>
    <n v="3.51"/>
    <s v="&lt; 5kg"/>
    <n v="2"/>
    <n v="5"/>
    <x v="1"/>
    <n v="9000"/>
    <n v="31589.999999999996"/>
    <s v="Nanda Prakoso"/>
    <s v="internal"/>
    <x v="1"/>
  </r>
  <r>
    <s v="SHP00815"/>
    <s v="EMP015"/>
    <x v="450"/>
    <d v="2023-10-25T00:00:00"/>
    <x v="4"/>
    <x v="9"/>
    <x v="0"/>
    <x v="0"/>
    <n v="10.27"/>
    <s v="&gt;5kg"/>
    <n v="3"/>
    <n v="3"/>
    <x v="1"/>
    <n v="10000"/>
    <n v="102700"/>
    <s v="Oktavian Yusuf"/>
    <s v="crowd source"/>
    <x v="1"/>
  </r>
  <r>
    <s v="SHP00816"/>
    <s v="EMP016"/>
    <x v="217"/>
    <d v="2023-02-08T00:00:00"/>
    <x v="5"/>
    <x v="2"/>
    <x v="1"/>
    <x v="0"/>
    <n v="10.43"/>
    <s v="&gt;5kg"/>
    <n v="4"/>
    <n v="1"/>
    <x v="0"/>
    <n v="12000"/>
    <n v="125160"/>
    <s v="Putri Ayu Lestari"/>
    <s v="internal"/>
    <x v="0"/>
  </r>
  <r>
    <s v="SHP00817"/>
    <s v="EMP017"/>
    <x v="103"/>
    <d v="2024-07-31T00:00:00"/>
    <x v="6"/>
    <x v="5"/>
    <x v="0"/>
    <x v="0"/>
    <n v="8.34"/>
    <s v="&gt;5kg"/>
    <n v="4"/>
    <n v="3"/>
    <x v="0"/>
    <n v="10000"/>
    <n v="83400"/>
    <s v="Rafi Maulana"/>
    <s v="internal"/>
    <x v="0"/>
  </r>
  <r>
    <s v="SHP00818"/>
    <s v="EMP018"/>
    <x v="209"/>
    <d v="2024-05-10T00:00:00"/>
    <x v="7"/>
    <x v="8"/>
    <x v="1"/>
    <x v="0"/>
    <n v="3.18"/>
    <s v="&lt; 5kg"/>
    <n v="8"/>
    <n v="1"/>
    <x v="0"/>
    <n v="12000"/>
    <n v="38160"/>
    <s v="Sari Puspita"/>
    <s v="crowd source"/>
    <x v="0"/>
  </r>
  <r>
    <s v="SHP00819"/>
    <s v="EMP019"/>
    <x v="494"/>
    <d v="2023-11-04T00:00:00"/>
    <x v="8"/>
    <x v="0"/>
    <x v="2"/>
    <x v="1"/>
    <n v="1.81"/>
    <s v="&lt; 5kg"/>
    <n v="3"/>
    <n v="5"/>
    <x v="1"/>
    <n v="9000"/>
    <n v="16290"/>
    <s v="Teguh Wibowo"/>
    <s v="internal"/>
    <x v="1"/>
  </r>
  <r>
    <s v="SHP00820"/>
    <s v="EMP020"/>
    <x v="461"/>
    <d v="2023-07-18T00:00:00"/>
    <x v="9"/>
    <x v="7"/>
    <x v="1"/>
    <x v="1"/>
    <n v="1.32"/>
    <s v="&lt; 5kg"/>
    <n v="3"/>
    <n v="1"/>
    <x v="0"/>
    <n v="12000"/>
    <n v="15840"/>
    <s v="Umi Kalsum"/>
    <s v="crowd source"/>
    <x v="0"/>
  </r>
  <r>
    <s v="SHP00821"/>
    <s v="EMP021"/>
    <x v="85"/>
    <d v="2024-09-05T00:00:00"/>
    <x v="0"/>
    <x v="7"/>
    <x v="2"/>
    <x v="1"/>
    <n v="9.85"/>
    <s v="&gt;5kg"/>
    <n v="4"/>
    <n v="5"/>
    <x v="1"/>
    <n v="9000"/>
    <n v="88650"/>
    <s v="Vina Oktaviani"/>
    <s v="internal"/>
    <x v="0"/>
  </r>
  <r>
    <s v="SHP00822"/>
    <s v="EMP022"/>
    <x v="471"/>
    <d v="2023-08-09T00:00:00"/>
    <x v="1"/>
    <x v="5"/>
    <x v="2"/>
    <x v="0"/>
    <n v="6.2"/>
    <s v="&gt;5kg"/>
    <n v="9"/>
    <n v="5"/>
    <x v="0"/>
    <n v="9000"/>
    <n v="55800"/>
    <s v="Wahyu Setiawan"/>
    <s v="crowd source"/>
    <x v="1"/>
  </r>
  <r>
    <s v="SHP00823"/>
    <s v="EMP023"/>
    <x v="392"/>
    <d v="2024-12-23T00:00:00"/>
    <x v="2"/>
    <x v="9"/>
    <x v="0"/>
    <x v="1"/>
    <n v="8.57"/>
    <s v="&gt;5kg"/>
    <n v="6"/>
    <n v="3"/>
    <x v="0"/>
    <n v="10000"/>
    <n v="85700"/>
    <s v="Yogi Firmansyah"/>
    <s v="internal"/>
    <x v="1"/>
  </r>
  <r>
    <s v="SHP00824"/>
    <s v="EMP024"/>
    <x v="305"/>
    <d v="2024-09-17T00:00:00"/>
    <x v="3"/>
    <x v="7"/>
    <x v="0"/>
    <x v="0"/>
    <n v="0.96"/>
    <s v="&lt; 5kg"/>
    <n v="0"/>
    <n v="3"/>
    <x v="1"/>
    <n v="10000"/>
    <n v="9600"/>
    <s v="Zainal Abidin"/>
    <s v="crowd source"/>
    <x v="1"/>
  </r>
  <r>
    <s v="SHP00825"/>
    <s v="EMP025"/>
    <x v="231"/>
    <d v="2024-11-11T00:00:00"/>
    <x v="4"/>
    <x v="4"/>
    <x v="1"/>
    <x v="1"/>
    <n v="3.71"/>
    <s v="&lt; 5kg"/>
    <n v="0"/>
    <n v="1"/>
    <x v="1"/>
    <n v="12000"/>
    <n v="44520"/>
    <s v="Ahmad Fauzi"/>
    <s v="internal"/>
    <x v="0"/>
  </r>
  <r>
    <s v="SHP00826"/>
    <s v="EMP026"/>
    <x v="73"/>
    <d v="2024-12-21T00:00:00"/>
    <x v="5"/>
    <x v="9"/>
    <x v="1"/>
    <x v="1"/>
    <n v="1.25"/>
    <s v="&lt; 5kg"/>
    <n v="5"/>
    <n v="1"/>
    <x v="0"/>
    <n v="12000"/>
    <n v="15000"/>
    <s v="Bayu Ramadhan"/>
    <s v="crowd source"/>
    <x v="0"/>
  </r>
  <r>
    <s v="SHP00827"/>
    <s v="EMP027"/>
    <x v="495"/>
    <d v="2024-01-02T00:00:00"/>
    <x v="6"/>
    <x v="7"/>
    <x v="1"/>
    <x v="1"/>
    <n v="8.08"/>
    <s v="&gt;5kg"/>
    <n v="9"/>
    <n v="1"/>
    <x v="0"/>
    <n v="12000"/>
    <n v="96960"/>
    <s v="Cindy Oktavia"/>
    <s v="internal"/>
    <x v="0"/>
  </r>
  <r>
    <s v="SHP00828"/>
    <s v="EMP028"/>
    <x v="211"/>
    <d v="2023-02-24T00:00:00"/>
    <x v="7"/>
    <x v="0"/>
    <x v="0"/>
    <x v="0"/>
    <n v="0.65"/>
    <s v="&lt; 5kg"/>
    <n v="2"/>
    <n v="3"/>
    <x v="1"/>
    <n v="10000"/>
    <n v="6500"/>
    <s v="Dian Pramudya"/>
    <s v="crowd source"/>
    <x v="1"/>
  </r>
  <r>
    <s v="SHP00829"/>
    <s v="EMP029"/>
    <x v="496"/>
    <d v="2023-06-15T00:00:00"/>
    <x v="8"/>
    <x v="7"/>
    <x v="0"/>
    <x v="1"/>
    <n v="7.36"/>
    <s v="&gt;5kg"/>
    <n v="2"/>
    <n v="3"/>
    <x v="1"/>
    <n v="10000"/>
    <n v="73600"/>
    <s v="Erwin Kurniawan"/>
    <s v="internal"/>
    <x v="1"/>
  </r>
  <r>
    <s v="SHP00830"/>
    <s v="EMP030"/>
    <x v="497"/>
    <d v="2024-11-29T00:00:00"/>
    <x v="9"/>
    <x v="9"/>
    <x v="0"/>
    <x v="1"/>
    <n v="8.6999999999999993"/>
    <s v="&gt;5kg"/>
    <n v="4"/>
    <n v="3"/>
    <x v="0"/>
    <n v="10000"/>
    <n v="87000"/>
    <s v="Fitri Handayani"/>
    <s v="crowd source"/>
    <x v="0"/>
  </r>
  <r>
    <s v="SHP00831"/>
    <s v="EMP031"/>
    <x v="208"/>
    <d v="2024-09-30T00:00:00"/>
    <x v="0"/>
    <x v="0"/>
    <x v="0"/>
    <x v="0"/>
    <n v="9.2200000000000006"/>
    <s v="&gt;5kg"/>
    <n v="11"/>
    <n v="3"/>
    <x v="0"/>
    <n v="10000"/>
    <n v="92200"/>
    <s v="Gilang Saputra"/>
    <s v="internal"/>
    <x v="0"/>
  </r>
  <r>
    <s v="SHP00832"/>
    <s v="EMP032"/>
    <x v="280"/>
    <d v="2024-03-28T00:00:00"/>
    <x v="1"/>
    <x v="3"/>
    <x v="1"/>
    <x v="0"/>
    <n v="2.87"/>
    <s v="&lt; 5kg"/>
    <n v="1"/>
    <n v="1"/>
    <x v="1"/>
    <n v="12000"/>
    <n v="34440"/>
    <s v="Hariyanto"/>
    <s v="crowd source"/>
    <x v="1"/>
  </r>
  <r>
    <s v="SHP00833"/>
    <s v="EMP033"/>
    <x v="366"/>
    <d v="2023-10-04T00:00:00"/>
    <x v="2"/>
    <x v="5"/>
    <x v="2"/>
    <x v="1"/>
    <n v="1.34"/>
    <s v="&lt; 5kg"/>
    <n v="4"/>
    <n v="5"/>
    <x v="1"/>
    <n v="9000"/>
    <n v="12060"/>
    <s v="Intan Maharani"/>
    <s v="internal"/>
    <x v="0"/>
  </r>
  <r>
    <s v="SHP00834"/>
    <s v="EMP034"/>
    <x v="362"/>
    <d v="2023-08-29T00:00:00"/>
    <x v="3"/>
    <x v="4"/>
    <x v="0"/>
    <x v="1"/>
    <n v="2.2400000000000002"/>
    <s v="&lt; 5kg"/>
    <n v="2"/>
    <n v="3"/>
    <x v="1"/>
    <n v="10000"/>
    <n v="22400.000000000004"/>
    <s v="Jefri Alamsyah"/>
    <s v="internal"/>
    <x v="1"/>
  </r>
  <r>
    <s v="SHP00835"/>
    <s v="EMP035"/>
    <x v="114"/>
    <d v="2024-04-14T00:00:00"/>
    <x v="4"/>
    <x v="4"/>
    <x v="0"/>
    <x v="0"/>
    <n v="3.03"/>
    <s v="&lt; 5kg"/>
    <n v="9"/>
    <n v="3"/>
    <x v="0"/>
    <n v="10000"/>
    <n v="30299.999999999996"/>
    <s v="Kartika Sari"/>
    <s v="crowd source"/>
    <x v="0"/>
  </r>
  <r>
    <s v="SHP00836"/>
    <s v="EMP036"/>
    <x v="102"/>
    <d v="2024-08-05T00:00:00"/>
    <x v="5"/>
    <x v="2"/>
    <x v="0"/>
    <x v="0"/>
    <n v="6.63"/>
    <s v="&gt;5kg"/>
    <n v="1"/>
    <n v="3"/>
    <x v="1"/>
    <n v="10000"/>
    <n v="66300"/>
    <s v="Lukman Hakim"/>
    <s v="internal"/>
    <x v="1"/>
  </r>
  <r>
    <s v="SHP00837"/>
    <s v="EMP037"/>
    <x v="65"/>
    <d v="2024-05-14T00:00:00"/>
    <x v="6"/>
    <x v="7"/>
    <x v="0"/>
    <x v="0"/>
    <n v="7.97"/>
    <s v="&gt;5kg"/>
    <n v="4"/>
    <n v="3"/>
    <x v="0"/>
    <n v="10000"/>
    <n v="79700"/>
    <s v="Mega Puspitasari"/>
    <s v="internal"/>
    <x v="0"/>
  </r>
  <r>
    <s v="SHP00838"/>
    <s v="EMP038"/>
    <x v="374"/>
    <d v="2023-12-15T00:00:00"/>
    <x v="7"/>
    <x v="5"/>
    <x v="0"/>
    <x v="1"/>
    <n v="7.83"/>
    <s v="&gt;5kg"/>
    <n v="11"/>
    <n v="3"/>
    <x v="0"/>
    <n v="10000"/>
    <n v="78300"/>
    <s v="Niko Prasetyo"/>
    <s v="crowd source"/>
    <x v="1"/>
  </r>
  <r>
    <s v="SHP00839"/>
    <s v="EMP039"/>
    <x v="498"/>
    <d v="2024-12-16T00:00:00"/>
    <x v="8"/>
    <x v="8"/>
    <x v="1"/>
    <x v="0"/>
    <n v="2.98"/>
    <s v="&lt; 5kg"/>
    <n v="1"/>
    <n v="1"/>
    <x v="1"/>
    <n v="12000"/>
    <n v="35760"/>
    <s v="Olivia Putri"/>
    <s v="internal"/>
    <x v="0"/>
  </r>
  <r>
    <s v="SHP00840"/>
    <s v="EMP040"/>
    <x v="69"/>
    <d v="2024-08-21T00:00:00"/>
    <x v="9"/>
    <x v="4"/>
    <x v="0"/>
    <x v="1"/>
    <n v="0.84"/>
    <s v="&lt; 5kg"/>
    <n v="8"/>
    <n v="3"/>
    <x v="0"/>
    <n v="10000"/>
    <n v="8400"/>
    <s v="Prasetyo Utomo"/>
    <s v="internal"/>
    <x v="1"/>
  </r>
  <r>
    <s v="SHP00841"/>
    <s v="EMP041"/>
    <x v="499"/>
    <d v="2023-09-19T00:00:00"/>
    <x v="0"/>
    <x v="1"/>
    <x v="2"/>
    <x v="1"/>
    <n v="3.54"/>
    <s v="&lt; 5kg"/>
    <n v="0"/>
    <n v="5"/>
    <x v="1"/>
    <n v="9000"/>
    <n v="31860"/>
    <s v="Qori Annisa"/>
    <s v="crowd source"/>
    <x v="0"/>
  </r>
  <r>
    <s v="SHP00842"/>
    <s v="EMP042"/>
    <x v="474"/>
    <d v="2024-05-17T00:00:00"/>
    <x v="1"/>
    <x v="2"/>
    <x v="0"/>
    <x v="0"/>
    <n v="3.24"/>
    <s v="&lt; 5kg"/>
    <n v="0"/>
    <n v="3"/>
    <x v="1"/>
    <n v="10000"/>
    <n v="32400.000000000004"/>
    <s v="Rangga Saptonugroho"/>
    <s v="crowd source"/>
    <x v="1"/>
  </r>
  <r>
    <s v="SHP00843"/>
    <s v="EMP043"/>
    <x v="500"/>
    <d v="2024-09-13T00:00:00"/>
    <x v="2"/>
    <x v="9"/>
    <x v="0"/>
    <x v="1"/>
    <n v="4.74"/>
    <s v="&lt; 5kg"/>
    <n v="3"/>
    <n v="3"/>
    <x v="1"/>
    <n v="10000"/>
    <n v="47400"/>
    <s v="Sinta Dewi"/>
    <s v="internal"/>
    <x v="0"/>
  </r>
  <r>
    <s v="SHP00844"/>
    <s v="EMP044"/>
    <x v="88"/>
    <d v="2024-10-31T00:00:00"/>
    <x v="3"/>
    <x v="9"/>
    <x v="0"/>
    <x v="1"/>
    <n v="1.89"/>
    <s v="&lt; 5kg"/>
    <n v="10"/>
    <n v="3"/>
    <x v="0"/>
    <n v="10000"/>
    <n v="18900"/>
    <s v="Taufik Hidayat"/>
    <s v="internal"/>
    <x v="1"/>
  </r>
  <r>
    <s v="SHP00845"/>
    <s v="EMP045"/>
    <x v="501"/>
    <d v="2023-09-18T00:00:00"/>
    <x v="4"/>
    <x v="1"/>
    <x v="0"/>
    <x v="1"/>
    <n v="8.9"/>
    <s v="&gt;5kg"/>
    <n v="4"/>
    <n v="3"/>
    <x v="0"/>
    <n v="10000"/>
    <n v="89000"/>
    <s v="Usman Ali"/>
    <s v="crowd source"/>
    <x v="0"/>
  </r>
  <r>
    <s v="SHP00846"/>
    <s v="EMP046"/>
    <x v="502"/>
    <d v="2023-05-22T00:00:00"/>
    <x v="5"/>
    <x v="2"/>
    <x v="0"/>
    <x v="0"/>
    <n v="10.17"/>
    <s v="&gt;5kg"/>
    <n v="4"/>
    <n v="3"/>
    <x v="0"/>
    <n v="10000"/>
    <n v="101700"/>
    <s v="Vivi Lestari"/>
    <s v="internal"/>
    <x v="0"/>
  </r>
  <r>
    <s v="SHP00847"/>
    <s v="EMP047"/>
    <x v="264"/>
    <d v="2023-10-15T00:00:00"/>
    <x v="6"/>
    <x v="7"/>
    <x v="0"/>
    <x v="1"/>
    <n v="3.22"/>
    <s v="&lt; 5kg"/>
    <n v="2"/>
    <n v="3"/>
    <x v="1"/>
    <n v="10000"/>
    <n v="32200.000000000004"/>
    <s v="Wawan Setiabudi"/>
    <s v="internal"/>
    <x v="1"/>
  </r>
  <r>
    <s v="SHP00848"/>
    <s v="EMP048"/>
    <x v="80"/>
    <d v="2023-05-16T00:00:00"/>
    <x v="7"/>
    <x v="4"/>
    <x v="2"/>
    <x v="0"/>
    <n v="1.18"/>
    <s v="&lt; 5kg"/>
    <n v="4"/>
    <n v="5"/>
    <x v="1"/>
    <n v="9000"/>
    <n v="10620"/>
    <s v="Xenia Maharani"/>
    <s v="crowd source"/>
    <x v="0"/>
  </r>
  <r>
    <s v="SHP00849"/>
    <s v="EMP049"/>
    <x v="503"/>
    <d v="2023-07-22T00:00:00"/>
    <x v="8"/>
    <x v="0"/>
    <x v="2"/>
    <x v="0"/>
    <n v="8.14"/>
    <s v="&gt;5kg"/>
    <n v="4"/>
    <n v="5"/>
    <x v="1"/>
    <n v="9000"/>
    <n v="73260"/>
    <s v="Yoga Pradana"/>
    <s v="internal"/>
    <x v="0"/>
  </r>
  <r>
    <s v="SHP00850"/>
    <s v="EMP050"/>
    <x v="504"/>
    <d v="2024-01-06T00:00:00"/>
    <x v="9"/>
    <x v="7"/>
    <x v="0"/>
    <x v="1"/>
    <n v="1.1200000000000001"/>
    <s v="&lt; 5kg"/>
    <n v="3"/>
    <n v="3"/>
    <x v="1"/>
    <n v="10000"/>
    <n v="11200.000000000002"/>
    <s v="Zulfikar Ramadhan"/>
    <s v="crowd source"/>
    <x v="1"/>
  </r>
  <r>
    <s v="SHP00851"/>
    <s v="EMP051"/>
    <x v="505"/>
    <d v="2024-02-27T00:00:00"/>
    <x v="0"/>
    <x v="4"/>
    <x v="0"/>
    <x v="0"/>
    <n v="1.79"/>
    <s v="&lt; 5kg"/>
    <n v="10"/>
    <n v="3"/>
    <x v="0"/>
    <n v="10000"/>
    <n v="17900"/>
    <s v="Aditya Saputra"/>
    <s v="internal"/>
    <x v="0"/>
  </r>
  <r>
    <s v="SHP00852"/>
    <s v="EMP052"/>
    <x v="122"/>
    <d v="2023-10-30T00:00:00"/>
    <x v="1"/>
    <x v="7"/>
    <x v="0"/>
    <x v="0"/>
    <n v="1.1599999999999999"/>
    <s v="&lt; 5kg"/>
    <n v="11"/>
    <n v="3"/>
    <x v="0"/>
    <n v="10000"/>
    <n v="11600"/>
    <s v="Bella Oktaviani"/>
    <s v="internal"/>
    <x v="0"/>
  </r>
  <r>
    <s v="SHP00853"/>
    <s v="EMP053"/>
    <x v="159"/>
    <d v="2023-09-09T00:00:00"/>
    <x v="2"/>
    <x v="1"/>
    <x v="0"/>
    <x v="0"/>
    <n v="0.74"/>
    <s v="&lt; 5kg"/>
    <n v="0"/>
    <n v="3"/>
    <x v="1"/>
    <n v="10000"/>
    <n v="7400"/>
    <s v="Chandra Wijaya"/>
    <s v="crowd source"/>
    <x v="1"/>
  </r>
  <r>
    <s v="SHP00854"/>
    <s v="EMP054"/>
    <x v="157"/>
    <d v="2023-08-22T00:00:00"/>
    <x v="3"/>
    <x v="1"/>
    <x v="1"/>
    <x v="0"/>
    <n v="4.67"/>
    <s v="&lt; 5kg"/>
    <n v="0"/>
    <n v="1"/>
    <x v="1"/>
    <n v="12000"/>
    <n v="56040"/>
    <s v="Dewi Sartika"/>
    <s v="internal"/>
    <x v="0"/>
  </r>
  <r>
    <s v="SHP00855"/>
    <s v="EMP055"/>
    <x v="506"/>
    <d v="2024-10-13T00:00:00"/>
    <x v="4"/>
    <x v="5"/>
    <x v="1"/>
    <x v="0"/>
    <n v="1.67"/>
    <s v="&lt; 5kg"/>
    <n v="1"/>
    <n v="1"/>
    <x v="1"/>
    <n v="12000"/>
    <n v="20040"/>
    <s v="Edi Kurniawan"/>
    <s v="internal"/>
    <x v="1"/>
  </r>
  <r>
    <s v="SHP00856"/>
    <s v="EMP056"/>
    <x v="124"/>
    <d v="2023-11-27T00:00:00"/>
    <x v="5"/>
    <x v="6"/>
    <x v="2"/>
    <x v="0"/>
    <n v="2.91"/>
    <s v="&lt; 5kg"/>
    <n v="4"/>
    <n v="5"/>
    <x v="1"/>
    <n v="9000"/>
    <n v="26190"/>
    <s v="Farah Nabila"/>
    <s v="crowd source"/>
    <x v="0"/>
  </r>
  <r>
    <s v="SHP00857"/>
    <s v="EMP057"/>
    <x v="311"/>
    <d v="2023-08-10T00:00:00"/>
    <x v="6"/>
    <x v="7"/>
    <x v="0"/>
    <x v="1"/>
    <n v="1.65"/>
    <s v="&lt; 5kg"/>
    <n v="3"/>
    <n v="3"/>
    <x v="1"/>
    <n v="10000"/>
    <n v="16500"/>
    <s v="Galih Pratomo"/>
    <s v="internal"/>
    <x v="0"/>
  </r>
  <r>
    <s v="SHP00858"/>
    <s v="EMP058"/>
    <x v="222"/>
    <d v="2023-05-19T00:00:00"/>
    <x v="7"/>
    <x v="1"/>
    <x v="2"/>
    <x v="1"/>
    <n v="5.88"/>
    <s v="&gt;5kg"/>
    <n v="3"/>
    <n v="5"/>
    <x v="1"/>
    <n v="9000"/>
    <n v="52920"/>
    <s v="Hadi Purnomo"/>
    <s v="crowd source"/>
    <x v="1"/>
  </r>
  <r>
    <s v="SHP00859"/>
    <s v="EMP059"/>
    <x v="507"/>
    <d v="2024-03-24T00:00:00"/>
    <x v="8"/>
    <x v="2"/>
    <x v="2"/>
    <x v="1"/>
    <n v="5.01"/>
    <s v="&gt;5kg"/>
    <n v="4"/>
    <n v="5"/>
    <x v="1"/>
    <n v="9000"/>
    <n v="45090"/>
    <s v="Ika Lestari"/>
    <s v="internal"/>
    <x v="0"/>
  </r>
  <r>
    <s v="SHP00860"/>
    <s v="EMP060"/>
    <x v="276"/>
    <d v="2023-12-13T00:00:00"/>
    <x v="9"/>
    <x v="3"/>
    <x v="1"/>
    <x v="1"/>
    <n v="8.58"/>
    <s v="&gt;5kg"/>
    <n v="0"/>
    <n v="1"/>
    <x v="1"/>
    <n v="12000"/>
    <n v="102960"/>
    <s v="Jamil Akbar"/>
    <s v="internal"/>
    <x v="1"/>
  </r>
  <r>
    <s v="SHP00861"/>
    <s v="EMP061"/>
    <x v="508"/>
    <d v="2023-02-20T00:00:00"/>
    <x v="0"/>
    <x v="0"/>
    <x v="0"/>
    <x v="1"/>
    <n v="6.98"/>
    <s v="&gt;5kg"/>
    <n v="4"/>
    <n v="3"/>
    <x v="0"/>
    <n v="10000"/>
    <n v="69800"/>
    <s v="Kevin Sanjaya"/>
    <s v="crowd source"/>
    <x v="0"/>
  </r>
  <r>
    <s v="SHP00862"/>
    <s v="EMP062"/>
    <x v="184"/>
    <d v="2023-11-22T00:00:00"/>
    <x v="1"/>
    <x v="7"/>
    <x v="0"/>
    <x v="0"/>
    <n v="5.36"/>
    <s v="&gt;5kg"/>
    <n v="8"/>
    <n v="3"/>
    <x v="0"/>
    <n v="10000"/>
    <n v="53600"/>
    <s v="Laila Nuraini"/>
    <s v="internal"/>
    <x v="0"/>
  </r>
  <r>
    <s v="SHP00863"/>
    <s v="EMP063"/>
    <x v="446"/>
    <d v="2024-11-16T00:00:00"/>
    <x v="2"/>
    <x v="5"/>
    <x v="2"/>
    <x v="1"/>
    <n v="2.2599999999999998"/>
    <s v="&lt; 5kg"/>
    <n v="3"/>
    <n v="5"/>
    <x v="1"/>
    <n v="9000"/>
    <n v="20339.999999999996"/>
    <s v="Miko Setiawan"/>
    <s v="crowd source"/>
    <x v="1"/>
  </r>
  <r>
    <s v="SHP00864"/>
    <s v="EMP064"/>
    <x v="119"/>
    <d v="2023-12-06T00:00:00"/>
    <x v="3"/>
    <x v="5"/>
    <x v="0"/>
    <x v="0"/>
    <n v="5.47"/>
    <s v="&gt;5kg"/>
    <n v="4"/>
    <n v="3"/>
    <x v="0"/>
    <n v="10000"/>
    <n v="54700"/>
    <s v="Nisa Aulia"/>
    <s v="internal"/>
    <x v="0"/>
  </r>
  <r>
    <s v="SHP00865"/>
    <s v="EMP065"/>
    <x v="509"/>
    <d v="2023-02-27T00:00:00"/>
    <x v="4"/>
    <x v="4"/>
    <x v="0"/>
    <x v="0"/>
    <n v="8.81"/>
    <s v="&gt;5kg"/>
    <n v="3"/>
    <n v="3"/>
    <x v="1"/>
    <n v="10000"/>
    <n v="88100"/>
    <s v="Oki Pramono"/>
    <s v="internal"/>
    <x v="1"/>
  </r>
  <r>
    <s v="SHP00866"/>
    <s v="EMP066"/>
    <x v="219"/>
    <d v="2023-12-01T00:00:00"/>
    <x v="5"/>
    <x v="9"/>
    <x v="2"/>
    <x v="0"/>
    <n v="4.68"/>
    <s v="&lt; 5kg"/>
    <n v="9"/>
    <n v="5"/>
    <x v="0"/>
    <n v="9000"/>
    <n v="42120"/>
    <s v="Putra Mahendra"/>
    <s v="crowd source"/>
    <x v="0"/>
  </r>
  <r>
    <s v="SHP00867"/>
    <s v="EMP067"/>
    <x v="510"/>
    <d v="2024-03-09T00:00:00"/>
    <x v="6"/>
    <x v="2"/>
    <x v="0"/>
    <x v="1"/>
    <n v="8.98"/>
    <s v="&gt;5kg"/>
    <n v="4"/>
    <n v="3"/>
    <x v="0"/>
    <n v="10000"/>
    <n v="89800"/>
    <s v="Qolbi Ramadhani"/>
    <s v="internal"/>
    <x v="0"/>
  </r>
  <r>
    <s v="SHP00868"/>
    <s v="EMP068"/>
    <x v="511"/>
    <d v="2023-04-12T00:00:00"/>
    <x v="7"/>
    <x v="3"/>
    <x v="0"/>
    <x v="1"/>
    <n v="1.76"/>
    <s v="&lt; 5kg"/>
    <n v="1"/>
    <n v="3"/>
    <x v="1"/>
    <n v="10000"/>
    <n v="17600"/>
    <s v="Reza Firmansyah"/>
    <s v="crowd source"/>
    <x v="1"/>
  </r>
  <r>
    <s v="SHP00869"/>
    <s v="EMP069"/>
    <x v="512"/>
    <d v="2024-08-02T00:00:00"/>
    <x v="8"/>
    <x v="0"/>
    <x v="2"/>
    <x v="1"/>
    <n v="6.91"/>
    <s v="&gt;5kg"/>
    <n v="4"/>
    <n v="5"/>
    <x v="1"/>
    <n v="9000"/>
    <n v="62190"/>
    <s v="Siska Amelia"/>
    <s v="internal"/>
    <x v="0"/>
  </r>
  <r>
    <s v="SHP00870"/>
    <s v="EMP070"/>
    <x v="268"/>
    <d v="2023-06-12T00:00:00"/>
    <x v="9"/>
    <x v="9"/>
    <x v="0"/>
    <x v="0"/>
    <n v="0.83"/>
    <s v="&lt; 5kg"/>
    <n v="2"/>
    <n v="3"/>
    <x v="1"/>
    <n v="10000"/>
    <n v="8300"/>
    <s v="Tri Wibowo"/>
    <s v="internal"/>
    <x v="1"/>
  </r>
  <r>
    <s v="SHP00871"/>
    <s v="EMP071"/>
    <x v="220"/>
    <d v="2023-01-31T00:00:00"/>
    <x v="0"/>
    <x v="5"/>
    <x v="0"/>
    <x v="1"/>
    <n v="6.78"/>
    <s v="&gt;5kg"/>
    <n v="4"/>
    <n v="3"/>
    <x v="0"/>
    <n v="10000"/>
    <n v="67800"/>
    <s v="Ubay Prakoso"/>
    <s v="crowd source"/>
    <x v="0"/>
  </r>
  <r>
    <s v="SHP00872"/>
    <s v="EMP072"/>
    <x v="320"/>
    <d v="2023-03-10T00:00:00"/>
    <x v="1"/>
    <x v="3"/>
    <x v="0"/>
    <x v="0"/>
    <n v="7.61"/>
    <s v="&gt;5kg"/>
    <n v="4"/>
    <n v="3"/>
    <x v="0"/>
    <n v="10000"/>
    <n v="76100"/>
    <s v="Vania Putri"/>
    <s v="internal"/>
    <x v="0"/>
  </r>
  <r>
    <s v="SHP00873"/>
    <s v="EMP073"/>
    <x v="164"/>
    <d v="2024-10-03T00:00:00"/>
    <x v="2"/>
    <x v="9"/>
    <x v="0"/>
    <x v="0"/>
    <n v="8.64"/>
    <s v="&gt;5kg"/>
    <n v="8"/>
    <n v="3"/>
    <x v="0"/>
    <n v="10000"/>
    <n v="86400"/>
    <s v="Wira Nugraha"/>
    <s v="internal"/>
    <x v="1"/>
  </r>
  <r>
    <s v="SHP00874"/>
    <s v="EMP074"/>
    <x v="513"/>
    <d v="2024-04-05T00:00:00"/>
    <x v="3"/>
    <x v="9"/>
    <x v="0"/>
    <x v="1"/>
    <n v="0.52"/>
    <s v="&lt; 5kg"/>
    <n v="3"/>
    <n v="3"/>
    <x v="1"/>
    <n v="10000"/>
    <n v="5200"/>
    <s v="Xaverius Adi"/>
    <s v="crowd source"/>
    <x v="1"/>
  </r>
  <r>
    <s v="SHP00875"/>
    <s v="EMP075"/>
    <x v="348"/>
    <d v="2024-05-31T00:00:00"/>
    <x v="4"/>
    <x v="5"/>
    <x v="1"/>
    <x v="0"/>
    <n v="3.12"/>
    <s v="&lt; 5kg"/>
    <n v="0"/>
    <n v="1"/>
    <x v="1"/>
    <n v="12000"/>
    <n v="37440"/>
    <s v="Yuliana Kartini"/>
    <s v="internal"/>
    <x v="0"/>
  </r>
  <r>
    <s v="SHP00876"/>
    <s v="EMP076"/>
    <x v="235"/>
    <d v="2024-01-13T00:00:00"/>
    <x v="5"/>
    <x v="2"/>
    <x v="2"/>
    <x v="0"/>
    <n v="1.0900000000000001"/>
    <s v="&lt; 5kg"/>
    <n v="0"/>
    <n v="5"/>
    <x v="1"/>
    <n v="9000"/>
    <n v="9810"/>
    <s v="Zaki Alamsyah"/>
    <s v="internal"/>
    <x v="0"/>
  </r>
  <r>
    <s v="SHP00877"/>
    <s v="EMP077"/>
    <x v="233"/>
    <d v="2024-07-02T00:00:00"/>
    <x v="6"/>
    <x v="6"/>
    <x v="2"/>
    <x v="1"/>
    <n v="9.2200000000000006"/>
    <s v="&gt;5kg"/>
    <n v="7"/>
    <n v="5"/>
    <x v="0"/>
    <n v="9000"/>
    <n v="82980"/>
    <s v="Arief Setyawan"/>
    <s v="crowd source"/>
    <x v="1"/>
  </r>
  <r>
    <s v="SHP00878"/>
    <s v="EMP078"/>
    <x v="193"/>
    <d v="2023-03-19T00:00:00"/>
    <x v="7"/>
    <x v="5"/>
    <x v="2"/>
    <x v="1"/>
    <n v="10.3"/>
    <s v="&gt;5kg"/>
    <n v="4"/>
    <n v="5"/>
    <x v="1"/>
    <n v="9000"/>
    <n v="92700"/>
    <s v="Bunga Cahyani"/>
    <s v="internal"/>
    <x v="0"/>
  </r>
  <r>
    <s v="SHP00879"/>
    <s v="EMP079"/>
    <x v="514"/>
    <d v="2024-07-22T00:00:00"/>
    <x v="8"/>
    <x v="7"/>
    <x v="0"/>
    <x v="1"/>
    <n v="4.37"/>
    <s v="&lt; 5kg"/>
    <n v="2"/>
    <n v="3"/>
    <x v="1"/>
    <n v="10000"/>
    <n v="43700"/>
    <s v="Cahyo Prabowo"/>
    <s v="internal"/>
    <x v="1"/>
  </r>
  <r>
    <s v="SHP00880"/>
    <s v="EMP080"/>
    <x v="390"/>
    <d v="2024-04-11T00:00:00"/>
    <x v="9"/>
    <x v="7"/>
    <x v="2"/>
    <x v="1"/>
    <n v="5.36"/>
    <s v="&gt;5kg"/>
    <n v="4"/>
    <n v="5"/>
    <x v="1"/>
    <n v="9000"/>
    <n v="48240"/>
    <s v="Diah Permata"/>
    <s v="crowd source"/>
    <x v="0"/>
  </r>
  <r>
    <s v="SHP00881"/>
    <s v="EMP081"/>
    <x v="396"/>
    <d v="2024-03-30T00:00:00"/>
    <x v="0"/>
    <x v="5"/>
    <x v="2"/>
    <x v="0"/>
    <n v="3.49"/>
    <s v="&lt; 5kg"/>
    <n v="2"/>
    <n v="5"/>
    <x v="1"/>
    <n v="9000"/>
    <n v="31410.000000000004"/>
    <s v="Evania Putri"/>
    <s v="internal"/>
    <x v="0"/>
  </r>
  <r>
    <s v="SHP00882"/>
    <s v="EMP082"/>
    <x v="515"/>
    <d v="2024-04-18T00:00:00"/>
    <x v="1"/>
    <x v="6"/>
    <x v="0"/>
    <x v="0"/>
    <n v="4.54"/>
    <s v="&lt; 5kg"/>
    <n v="9"/>
    <n v="3"/>
    <x v="0"/>
    <n v="10000"/>
    <n v="45400"/>
    <s v="Fikri Ramadhan"/>
    <s v="crowd source"/>
    <x v="1"/>
  </r>
  <r>
    <s v="SHP00883"/>
    <s v="EMP083"/>
    <x v="374"/>
    <d v="2023-12-05T00:00:00"/>
    <x v="2"/>
    <x v="3"/>
    <x v="1"/>
    <x v="0"/>
    <n v="0.97"/>
    <s v="&lt; 5kg"/>
    <n v="1"/>
    <n v="1"/>
    <x v="1"/>
    <n v="12000"/>
    <n v="11640"/>
    <s v="Gilang Ramli"/>
    <s v="internal"/>
    <x v="0"/>
  </r>
  <r>
    <s v="SHP00884"/>
    <s v="EMP084"/>
    <x v="189"/>
    <d v="2024-01-09T00:00:00"/>
    <x v="3"/>
    <x v="4"/>
    <x v="1"/>
    <x v="1"/>
    <n v="4.3"/>
    <s v="&lt; 5kg"/>
    <n v="2"/>
    <n v="1"/>
    <x v="0"/>
    <n v="12000"/>
    <n v="51600"/>
    <s v="Hana Zahra"/>
    <s v="internal"/>
    <x v="0"/>
  </r>
  <r>
    <s v="SHP00885"/>
    <s v="EMP085"/>
    <x v="348"/>
    <d v="2024-06-04T00:00:00"/>
    <x v="4"/>
    <x v="9"/>
    <x v="0"/>
    <x v="0"/>
    <n v="0.82"/>
    <s v="&lt; 5kg"/>
    <n v="4"/>
    <n v="3"/>
    <x v="0"/>
    <n v="10000"/>
    <n v="8200"/>
    <s v="Irfan Maulana"/>
    <s v="internal"/>
    <x v="1"/>
  </r>
  <r>
    <s v="SHP00886"/>
    <s v="EMP086"/>
    <x v="265"/>
    <d v="2023-08-14T00:00:00"/>
    <x v="5"/>
    <x v="1"/>
    <x v="0"/>
    <x v="0"/>
    <n v="7.43"/>
    <s v="&gt;5kg"/>
    <n v="4"/>
    <n v="3"/>
    <x v="0"/>
    <n v="10000"/>
    <n v="74300"/>
    <s v="Jihan Salsabila"/>
    <s v="crowd source"/>
    <x v="0"/>
  </r>
  <r>
    <s v="SHP00887"/>
    <s v="EMP087"/>
    <x v="18"/>
    <d v="2024-10-14T00:00:00"/>
    <x v="6"/>
    <x v="5"/>
    <x v="0"/>
    <x v="1"/>
    <n v="8.49"/>
    <s v="&gt;5kg"/>
    <n v="9"/>
    <n v="3"/>
    <x v="0"/>
    <n v="10000"/>
    <n v="84900"/>
    <s v="Koko Santoso"/>
    <s v="internal"/>
    <x v="0"/>
  </r>
  <r>
    <s v="SHP00888"/>
    <s v="EMP088"/>
    <x v="280"/>
    <d v="2024-03-29T00:00:00"/>
    <x v="7"/>
    <x v="7"/>
    <x v="0"/>
    <x v="0"/>
    <n v="2.19"/>
    <s v="&lt; 5kg"/>
    <n v="2"/>
    <n v="3"/>
    <x v="1"/>
    <n v="10000"/>
    <n v="21900"/>
    <s v="Luthfi Hakim"/>
    <s v="crowd source"/>
    <x v="1"/>
  </r>
  <r>
    <s v="SHP00889"/>
    <s v="EMP089"/>
    <x v="516"/>
    <d v="2023-07-01T00:00:00"/>
    <x v="8"/>
    <x v="8"/>
    <x v="2"/>
    <x v="0"/>
    <n v="2"/>
    <s v="&lt; 5kg"/>
    <n v="3"/>
    <n v="5"/>
    <x v="1"/>
    <n v="9000"/>
    <n v="18000"/>
    <s v="Melati Anggraini"/>
    <s v="internal"/>
    <x v="0"/>
  </r>
  <r>
    <s v="SHP00890"/>
    <s v="EMP090"/>
    <x v="65"/>
    <d v="2024-05-17T00:00:00"/>
    <x v="9"/>
    <x v="9"/>
    <x v="2"/>
    <x v="0"/>
    <n v="7.08"/>
    <s v="&gt;5kg"/>
    <n v="7"/>
    <n v="5"/>
    <x v="0"/>
    <n v="9000"/>
    <n v="63720"/>
    <s v="Naufal Rizky"/>
    <s v="internal"/>
    <x v="1"/>
  </r>
  <r>
    <s v="SHP00891"/>
    <s v="EMP091"/>
    <x v="517"/>
    <d v="2024-03-09T00:00:00"/>
    <x v="0"/>
    <x v="9"/>
    <x v="1"/>
    <x v="1"/>
    <n v="7.81"/>
    <s v="&gt;5kg"/>
    <n v="3"/>
    <n v="1"/>
    <x v="0"/>
    <n v="12000"/>
    <n v="93720"/>
    <s v="Olin Febriani"/>
    <s v="crowd source"/>
    <x v="0"/>
  </r>
  <r>
    <s v="SHP00892"/>
    <s v="EMP092"/>
    <x v="72"/>
    <d v="2023-08-22T00:00:00"/>
    <x v="1"/>
    <x v="1"/>
    <x v="2"/>
    <x v="0"/>
    <n v="4.04"/>
    <s v="&lt; 5kg"/>
    <n v="3"/>
    <n v="5"/>
    <x v="1"/>
    <n v="9000"/>
    <n v="36360"/>
    <s v="Praditya Wicaksono"/>
    <s v="internal"/>
    <x v="1"/>
  </r>
  <r>
    <s v="SHP00893"/>
    <s v="EMP093"/>
    <x v="518"/>
    <d v="2023-07-26T00:00:00"/>
    <x v="2"/>
    <x v="0"/>
    <x v="0"/>
    <x v="1"/>
    <n v="3.12"/>
    <s v="&lt; 5kg"/>
    <n v="2"/>
    <n v="3"/>
    <x v="1"/>
    <n v="10000"/>
    <n v="31200"/>
    <s v="Qory Azzahra"/>
    <s v="internal"/>
    <x v="0"/>
  </r>
  <r>
    <s v="SHP00894"/>
    <s v="EMP094"/>
    <x v="417"/>
    <d v="2023-11-02T00:00:00"/>
    <x v="3"/>
    <x v="9"/>
    <x v="2"/>
    <x v="0"/>
    <n v="9.7899999999999991"/>
    <s v="&gt;5kg"/>
    <n v="10"/>
    <n v="5"/>
    <x v="0"/>
    <n v="9000"/>
    <n v="88109.999999999985"/>
    <s v="Rendi Saputra"/>
    <s v="crowd source"/>
    <x v="1"/>
  </r>
  <r>
    <s v="SHP00895"/>
    <s v="EMP095"/>
    <x v="519"/>
    <d v="2023-03-21T00:00:00"/>
    <x v="4"/>
    <x v="9"/>
    <x v="0"/>
    <x v="0"/>
    <n v="2.7"/>
    <s v="&lt; 5kg"/>
    <n v="11"/>
    <n v="3"/>
    <x v="0"/>
    <n v="10000"/>
    <n v="27000"/>
    <s v="Salma Nuraini"/>
    <s v="internal"/>
    <x v="0"/>
  </r>
  <r>
    <s v="SHP00896"/>
    <s v="EMP096"/>
    <x v="308"/>
    <d v="2023-03-04T00:00:00"/>
    <x v="5"/>
    <x v="5"/>
    <x v="0"/>
    <x v="0"/>
    <n v="1.39"/>
    <s v="&lt; 5kg"/>
    <n v="1"/>
    <n v="3"/>
    <x v="1"/>
    <n v="10000"/>
    <n v="13899.999999999998"/>
    <s v="Tegar Prakoso"/>
    <s v="internal"/>
    <x v="1"/>
  </r>
  <r>
    <s v="SHP00897"/>
    <s v="EMP097"/>
    <x v="246"/>
    <d v="2025-01-02T00:00:00"/>
    <x v="6"/>
    <x v="6"/>
    <x v="2"/>
    <x v="0"/>
    <n v="5.97"/>
    <s v="&gt;5kg"/>
    <n v="6"/>
    <n v="5"/>
    <x v="0"/>
    <n v="9000"/>
    <n v="53730"/>
    <s v="Ulfa Khairunnisa"/>
    <s v="crowd source"/>
    <x v="0"/>
  </r>
  <r>
    <s v="SHP00898"/>
    <s v="EMP098"/>
    <x v="187"/>
    <d v="2023-10-22T00:00:00"/>
    <x v="7"/>
    <x v="8"/>
    <x v="1"/>
    <x v="0"/>
    <n v="2.96"/>
    <s v="&lt; 5kg"/>
    <n v="11"/>
    <n v="1"/>
    <x v="0"/>
    <n v="12000"/>
    <n v="35520"/>
    <s v="Vito Mahendra"/>
    <s v="internal"/>
    <x v="0"/>
  </r>
  <r>
    <s v="SHP00899"/>
    <s v="EMP099"/>
    <x v="255"/>
    <d v="2023-07-12T00:00:00"/>
    <x v="8"/>
    <x v="4"/>
    <x v="0"/>
    <x v="1"/>
    <n v="10.01"/>
    <s v="&gt;5kg"/>
    <n v="5"/>
    <n v="3"/>
    <x v="0"/>
    <n v="10000"/>
    <n v="100100"/>
    <s v="Winda Sari"/>
    <s v="internal"/>
    <x v="0"/>
  </r>
  <r>
    <s v="SHP00900"/>
    <s v="EMP100"/>
    <x v="374"/>
    <d v="2023-12-05T00:00:00"/>
    <x v="9"/>
    <x v="1"/>
    <x v="0"/>
    <x v="0"/>
    <n v="9.9600000000000009"/>
    <s v="&gt;5kg"/>
    <n v="1"/>
    <n v="3"/>
    <x v="1"/>
    <n v="10000"/>
    <n v="99600.000000000015"/>
    <s v="Yusuf Al Ghazali"/>
    <s v="crowd source"/>
    <x v="1"/>
  </r>
  <r>
    <s v="SHP00901"/>
    <s v="EMP001"/>
    <x v="520"/>
    <d v="2023-08-10T00:00:00"/>
    <x v="0"/>
    <x v="0"/>
    <x v="2"/>
    <x v="1"/>
    <n v="2.16"/>
    <s v="&lt; 5kg"/>
    <n v="4"/>
    <n v="5"/>
    <x v="1"/>
    <n v="9000"/>
    <n v="19440"/>
    <s v="Andi Pratama"/>
    <s v="internal"/>
    <x v="0"/>
  </r>
  <r>
    <s v="SHP00902"/>
    <s v="EMP002"/>
    <x v="521"/>
    <d v="2023-11-28T00:00:00"/>
    <x v="1"/>
    <x v="0"/>
    <x v="2"/>
    <x v="0"/>
    <n v="8.89"/>
    <s v="&gt;5kg"/>
    <n v="3"/>
    <n v="5"/>
    <x v="1"/>
    <n v="9000"/>
    <n v="80010"/>
    <s v="Budi Santoso"/>
    <s v="internal"/>
    <x v="1"/>
  </r>
  <r>
    <s v="SHP00903"/>
    <s v="EMP003"/>
    <x v="130"/>
    <d v="2024-12-02T00:00:00"/>
    <x v="2"/>
    <x v="2"/>
    <x v="2"/>
    <x v="1"/>
    <n v="4.9800000000000004"/>
    <s v="&lt; 5kg"/>
    <n v="5"/>
    <n v="5"/>
    <x v="1"/>
    <n v="9000"/>
    <n v="44820.000000000007"/>
    <s v="Citra Lestari"/>
    <s v="crowd source"/>
    <x v="0"/>
  </r>
  <r>
    <s v="SHP00904"/>
    <s v="EMP004"/>
    <x v="486"/>
    <d v="2023-04-24T00:00:00"/>
    <x v="3"/>
    <x v="6"/>
    <x v="2"/>
    <x v="1"/>
    <n v="2.52"/>
    <s v="&lt; 5kg"/>
    <n v="11"/>
    <n v="5"/>
    <x v="0"/>
    <n v="9000"/>
    <n v="22680"/>
    <s v="Dedi Saputra"/>
    <s v="crowd source"/>
    <x v="1"/>
  </r>
  <r>
    <s v="SHP00905"/>
    <s v="EMP005"/>
    <x v="522"/>
    <d v="2024-05-22T00:00:00"/>
    <x v="4"/>
    <x v="1"/>
    <x v="1"/>
    <x v="1"/>
    <n v="7.87"/>
    <s v="&gt;5kg"/>
    <n v="4"/>
    <n v="1"/>
    <x v="0"/>
    <n v="12000"/>
    <n v="94440"/>
    <s v="Eko Nugroho"/>
    <s v="internal"/>
    <x v="0"/>
  </r>
  <r>
    <s v="SHP00906"/>
    <s v="EMP006"/>
    <x v="435"/>
    <d v="2023-09-09T00:00:00"/>
    <x v="5"/>
    <x v="4"/>
    <x v="0"/>
    <x v="1"/>
    <n v="8.17"/>
    <s v="&gt;5kg"/>
    <n v="2"/>
    <n v="3"/>
    <x v="1"/>
    <n v="10000"/>
    <n v="81700"/>
    <s v="Fajar Hidayat"/>
    <s v="internal"/>
    <x v="1"/>
  </r>
  <r>
    <s v="SHP00907"/>
    <s v="EMP007"/>
    <x v="520"/>
    <d v="2023-08-10T00:00:00"/>
    <x v="6"/>
    <x v="2"/>
    <x v="1"/>
    <x v="0"/>
    <n v="8.6999999999999993"/>
    <s v="&gt;5kg"/>
    <n v="4"/>
    <n v="1"/>
    <x v="0"/>
    <n v="12000"/>
    <n v="104399.99999999999"/>
    <s v="Gita Rahmawati"/>
    <s v="crowd source"/>
    <x v="0"/>
  </r>
  <r>
    <s v="SHP00908"/>
    <s v="EMP008"/>
    <x v="160"/>
    <d v="2023-04-08T00:00:00"/>
    <x v="7"/>
    <x v="4"/>
    <x v="0"/>
    <x v="0"/>
    <n v="3.31"/>
    <s v="&lt; 5kg"/>
    <n v="10"/>
    <n v="3"/>
    <x v="0"/>
    <n v="10000"/>
    <n v="33100"/>
    <s v="Hendra Wijaya"/>
    <s v="internal"/>
    <x v="1"/>
  </r>
  <r>
    <s v="SHP00909"/>
    <s v="EMP009"/>
    <x v="447"/>
    <d v="2023-01-30T00:00:00"/>
    <x v="8"/>
    <x v="1"/>
    <x v="1"/>
    <x v="0"/>
    <n v="4.93"/>
    <s v="&lt; 5kg"/>
    <n v="1"/>
    <n v="1"/>
    <x v="1"/>
    <n v="12000"/>
    <n v="59160"/>
    <s v="Indah Permata"/>
    <s v="crowd source"/>
    <x v="0"/>
  </r>
  <r>
    <s v="SHP00910"/>
    <s v="EMP010"/>
    <x v="515"/>
    <d v="2024-04-12T00:00:00"/>
    <x v="9"/>
    <x v="5"/>
    <x v="0"/>
    <x v="1"/>
    <n v="4.9000000000000004"/>
    <s v="&lt; 5kg"/>
    <n v="3"/>
    <n v="3"/>
    <x v="1"/>
    <n v="10000"/>
    <n v="49000"/>
    <s v="Joko Susilo"/>
    <s v="internal"/>
    <x v="1"/>
  </r>
  <r>
    <s v="SHP00911"/>
    <s v="EMP011"/>
    <x v="523"/>
    <d v="2025-01-04T00:00:00"/>
    <x v="0"/>
    <x v="0"/>
    <x v="2"/>
    <x v="1"/>
    <n v="0.67"/>
    <s v="&lt; 5kg"/>
    <n v="10"/>
    <n v="5"/>
    <x v="0"/>
    <n v="9000"/>
    <n v="6030"/>
    <s v="Kurniawan Putra"/>
    <s v="crowd source"/>
    <x v="1"/>
  </r>
  <r>
    <s v="SHP00912"/>
    <s v="EMP012"/>
    <x v="380"/>
    <d v="2024-07-15T00:00:00"/>
    <x v="1"/>
    <x v="2"/>
    <x v="1"/>
    <x v="0"/>
    <n v="10.199999999999999"/>
    <s v="&gt;5kg"/>
    <n v="4"/>
    <n v="1"/>
    <x v="0"/>
    <n v="12000"/>
    <n v="122399.99999999999"/>
    <s v="Lina Marlina"/>
    <s v="internal"/>
    <x v="0"/>
  </r>
  <r>
    <s v="SHP00913"/>
    <s v="EMP013"/>
    <x v="203"/>
    <d v="2023-03-01T00:00:00"/>
    <x v="2"/>
    <x v="4"/>
    <x v="0"/>
    <x v="0"/>
    <n v="9.6199999999999992"/>
    <s v="&gt;5kg"/>
    <n v="4"/>
    <n v="3"/>
    <x v="0"/>
    <n v="10000"/>
    <n v="96199.999999999985"/>
    <s v="Rizky Ananda"/>
    <s v="crowd source"/>
    <x v="0"/>
  </r>
  <r>
    <s v="SHP00914"/>
    <s v="EMP014"/>
    <x v="524"/>
    <d v="2023-05-09T00:00:00"/>
    <x v="3"/>
    <x v="0"/>
    <x v="2"/>
    <x v="0"/>
    <n v="10.45"/>
    <s v="&gt;5kg"/>
    <n v="5"/>
    <n v="5"/>
    <x v="1"/>
    <n v="9000"/>
    <n v="94050"/>
    <s v="Nanda Prakoso"/>
    <s v="internal"/>
    <x v="1"/>
  </r>
  <r>
    <s v="SHP00915"/>
    <s v="EMP015"/>
    <x v="272"/>
    <d v="2023-03-01T00:00:00"/>
    <x v="4"/>
    <x v="2"/>
    <x v="1"/>
    <x v="1"/>
    <n v="3.66"/>
    <s v="&lt; 5kg"/>
    <n v="1"/>
    <n v="1"/>
    <x v="1"/>
    <n v="12000"/>
    <n v="43920"/>
    <s v="Oktavian Yusuf"/>
    <s v="crowd source"/>
    <x v="1"/>
  </r>
  <r>
    <s v="SHP00916"/>
    <s v="EMP016"/>
    <x v="459"/>
    <d v="2024-11-14T00:00:00"/>
    <x v="5"/>
    <x v="5"/>
    <x v="0"/>
    <x v="1"/>
    <n v="7.21"/>
    <s v="&gt;5kg"/>
    <n v="7"/>
    <n v="3"/>
    <x v="0"/>
    <n v="10000"/>
    <n v="72100"/>
    <s v="Putri Ayu Lestari"/>
    <s v="internal"/>
    <x v="0"/>
  </r>
  <r>
    <s v="SHP00917"/>
    <s v="EMP017"/>
    <x v="138"/>
    <d v="2024-01-18T00:00:00"/>
    <x v="6"/>
    <x v="6"/>
    <x v="2"/>
    <x v="0"/>
    <n v="4.0199999999999996"/>
    <s v="&lt; 5kg"/>
    <n v="8"/>
    <n v="5"/>
    <x v="0"/>
    <n v="9000"/>
    <n v="36179.999999999993"/>
    <s v="Rafi Maulana"/>
    <s v="internal"/>
    <x v="0"/>
  </r>
  <r>
    <s v="SHP00918"/>
    <s v="EMP018"/>
    <x v="525"/>
    <d v="2024-09-30T00:00:00"/>
    <x v="7"/>
    <x v="6"/>
    <x v="2"/>
    <x v="0"/>
    <n v="9.6"/>
    <s v="&gt;5kg"/>
    <n v="6"/>
    <n v="5"/>
    <x v="0"/>
    <n v="9000"/>
    <n v="86400"/>
    <s v="Sari Puspita"/>
    <s v="crowd source"/>
    <x v="0"/>
  </r>
  <r>
    <s v="SHP00919"/>
    <s v="EMP019"/>
    <x v="293"/>
    <d v="2024-10-09T00:00:00"/>
    <x v="8"/>
    <x v="0"/>
    <x v="0"/>
    <x v="1"/>
    <n v="9.65"/>
    <s v="&gt;5kg"/>
    <n v="6"/>
    <n v="3"/>
    <x v="0"/>
    <n v="10000"/>
    <n v="96500"/>
    <s v="Teguh Wibowo"/>
    <s v="internal"/>
    <x v="1"/>
  </r>
  <r>
    <s v="SHP00920"/>
    <s v="EMP020"/>
    <x v="84"/>
    <d v="2024-11-09T00:00:00"/>
    <x v="9"/>
    <x v="2"/>
    <x v="0"/>
    <x v="0"/>
    <n v="8.5399999999999991"/>
    <s v="&gt;5kg"/>
    <n v="4"/>
    <n v="3"/>
    <x v="0"/>
    <n v="10000"/>
    <n v="85399.999999999985"/>
    <s v="Umi Kalsum"/>
    <s v="crowd source"/>
    <x v="0"/>
  </r>
  <r>
    <s v="SHP00921"/>
    <s v="EMP021"/>
    <x v="221"/>
    <d v="2023-09-25T00:00:00"/>
    <x v="0"/>
    <x v="5"/>
    <x v="0"/>
    <x v="0"/>
    <n v="2.78"/>
    <s v="&lt; 5kg"/>
    <n v="3"/>
    <n v="3"/>
    <x v="1"/>
    <n v="10000"/>
    <n v="27799.999999999996"/>
    <s v="Vina Oktaviani"/>
    <s v="internal"/>
    <x v="0"/>
  </r>
  <r>
    <s v="SHP00922"/>
    <s v="EMP022"/>
    <x v="74"/>
    <d v="2024-07-15T00:00:00"/>
    <x v="1"/>
    <x v="6"/>
    <x v="2"/>
    <x v="1"/>
    <n v="0.54"/>
    <s v="&lt; 5kg"/>
    <n v="1"/>
    <n v="5"/>
    <x v="1"/>
    <n v="9000"/>
    <n v="4860"/>
    <s v="Wahyu Setiawan"/>
    <s v="crowd source"/>
    <x v="1"/>
  </r>
  <r>
    <s v="SHP00923"/>
    <s v="EMP023"/>
    <x v="507"/>
    <d v="2024-03-21T00:00:00"/>
    <x v="2"/>
    <x v="4"/>
    <x v="0"/>
    <x v="1"/>
    <n v="4.8899999999999997"/>
    <s v="&lt; 5kg"/>
    <n v="1"/>
    <n v="3"/>
    <x v="1"/>
    <n v="10000"/>
    <n v="48900"/>
    <s v="Yogi Firmansyah"/>
    <s v="internal"/>
    <x v="1"/>
  </r>
  <r>
    <s v="SHP00924"/>
    <s v="EMP024"/>
    <x v="118"/>
    <d v="2024-01-29T00:00:00"/>
    <x v="3"/>
    <x v="2"/>
    <x v="2"/>
    <x v="1"/>
    <n v="8.7100000000000009"/>
    <s v="&gt;5kg"/>
    <n v="0"/>
    <n v="5"/>
    <x v="1"/>
    <n v="9000"/>
    <n v="78390.000000000015"/>
    <s v="Zainal Abidin"/>
    <s v="crowd source"/>
    <x v="1"/>
  </r>
  <r>
    <s v="SHP00925"/>
    <s v="EMP025"/>
    <x v="526"/>
    <d v="2023-01-26T00:00:00"/>
    <x v="4"/>
    <x v="8"/>
    <x v="2"/>
    <x v="0"/>
    <n v="7.63"/>
    <s v="&gt;5kg"/>
    <n v="4"/>
    <n v="5"/>
    <x v="1"/>
    <n v="9000"/>
    <n v="68670"/>
    <s v="Ahmad Fauzi"/>
    <s v="internal"/>
    <x v="0"/>
  </r>
  <r>
    <s v="SHP00926"/>
    <s v="EMP026"/>
    <x v="87"/>
    <d v="2024-01-28T00:00:00"/>
    <x v="5"/>
    <x v="5"/>
    <x v="2"/>
    <x v="0"/>
    <n v="6.11"/>
    <s v="&gt;5kg"/>
    <n v="4"/>
    <n v="5"/>
    <x v="1"/>
    <n v="9000"/>
    <n v="54990"/>
    <s v="Bayu Ramadhan"/>
    <s v="crowd source"/>
    <x v="0"/>
  </r>
  <r>
    <s v="SHP00927"/>
    <s v="EMP027"/>
    <x v="313"/>
    <d v="2024-04-14T00:00:00"/>
    <x v="6"/>
    <x v="3"/>
    <x v="0"/>
    <x v="0"/>
    <n v="9.14"/>
    <s v="&gt;5kg"/>
    <n v="4"/>
    <n v="3"/>
    <x v="0"/>
    <n v="10000"/>
    <n v="91400"/>
    <s v="Cindy Oktavia"/>
    <s v="internal"/>
    <x v="0"/>
  </r>
  <r>
    <s v="SHP00928"/>
    <s v="EMP028"/>
    <x v="246"/>
    <d v="2024-12-28T00:00:00"/>
    <x v="7"/>
    <x v="6"/>
    <x v="2"/>
    <x v="0"/>
    <n v="3.4"/>
    <s v="&lt; 5kg"/>
    <n v="1"/>
    <n v="5"/>
    <x v="1"/>
    <n v="9000"/>
    <n v="30600"/>
    <s v="Dian Pramudya"/>
    <s v="crowd source"/>
    <x v="1"/>
  </r>
  <r>
    <s v="SHP00929"/>
    <s v="EMP029"/>
    <x v="438"/>
    <d v="2023-03-24T00:00:00"/>
    <x v="8"/>
    <x v="9"/>
    <x v="0"/>
    <x v="0"/>
    <n v="7.79"/>
    <s v="&gt;5kg"/>
    <n v="2"/>
    <n v="3"/>
    <x v="1"/>
    <n v="10000"/>
    <n v="77900"/>
    <s v="Erwin Kurniawan"/>
    <s v="internal"/>
    <x v="1"/>
  </r>
  <r>
    <s v="SHP00930"/>
    <s v="EMP030"/>
    <x v="80"/>
    <d v="2023-05-22T00:00:00"/>
    <x v="9"/>
    <x v="8"/>
    <x v="2"/>
    <x v="0"/>
    <n v="10.3"/>
    <s v="&gt;5kg"/>
    <n v="10"/>
    <n v="5"/>
    <x v="0"/>
    <n v="9000"/>
    <n v="92700"/>
    <s v="Fitri Handayani"/>
    <s v="crowd source"/>
    <x v="0"/>
  </r>
  <r>
    <s v="SHP00931"/>
    <s v="EMP031"/>
    <x v="527"/>
    <d v="2024-08-07T00:00:00"/>
    <x v="0"/>
    <x v="4"/>
    <x v="0"/>
    <x v="1"/>
    <n v="8.01"/>
    <s v="&gt;5kg"/>
    <n v="4"/>
    <n v="3"/>
    <x v="0"/>
    <n v="10000"/>
    <n v="80100"/>
    <s v="Gilang Saputra"/>
    <s v="internal"/>
    <x v="0"/>
  </r>
  <r>
    <s v="SHP00932"/>
    <s v="EMP032"/>
    <x v="433"/>
    <d v="2024-09-03T00:00:00"/>
    <x v="1"/>
    <x v="7"/>
    <x v="0"/>
    <x v="1"/>
    <n v="5.26"/>
    <s v="&gt;5kg"/>
    <n v="0"/>
    <n v="3"/>
    <x v="1"/>
    <n v="10000"/>
    <n v="52600"/>
    <s v="Hariyanto"/>
    <s v="crowd source"/>
    <x v="1"/>
  </r>
  <r>
    <s v="SHP00933"/>
    <s v="EMP033"/>
    <x v="121"/>
    <d v="2023-03-23T00:00:00"/>
    <x v="2"/>
    <x v="5"/>
    <x v="1"/>
    <x v="0"/>
    <n v="9.76"/>
    <s v="&gt;5kg"/>
    <n v="10"/>
    <n v="1"/>
    <x v="0"/>
    <n v="12000"/>
    <n v="117120"/>
    <s v="Intan Maharani"/>
    <s v="internal"/>
    <x v="0"/>
  </r>
  <r>
    <s v="SHP00934"/>
    <s v="EMP034"/>
    <x v="290"/>
    <d v="2023-05-04T00:00:00"/>
    <x v="3"/>
    <x v="4"/>
    <x v="0"/>
    <x v="0"/>
    <n v="5.73"/>
    <s v="&gt;5kg"/>
    <n v="3"/>
    <n v="3"/>
    <x v="1"/>
    <n v="10000"/>
    <n v="57300.000000000007"/>
    <s v="Jefri Alamsyah"/>
    <s v="internal"/>
    <x v="1"/>
  </r>
  <r>
    <s v="SHP00935"/>
    <s v="EMP035"/>
    <x v="283"/>
    <d v="2024-06-02T00:00:00"/>
    <x v="4"/>
    <x v="0"/>
    <x v="0"/>
    <x v="0"/>
    <n v="0.55000000000000004"/>
    <s v="&lt; 5kg"/>
    <n v="3"/>
    <n v="3"/>
    <x v="1"/>
    <n v="10000"/>
    <n v="5500"/>
    <s v="Kartika Sari"/>
    <s v="crowd source"/>
    <x v="0"/>
  </r>
  <r>
    <s v="SHP00936"/>
    <s v="EMP036"/>
    <x v="378"/>
    <d v="2024-05-25T00:00:00"/>
    <x v="5"/>
    <x v="2"/>
    <x v="1"/>
    <x v="1"/>
    <n v="5.44"/>
    <s v="&gt;5kg"/>
    <n v="0"/>
    <n v="1"/>
    <x v="1"/>
    <n v="12000"/>
    <n v="65280.000000000007"/>
    <s v="Lukman Hakim"/>
    <s v="internal"/>
    <x v="1"/>
  </r>
  <r>
    <s v="SHP00937"/>
    <s v="EMP037"/>
    <x v="355"/>
    <d v="2023-07-09T00:00:00"/>
    <x v="6"/>
    <x v="2"/>
    <x v="1"/>
    <x v="1"/>
    <n v="4.26"/>
    <s v="&lt; 5kg"/>
    <n v="1"/>
    <n v="1"/>
    <x v="1"/>
    <n v="12000"/>
    <n v="51120"/>
    <s v="Mega Puspitasari"/>
    <s v="internal"/>
    <x v="0"/>
  </r>
  <r>
    <s v="SHP00938"/>
    <s v="EMP038"/>
    <x v="528"/>
    <d v="2024-12-11T00:00:00"/>
    <x v="7"/>
    <x v="8"/>
    <x v="0"/>
    <x v="0"/>
    <n v="10.1"/>
    <s v="&gt;5kg"/>
    <n v="10"/>
    <n v="3"/>
    <x v="0"/>
    <n v="10000"/>
    <n v="101000"/>
    <s v="Niko Prasetyo"/>
    <s v="crowd source"/>
    <x v="1"/>
  </r>
  <r>
    <s v="SHP00939"/>
    <s v="EMP039"/>
    <x v="529"/>
    <d v="2024-03-27T00:00:00"/>
    <x v="8"/>
    <x v="3"/>
    <x v="0"/>
    <x v="1"/>
    <n v="5.59"/>
    <s v="&gt;5kg"/>
    <n v="4"/>
    <n v="3"/>
    <x v="0"/>
    <n v="10000"/>
    <n v="55900"/>
    <s v="Olivia Putri"/>
    <s v="internal"/>
    <x v="0"/>
  </r>
  <r>
    <s v="SHP00940"/>
    <s v="EMP040"/>
    <x v="311"/>
    <d v="2023-08-14T00:00:00"/>
    <x v="9"/>
    <x v="8"/>
    <x v="1"/>
    <x v="0"/>
    <n v="9.4700000000000006"/>
    <s v="&gt;5kg"/>
    <n v="7"/>
    <n v="1"/>
    <x v="0"/>
    <n v="12000"/>
    <n v="113640.00000000001"/>
    <s v="Prasetyo Utomo"/>
    <s v="internal"/>
    <x v="1"/>
  </r>
  <r>
    <s v="SHP00941"/>
    <s v="EMP041"/>
    <x v="405"/>
    <d v="2024-11-07T00:00:00"/>
    <x v="0"/>
    <x v="8"/>
    <x v="1"/>
    <x v="1"/>
    <n v="7.87"/>
    <s v="&gt;5kg"/>
    <n v="4"/>
    <n v="1"/>
    <x v="0"/>
    <n v="12000"/>
    <n v="94440"/>
    <s v="Qori Annisa"/>
    <s v="crowd source"/>
    <x v="0"/>
  </r>
  <r>
    <s v="SHP00942"/>
    <s v="EMP042"/>
    <x v="385"/>
    <d v="2024-01-14T00:00:00"/>
    <x v="1"/>
    <x v="0"/>
    <x v="0"/>
    <x v="1"/>
    <n v="6.82"/>
    <s v="&gt;5kg"/>
    <n v="8"/>
    <n v="3"/>
    <x v="0"/>
    <n v="10000"/>
    <n v="68200"/>
    <s v="Rangga Saptonugroho"/>
    <s v="crowd source"/>
    <x v="1"/>
  </r>
  <r>
    <s v="SHP00943"/>
    <s v="EMP043"/>
    <x v="530"/>
    <d v="2024-10-15T00:00:00"/>
    <x v="2"/>
    <x v="2"/>
    <x v="0"/>
    <x v="0"/>
    <n v="8.33"/>
    <s v="&gt;5kg"/>
    <n v="4"/>
    <n v="3"/>
    <x v="0"/>
    <n v="10000"/>
    <n v="83300"/>
    <s v="Sinta Dewi"/>
    <s v="internal"/>
    <x v="0"/>
  </r>
  <r>
    <s v="SHP00944"/>
    <s v="EMP044"/>
    <x v="452"/>
    <d v="2023-10-02T00:00:00"/>
    <x v="3"/>
    <x v="3"/>
    <x v="0"/>
    <x v="0"/>
    <n v="7.66"/>
    <s v="&gt;5kg"/>
    <n v="1"/>
    <n v="3"/>
    <x v="1"/>
    <n v="10000"/>
    <n v="76600"/>
    <s v="Taufik Hidayat"/>
    <s v="internal"/>
    <x v="1"/>
  </r>
  <r>
    <s v="SHP00945"/>
    <s v="EMP045"/>
    <x v="531"/>
    <d v="2023-08-20T00:00:00"/>
    <x v="4"/>
    <x v="6"/>
    <x v="0"/>
    <x v="1"/>
    <n v="5.42"/>
    <s v="&gt;5kg"/>
    <n v="4"/>
    <n v="3"/>
    <x v="0"/>
    <n v="10000"/>
    <n v="54200"/>
    <s v="Usman Ali"/>
    <s v="crowd source"/>
    <x v="0"/>
  </r>
  <r>
    <s v="SHP00946"/>
    <s v="EMP046"/>
    <x v="120"/>
    <d v="2023-01-21T00:00:00"/>
    <x v="5"/>
    <x v="6"/>
    <x v="0"/>
    <x v="0"/>
    <n v="8.4"/>
    <s v="&gt;5kg"/>
    <n v="8"/>
    <n v="3"/>
    <x v="0"/>
    <n v="10000"/>
    <n v="84000"/>
    <s v="Vivi Lestari"/>
    <s v="internal"/>
    <x v="0"/>
  </r>
  <r>
    <s v="SHP00947"/>
    <s v="EMP047"/>
    <x v="342"/>
    <d v="2024-07-30T00:00:00"/>
    <x v="6"/>
    <x v="4"/>
    <x v="2"/>
    <x v="0"/>
    <n v="5.64"/>
    <s v="&gt;5kg"/>
    <n v="4"/>
    <n v="5"/>
    <x v="1"/>
    <n v="9000"/>
    <n v="50760"/>
    <s v="Wawan Setiabudi"/>
    <s v="internal"/>
    <x v="1"/>
  </r>
  <r>
    <s v="SHP00948"/>
    <s v="EMP048"/>
    <x v="281"/>
    <d v="2023-02-07T00:00:00"/>
    <x v="7"/>
    <x v="2"/>
    <x v="0"/>
    <x v="0"/>
    <n v="7.19"/>
    <s v="&gt;5kg"/>
    <n v="4"/>
    <n v="3"/>
    <x v="0"/>
    <n v="10000"/>
    <n v="71900"/>
    <s v="Xenia Maharani"/>
    <s v="crowd source"/>
    <x v="0"/>
  </r>
  <r>
    <s v="SHP00949"/>
    <s v="EMP049"/>
    <x v="532"/>
    <d v="2024-09-23T00:00:00"/>
    <x v="8"/>
    <x v="5"/>
    <x v="1"/>
    <x v="0"/>
    <n v="1.39"/>
    <s v="&lt; 5kg"/>
    <n v="9"/>
    <n v="1"/>
    <x v="0"/>
    <n v="12000"/>
    <n v="16680"/>
    <s v="Yoga Pradana"/>
    <s v="internal"/>
    <x v="0"/>
  </r>
  <r>
    <s v="SHP00950"/>
    <s v="EMP050"/>
    <x v="441"/>
    <d v="2024-04-29T00:00:00"/>
    <x v="9"/>
    <x v="9"/>
    <x v="1"/>
    <x v="1"/>
    <n v="7.34"/>
    <s v="&gt;5kg"/>
    <n v="5"/>
    <n v="1"/>
    <x v="0"/>
    <n v="12000"/>
    <n v="88080"/>
    <s v="Zulfikar Ramadhan"/>
    <s v="crowd source"/>
    <x v="1"/>
  </r>
  <r>
    <s v="SHP00951"/>
    <s v="EMP051"/>
    <x v="533"/>
    <d v="2024-12-30T00:00:00"/>
    <x v="0"/>
    <x v="5"/>
    <x v="2"/>
    <x v="0"/>
    <n v="5.47"/>
    <s v="&gt;5kg"/>
    <n v="4"/>
    <n v="5"/>
    <x v="1"/>
    <n v="9000"/>
    <n v="49230"/>
    <s v="Aditya Saputra"/>
    <s v="internal"/>
    <x v="0"/>
  </r>
  <r>
    <s v="SHP00952"/>
    <s v="EMP052"/>
    <x v="534"/>
    <d v="2024-09-04T00:00:00"/>
    <x v="1"/>
    <x v="1"/>
    <x v="1"/>
    <x v="1"/>
    <n v="6.25"/>
    <s v="&gt;5kg"/>
    <n v="4"/>
    <n v="1"/>
    <x v="0"/>
    <n v="12000"/>
    <n v="75000"/>
    <s v="Bella Oktaviani"/>
    <s v="internal"/>
    <x v="0"/>
  </r>
  <r>
    <s v="SHP00953"/>
    <s v="EMP053"/>
    <x v="97"/>
    <d v="2024-01-14T00:00:00"/>
    <x v="2"/>
    <x v="9"/>
    <x v="0"/>
    <x v="0"/>
    <n v="4.26"/>
    <s v="&lt; 5kg"/>
    <n v="5"/>
    <n v="3"/>
    <x v="0"/>
    <n v="10000"/>
    <n v="42600"/>
    <s v="Chandra Wijaya"/>
    <s v="crowd source"/>
    <x v="1"/>
  </r>
  <r>
    <s v="SHP00954"/>
    <s v="EMP054"/>
    <x v="535"/>
    <d v="2023-09-29T00:00:00"/>
    <x v="3"/>
    <x v="2"/>
    <x v="0"/>
    <x v="0"/>
    <n v="8.6999999999999993"/>
    <s v="&gt;5kg"/>
    <n v="4"/>
    <n v="3"/>
    <x v="0"/>
    <n v="10000"/>
    <n v="87000"/>
    <s v="Dewi Sartika"/>
    <s v="internal"/>
    <x v="0"/>
  </r>
  <r>
    <s v="SHP00955"/>
    <s v="EMP055"/>
    <x v="108"/>
    <d v="2024-09-04T00:00:00"/>
    <x v="4"/>
    <x v="8"/>
    <x v="2"/>
    <x v="1"/>
    <n v="7.06"/>
    <s v="&gt;5kg"/>
    <n v="11"/>
    <n v="5"/>
    <x v="0"/>
    <n v="9000"/>
    <n v="63540"/>
    <s v="Edi Kurniawan"/>
    <s v="internal"/>
    <x v="1"/>
  </r>
  <r>
    <s v="SHP00956"/>
    <s v="EMP056"/>
    <x v="297"/>
    <d v="2024-12-22T00:00:00"/>
    <x v="5"/>
    <x v="0"/>
    <x v="0"/>
    <x v="1"/>
    <n v="6.52"/>
    <s v="&gt;5kg"/>
    <n v="4"/>
    <n v="3"/>
    <x v="0"/>
    <n v="10000"/>
    <n v="65199.999999999993"/>
    <s v="Farah Nabila"/>
    <s v="crowd source"/>
    <x v="0"/>
  </r>
  <r>
    <s v="SHP00957"/>
    <s v="EMP057"/>
    <x v="285"/>
    <d v="2023-10-18T00:00:00"/>
    <x v="6"/>
    <x v="6"/>
    <x v="2"/>
    <x v="1"/>
    <n v="9.7799999999999994"/>
    <s v="&gt;5kg"/>
    <n v="6"/>
    <n v="5"/>
    <x v="0"/>
    <n v="9000"/>
    <n v="88020"/>
    <s v="Galih Pratomo"/>
    <s v="internal"/>
    <x v="0"/>
  </r>
  <r>
    <s v="SHP00958"/>
    <s v="EMP058"/>
    <x v="536"/>
    <d v="2023-07-28T00:00:00"/>
    <x v="7"/>
    <x v="2"/>
    <x v="0"/>
    <x v="1"/>
    <n v="7.65"/>
    <s v="&gt;5kg"/>
    <n v="1"/>
    <n v="3"/>
    <x v="1"/>
    <n v="10000"/>
    <n v="76500"/>
    <s v="Hadi Purnomo"/>
    <s v="crowd source"/>
    <x v="1"/>
  </r>
  <r>
    <s v="SHP00959"/>
    <s v="EMP059"/>
    <x v="513"/>
    <d v="2024-04-03T00:00:00"/>
    <x v="8"/>
    <x v="3"/>
    <x v="1"/>
    <x v="1"/>
    <n v="4.63"/>
    <s v="&lt; 5kg"/>
    <n v="1"/>
    <n v="1"/>
    <x v="1"/>
    <n v="12000"/>
    <n v="55560"/>
    <s v="Ika Lestari"/>
    <s v="internal"/>
    <x v="0"/>
  </r>
  <r>
    <s v="SHP00960"/>
    <s v="EMP060"/>
    <x v="454"/>
    <d v="2024-03-28T00:00:00"/>
    <x v="9"/>
    <x v="0"/>
    <x v="2"/>
    <x v="1"/>
    <n v="6.12"/>
    <s v="&gt;5kg"/>
    <n v="10"/>
    <n v="5"/>
    <x v="0"/>
    <n v="9000"/>
    <n v="55080"/>
    <s v="Jamil Akbar"/>
    <s v="internal"/>
    <x v="1"/>
  </r>
  <r>
    <s v="SHP00961"/>
    <s v="EMP061"/>
    <x v="75"/>
    <d v="2024-01-29T00:00:00"/>
    <x v="0"/>
    <x v="4"/>
    <x v="0"/>
    <x v="0"/>
    <n v="10.45"/>
    <s v="&gt;5kg"/>
    <n v="4"/>
    <n v="3"/>
    <x v="0"/>
    <n v="10000"/>
    <n v="104500"/>
    <s v="Kevin Sanjaya"/>
    <s v="crowd source"/>
    <x v="0"/>
  </r>
  <r>
    <s v="SHP00962"/>
    <s v="EMP062"/>
    <x v="314"/>
    <d v="2023-04-07T00:00:00"/>
    <x v="1"/>
    <x v="7"/>
    <x v="1"/>
    <x v="1"/>
    <n v="6.06"/>
    <s v="&gt;5kg"/>
    <n v="7"/>
    <n v="1"/>
    <x v="0"/>
    <n v="12000"/>
    <n v="72720"/>
    <s v="Laila Nuraini"/>
    <s v="internal"/>
    <x v="0"/>
  </r>
  <r>
    <s v="SHP00963"/>
    <s v="EMP063"/>
    <x v="165"/>
    <d v="2024-04-06T00:00:00"/>
    <x v="2"/>
    <x v="7"/>
    <x v="2"/>
    <x v="0"/>
    <n v="2.91"/>
    <s v="&lt; 5kg"/>
    <n v="0"/>
    <n v="5"/>
    <x v="1"/>
    <n v="9000"/>
    <n v="26190"/>
    <s v="Miko Setiawan"/>
    <s v="crowd source"/>
    <x v="1"/>
  </r>
  <r>
    <s v="SHP00964"/>
    <s v="EMP064"/>
    <x v="416"/>
    <d v="2023-12-21T00:00:00"/>
    <x v="3"/>
    <x v="1"/>
    <x v="0"/>
    <x v="1"/>
    <n v="1.87"/>
    <s v="&lt; 5kg"/>
    <n v="0"/>
    <n v="3"/>
    <x v="1"/>
    <n v="10000"/>
    <n v="18700"/>
    <s v="Nisa Aulia"/>
    <s v="internal"/>
    <x v="0"/>
  </r>
  <r>
    <s v="SHP00965"/>
    <s v="EMP065"/>
    <x v="200"/>
    <d v="2023-06-24T00:00:00"/>
    <x v="4"/>
    <x v="3"/>
    <x v="0"/>
    <x v="0"/>
    <n v="6.01"/>
    <s v="&gt;5kg"/>
    <n v="1"/>
    <n v="3"/>
    <x v="1"/>
    <n v="10000"/>
    <n v="60100"/>
    <s v="Oki Pramono"/>
    <s v="internal"/>
    <x v="1"/>
  </r>
  <r>
    <s v="SHP00966"/>
    <s v="EMP066"/>
    <x v="276"/>
    <d v="2023-12-16T00:00:00"/>
    <x v="5"/>
    <x v="5"/>
    <x v="0"/>
    <x v="1"/>
    <n v="4.28"/>
    <s v="&lt; 5kg"/>
    <n v="3"/>
    <n v="3"/>
    <x v="1"/>
    <n v="10000"/>
    <n v="42800"/>
    <s v="Putra Mahendra"/>
    <s v="crowd source"/>
    <x v="0"/>
  </r>
  <r>
    <s v="SHP00967"/>
    <s v="EMP067"/>
    <x v="474"/>
    <d v="2024-05-21T00:00:00"/>
    <x v="6"/>
    <x v="3"/>
    <x v="0"/>
    <x v="0"/>
    <n v="6.86"/>
    <s v="&gt;5kg"/>
    <n v="4"/>
    <n v="3"/>
    <x v="0"/>
    <n v="10000"/>
    <n v="68600"/>
    <s v="Qolbi Ramadhani"/>
    <s v="internal"/>
    <x v="0"/>
  </r>
  <r>
    <s v="SHP00968"/>
    <s v="EMP068"/>
    <x v="16"/>
    <d v="2023-01-16T00:00:00"/>
    <x v="7"/>
    <x v="5"/>
    <x v="0"/>
    <x v="0"/>
    <n v="1.42"/>
    <s v="&lt; 5kg"/>
    <n v="4"/>
    <n v="3"/>
    <x v="0"/>
    <n v="10000"/>
    <n v="14200"/>
    <s v="Reza Firmansyah"/>
    <s v="crowd source"/>
    <x v="1"/>
  </r>
  <r>
    <s v="SHP00969"/>
    <s v="EMP069"/>
    <x v="338"/>
    <d v="2023-07-09T00:00:00"/>
    <x v="8"/>
    <x v="7"/>
    <x v="0"/>
    <x v="1"/>
    <n v="9.7799999999999994"/>
    <s v="&gt;5kg"/>
    <n v="7"/>
    <n v="3"/>
    <x v="0"/>
    <n v="10000"/>
    <n v="97800"/>
    <s v="Siska Amelia"/>
    <s v="internal"/>
    <x v="0"/>
  </r>
  <r>
    <s v="SHP00970"/>
    <s v="EMP070"/>
    <x v="464"/>
    <d v="2024-05-24T00:00:00"/>
    <x v="9"/>
    <x v="8"/>
    <x v="0"/>
    <x v="0"/>
    <n v="9.99"/>
    <s v="&gt;5kg"/>
    <n v="1"/>
    <n v="3"/>
    <x v="1"/>
    <n v="10000"/>
    <n v="99900"/>
    <s v="Tri Wibowo"/>
    <s v="internal"/>
    <x v="1"/>
  </r>
  <r>
    <s v="SHP00971"/>
    <s v="EMP071"/>
    <x v="254"/>
    <d v="2024-07-28T00:00:00"/>
    <x v="0"/>
    <x v="2"/>
    <x v="0"/>
    <x v="1"/>
    <n v="6.99"/>
    <s v="&gt;5kg"/>
    <n v="4"/>
    <n v="3"/>
    <x v="0"/>
    <n v="10000"/>
    <n v="69900"/>
    <s v="Ubay Prakoso"/>
    <s v="crowd source"/>
    <x v="0"/>
  </r>
  <r>
    <s v="SHP00972"/>
    <s v="EMP072"/>
    <x v="310"/>
    <d v="2024-05-26T00:00:00"/>
    <x v="1"/>
    <x v="1"/>
    <x v="1"/>
    <x v="1"/>
    <n v="4.29"/>
    <s v="&lt; 5kg"/>
    <n v="0"/>
    <n v="1"/>
    <x v="1"/>
    <n v="12000"/>
    <n v="51480"/>
    <s v="Vania Putri"/>
    <s v="internal"/>
    <x v="0"/>
  </r>
  <r>
    <s v="SHP00973"/>
    <s v="EMP073"/>
    <x v="468"/>
    <d v="2024-01-17T00:00:00"/>
    <x v="2"/>
    <x v="7"/>
    <x v="0"/>
    <x v="0"/>
    <n v="1.76"/>
    <s v="&lt; 5kg"/>
    <n v="3"/>
    <n v="3"/>
    <x v="1"/>
    <n v="10000"/>
    <n v="17600"/>
    <s v="Wira Nugraha"/>
    <s v="internal"/>
    <x v="1"/>
  </r>
  <r>
    <s v="SHP00974"/>
    <s v="EMP074"/>
    <x v="409"/>
    <d v="2024-12-30T00:00:00"/>
    <x v="3"/>
    <x v="7"/>
    <x v="0"/>
    <x v="1"/>
    <n v="6.76"/>
    <s v="&gt;5kg"/>
    <n v="2"/>
    <n v="3"/>
    <x v="1"/>
    <n v="10000"/>
    <n v="67600"/>
    <s v="Xaverius Adi"/>
    <s v="crowd source"/>
    <x v="1"/>
  </r>
  <r>
    <s v="SHP00975"/>
    <s v="EMP075"/>
    <x v="101"/>
    <d v="2024-03-28T00:00:00"/>
    <x v="4"/>
    <x v="6"/>
    <x v="0"/>
    <x v="1"/>
    <n v="1.7"/>
    <s v="&lt; 5kg"/>
    <n v="2"/>
    <n v="3"/>
    <x v="1"/>
    <n v="10000"/>
    <n v="17000"/>
    <s v="Yuliana Kartini"/>
    <s v="internal"/>
    <x v="0"/>
  </r>
  <r>
    <s v="SHP00976"/>
    <s v="EMP076"/>
    <x v="41"/>
    <d v="2023-11-29T00:00:00"/>
    <x v="5"/>
    <x v="1"/>
    <x v="1"/>
    <x v="1"/>
    <n v="2.63"/>
    <s v="&lt; 5kg"/>
    <n v="0"/>
    <n v="1"/>
    <x v="1"/>
    <n v="12000"/>
    <n v="31560"/>
    <s v="Zaki Alamsyah"/>
    <s v="internal"/>
    <x v="0"/>
  </r>
  <r>
    <s v="SHP00977"/>
    <s v="EMP077"/>
    <x v="88"/>
    <d v="2024-10-21T00:00:00"/>
    <x v="6"/>
    <x v="2"/>
    <x v="0"/>
    <x v="1"/>
    <n v="7.13"/>
    <s v="&gt;5kg"/>
    <n v="0"/>
    <n v="3"/>
    <x v="1"/>
    <n v="10000"/>
    <n v="71300"/>
    <s v="Arief Setyawan"/>
    <s v="crowd source"/>
    <x v="1"/>
  </r>
  <r>
    <s v="SHP00978"/>
    <s v="EMP078"/>
    <x v="525"/>
    <d v="2024-09-28T00:00:00"/>
    <x v="7"/>
    <x v="1"/>
    <x v="2"/>
    <x v="0"/>
    <n v="9.3699999999999992"/>
    <s v="&gt;5kg"/>
    <n v="4"/>
    <n v="5"/>
    <x v="1"/>
    <n v="9000"/>
    <n v="84330"/>
    <s v="Bunga Cahyani"/>
    <s v="internal"/>
    <x v="0"/>
  </r>
  <r>
    <s v="SHP00979"/>
    <s v="EMP079"/>
    <x v="447"/>
    <d v="2023-02-01T00:00:00"/>
    <x v="8"/>
    <x v="5"/>
    <x v="2"/>
    <x v="0"/>
    <n v="9.61"/>
    <s v="&gt;5kg"/>
    <n v="3"/>
    <n v="5"/>
    <x v="1"/>
    <n v="9000"/>
    <n v="86490"/>
    <s v="Cahyo Prabowo"/>
    <s v="internal"/>
    <x v="1"/>
  </r>
  <r>
    <s v="SHP00980"/>
    <s v="EMP080"/>
    <x v="352"/>
    <d v="2023-08-17T00:00:00"/>
    <x v="9"/>
    <x v="4"/>
    <x v="2"/>
    <x v="0"/>
    <n v="4.71"/>
    <s v="&lt; 5kg"/>
    <n v="3"/>
    <n v="5"/>
    <x v="1"/>
    <n v="9000"/>
    <n v="42390"/>
    <s v="Diah Permata"/>
    <s v="crowd source"/>
    <x v="0"/>
  </r>
  <r>
    <s v="SHP00981"/>
    <s v="EMP081"/>
    <x v="537"/>
    <d v="2024-09-13T00:00:00"/>
    <x v="0"/>
    <x v="1"/>
    <x v="0"/>
    <x v="1"/>
    <n v="2.54"/>
    <s v="&lt; 5kg"/>
    <n v="1"/>
    <n v="3"/>
    <x v="1"/>
    <n v="10000"/>
    <n v="25400"/>
    <s v="Evania Putri"/>
    <s v="internal"/>
    <x v="0"/>
  </r>
  <r>
    <s v="SHP00982"/>
    <s v="EMP082"/>
    <x v="246"/>
    <d v="2024-12-31T00:00:00"/>
    <x v="1"/>
    <x v="9"/>
    <x v="2"/>
    <x v="1"/>
    <n v="1.92"/>
    <s v="&lt; 5kg"/>
    <n v="4"/>
    <n v="5"/>
    <x v="1"/>
    <n v="9000"/>
    <n v="17280"/>
    <s v="Fikri Ramadhan"/>
    <s v="crowd source"/>
    <x v="1"/>
  </r>
  <r>
    <s v="SHP00983"/>
    <s v="EMP083"/>
    <x v="347"/>
    <d v="2023-10-25T00:00:00"/>
    <x v="2"/>
    <x v="3"/>
    <x v="1"/>
    <x v="1"/>
    <n v="2.42"/>
    <s v="&lt; 5kg"/>
    <n v="1"/>
    <n v="1"/>
    <x v="1"/>
    <n v="12000"/>
    <n v="29040"/>
    <s v="Gilang Ramli"/>
    <s v="internal"/>
    <x v="0"/>
  </r>
  <r>
    <s v="SHP00984"/>
    <s v="EMP084"/>
    <x v="352"/>
    <d v="2023-08-18T00:00:00"/>
    <x v="3"/>
    <x v="1"/>
    <x v="0"/>
    <x v="0"/>
    <n v="7.11"/>
    <s v="&gt;5kg"/>
    <n v="4"/>
    <n v="3"/>
    <x v="0"/>
    <n v="10000"/>
    <n v="71100"/>
    <s v="Hana Zahra"/>
    <s v="internal"/>
    <x v="0"/>
  </r>
  <r>
    <s v="SHP00985"/>
    <s v="EMP085"/>
    <x v="220"/>
    <d v="2023-02-01T00:00:00"/>
    <x v="4"/>
    <x v="7"/>
    <x v="0"/>
    <x v="1"/>
    <n v="9.0299999999999994"/>
    <s v="&gt;5kg"/>
    <n v="5"/>
    <n v="3"/>
    <x v="0"/>
    <n v="10000"/>
    <n v="90300"/>
    <s v="Irfan Maulana"/>
    <s v="internal"/>
    <x v="1"/>
  </r>
  <r>
    <s v="SHP00986"/>
    <s v="EMP086"/>
    <x v="485"/>
    <d v="2023-10-31T00:00:00"/>
    <x v="5"/>
    <x v="3"/>
    <x v="1"/>
    <x v="1"/>
    <n v="1.19"/>
    <s v="&lt; 5kg"/>
    <n v="1"/>
    <n v="1"/>
    <x v="1"/>
    <n v="12000"/>
    <n v="14280"/>
    <s v="Jihan Salsabila"/>
    <s v="crowd source"/>
    <x v="0"/>
  </r>
  <r>
    <s v="SHP00987"/>
    <s v="EMP087"/>
    <x v="53"/>
    <d v="2023-05-12T00:00:00"/>
    <x v="6"/>
    <x v="6"/>
    <x v="0"/>
    <x v="0"/>
    <n v="8.66"/>
    <s v="&gt;5kg"/>
    <n v="9"/>
    <n v="3"/>
    <x v="0"/>
    <n v="10000"/>
    <n v="86600"/>
    <s v="Koko Santoso"/>
    <s v="internal"/>
    <x v="0"/>
  </r>
  <r>
    <s v="SHP00988"/>
    <s v="EMP088"/>
    <x v="73"/>
    <d v="2024-12-17T00:00:00"/>
    <x v="7"/>
    <x v="9"/>
    <x v="2"/>
    <x v="0"/>
    <n v="8.3000000000000007"/>
    <s v="&gt;5kg"/>
    <n v="1"/>
    <n v="5"/>
    <x v="1"/>
    <n v="9000"/>
    <n v="74700"/>
    <s v="Luthfi Hakim"/>
    <s v="crowd source"/>
    <x v="1"/>
  </r>
  <r>
    <s v="SHP00989"/>
    <s v="EMP089"/>
    <x v="19"/>
    <d v="2023-08-09T00:00:00"/>
    <x v="8"/>
    <x v="8"/>
    <x v="0"/>
    <x v="0"/>
    <n v="7.62"/>
    <s v="&gt;5kg"/>
    <n v="10"/>
    <n v="3"/>
    <x v="0"/>
    <n v="10000"/>
    <n v="76200"/>
    <s v="Melati Anggraini"/>
    <s v="internal"/>
    <x v="0"/>
  </r>
  <r>
    <s v="SHP00990"/>
    <s v="EMP090"/>
    <x v="264"/>
    <d v="2023-10-20T00:00:00"/>
    <x v="9"/>
    <x v="6"/>
    <x v="1"/>
    <x v="0"/>
    <n v="4.2699999999999996"/>
    <s v="&lt; 5kg"/>
    <n v="7"/>
    <n v="1"/>
    <x v="0"/>
    <n v="12000"/>
    <n v="51239.999999999993"/>
    <s v="Naufal Rizky"/>
    <s v="internal"/>
    <x v="1"/>
  </r>
  <r>
    <s v="SHP00991"/>
    <s v="EMP091"/>
    <x v="538"/>
    <d v="2024-04-19T00:00:00"/>
    <x v="0"/>
    <x v="1"/>
    <x v="0"/>
    <x v="1"/>
    <n v="4.83"/>
    <s v="&lt; 5kg"/>
    <n v="3"/>
    <n v="3"/>
    <x v="1"/>
    <n v="10000"/>
    <n v="48300"/>
    <s v="Olin Febriani"/>
    <s v="crowd source"/>
    <x v="0"/>
  </r>
  <r>
    <s v="SHP00992"/>
    <s v="EMP092"/>
    <x v="539"/>
    <d v="2024-12-14T00:00:00"/>
    <x v="1"/>
    <x v="7"/>
    <x v="0"/>
    <x v="1"/>
    <n v="10.11"/>
    <s v="&gt;5kg"/>
    <n v="2"/>
    <n v="3"/>
    <x v="1"/>
    <n v="10000"/>
    <n v="101100"/>
    <s v="Praditya Wicaksono"/>
    <s v="internal"/>
    <x v="1"/>
  </r>
  <r>
    <s v="SHP00993"/>
    <s v="EMP093"/>
    <x v="175"/>
    <d v="2023-01-06T00:00:00"/>
    <x v="2"/>
    <x v="6"/>
    <x v="0"/>
    <x v="1"/>
    <n v="8.5299999999999994"/>
    <s v="&gt;5kg"/>
    <n v="4"/>
    <n v="3"/>
    <x v="0"/>
    <n v="10000"/>
    <n v="85300"/>
    <s v="Qory Azzahra"/>
    <s v="internal"/>
    <x v="0"/>
  </r>
  <r>
    <s v="SHP00994"/>
    <s v="EMP094"/>
    <x v="315"/>
    <d v="2023-04-15T00:00:00"/>
    <x v="3"/>
    <x v="9"/>
    <x v="2"/>
    <x v="0"/>
    <n v="5.39"/>
    <s v="&gt;5kg"/>
    <n v="5"/>
    <n v="5"/>
    <x v="1"/>
    <n v="9000"/>
    <n v="48510"/>
    <s v="Rendi Saputra"/>
    <s v="crowd source"/>
    <x v="1"/>
  </r>
  <r>
    <s v="SHP00995"/>
    <s v="EMP095"/>
    <x v="275"/>
    <d v="2023-07-20T00:00:00"/>
    <x v="4"/>
    <x v="1"/>
    <x v="0"/>
    <x v="0"/>
    <n v="3.7"/>
    <s v="&lt; 5kg"/>
    <n v="0"/>
    <n v="3"/>
    <x v="1"/>
    <n v="10000"/>
    <n v="37000"/>
    <s v="Salma Nuraini"/>
    <s v="internal"/>
    <x v="0"/>
  </r>
  <r>
    <s v="SHP00996"/>
    <s v="EMP096"/>
    <x v="540"/>
    <d v="2024-07-07T00:00:00"/>
    <x v="5"/>
    <x v="7"/>
    <x v="1"/>
    <x v="0"/>
    <n v="6.58"/>
    <s v="&gt;5kg"/>
    <n v="7"/>
    <n v="1"/>
    <x v="0"/>
    <n v="12000"/>
    <n v="78960"/>
    <s v="Tegar Prakoso"/>
    <s v="internal"/>
    <x v="1"/>
  </r>
  <r>
    <s v="SHP00997"/>
    <s v="EMP097"/>
    <x v="395"/>
    <d v="2023-03-12T00:00:00"/>
    <x v="6"/>
    <x v="0"/>
    <x v="1"/>
    <x v="0"/>
    <n v="8.24"/>
    <s v="&gt;5kg"/>
    <n v="4"/>
    <n v="1"/>
    <x v="0"/>
    <n v="12000"/>
    <n v="98880"/>
    <s v="Ulfa Khairunnisa"/>
    <s v="crowd source"/>
    <x v="0"/>
  </r>
  <r>
    <s v="SHP00998"/>
    <s v="EMP098"/>
    <x v="293"/>
    <d v="2024-10-03T00:00:00"/>
    <x v="7"/>
    <x v="2"/>
    <x v="1"/>
    <x v="1"/>
    <n v="3.24"/>
    <s v="&lt; 5kg"/>
    <n v="0"/>
    <n v="1"/>
    <x v="1"/>
    <n v="12000"/>
    <n v="38880"/>
    <s v="Vito Mahendra"/>
    <s v="internal"/>
    <x v="0"/>
  </r>
  <r>
    <s v="SHP00999"/>
    <s v="EMP099"/>
    <x v="147"/>
    <d v="2023-07-27T00:00:00"/>
    <x v="8"/>
    <x v="0"/>
    <x v="2"/>
    <x v="0"/>
    <n v="6.52"/>
    <s v="&gt;5kg"/>
    <n v="4"/>
    <n v="5"/>
    <x v="1"/>
    <n v="9000"/>
    <n v="58679.999999999993"/>
    <s v="Winda Sari"/>
    <s v="internal"/>
    <x v="0"/>
  </r>
  <r>
    <s v="SHP01000"/>
    <s v="EMP100"/>
    <x v="541"/>
    <d v="2024-01-22T00:00:00"/>
    <x v="9"/>
    <x v="1"/>
    <x v="1"/>
    <x v="0"/>
    <n v="2.12"/>
    <s v="&lt; 5kg"/>
    <n v="0"/>
    <n v="1"/>
    <x v="1"/>
    <n v="12000"/>
    <n v="25440"/>
    <s v="Yusuf Al Ghazali"/>
    <s v="crowd source"/>
    <x v="1"/>
  </r>
  <r>
    <s v="SHP01001"/>
    <s v="EMP001"/>
    <x v="309"/>
    <d v="2023-03-27T00:00:00"/>
    <x v="0"/>
    <x v="9"/>
    <x v="2"/>
    <x v="0"/>
    <n v="5.92"/>
    <s v="&gt;5kg"/>
    <n v="8"/>
    <n v="5"/>
    <x v="0"/>
    <n v="9000"/>
    <n v="53280"/>
    <s v="Andi Pratama"/>
    <s v="internal"/>
    <x v="0"/>
  </r>
  <r>
    <s v="SHP01002"/>
    <s v="EMP002"/>
    <x v="542"/>
    <d v="2023-10-07T00:00:00"/>
    <x v="1"/>
    <x v="2"/>
    <x v="0"/>
    <x v="1"/>
    <n v="6.09"/>
    <s v="&gt;5kg"/>
    <n v="0"/>
    <n v="3"/>
    <x v="1"/>
    <n v="10000"/>
    <n v="60900"/>
    <s v="Budi Santoso"/>
    <s v="internal"/>
    <x v="1"/>
  </r>
  <r>
    <s v="SHP01003"/>
    <s v="EMP003"/>
    <x v="31"/>
    <d v="2024-04-17T00:00:00"/>
    <x v="2"/>
    <x v="2"/>
    <x v="2"/>
    <x v="1"/>
    <n v="5.6"/>
    <s v="&gt;5kg"/>
    <n v="4"/>
    <n v="5"/>
    <x v="1"/>
    <n v="9000"/>
    <n v="50400"/>
    <s v="Citra Lestari"/>
    <s v="crowd source"/>
    <x v="0"/>
  </r>
  <r>
    <s v="SHP01004"/>
    <s v="EMP004"/>
    <x v="543"/>
    <d v="2024-02-09T00:00:00"/>
    <x v="3"/>
    <x v="4"/>
    <x v="2"/>
    <x v="0"/>
    <n v="6.73"/>
    <s v="&gt;5kg"/>
    <n v="2"/>
    <n v="5"/>
    <x v="1"/>
    <n v="9000"/>
    <n v="60570.000000000007"/>
    <s v="Dedi Saputra"/>
    <s v="crowd source"/>
    <x v="1"/>
  </r>
  <r>
    <s v="SHP01005"/>
    <s v="EMP005"/>
    <x v="260"/>
    <d v="2024-11-30T00:00:00"/>
    <x v="4"/>
    <x v="5"/>
    <x v="2"/>
    <x v="1"/>
    <n v="4.53"/>
    <s v="&lt; 5kg"/>
    <n v="4"/>
    <n v="5"/>
    <x v="1"/>
    <n v="9000"/>
    <n v="40770"/>
    <s v="Eko Nugroho"/>
    <s v="internal"/>
    <x v="0"/>
  </r>
  <r>
    <s v="SHP01006"/>
    <s v="EMP006"/>
    <x v="306"/>
    <d v="2023-03-14T00:00:00"/>
    <x v="5"/>
    <x v="7"/>
    <x v="0"/>
    <x v="0"/>
    <n v="10.37"/>
    <s v="&gt;5kg"/>
    <n v="9"/>
    <n v="3"/>
    <x v="0"/>
    <n v="10000"/>
    <n v="103699.99999999999"/>
    <s v="Fajar Hidayat"/>
    <s v="internal"/>
    <x v="1"/>
  </r>
  <r>
    <s v="SHP01007"/>
    <s v="EMP007"/>
    <x v="395"/>
    <d v="2023-03-12T00:00:00"/>
    <x v="6"/>
    <x v="2"/>
    <x v="0"/>
    <x v="1"/>
    <n v="5.08"/>
    <s v="&gt;5kg"/>
    <n v="4"/>
    <n v="3"/>
    <x v="0"/>
    <n v="10000"/>
    <n v="50800"/>
    <s v="Gita Rahmawati"/>
    <s v="crowd source"/>
    <x v="0"/>
  </r>
  <r>
    <s v="SHP01008"/>
    <s v="EMP008"/>
    <x v="544"/>
    <d v="2024-07-25T00:00:00"/>
    <x v="7"/>
    <x v="2"/>
    <x v="0"/>
    <x v="1"/>
    <n v="10.27"/>
    <s v="&gt;5kg"/>
    <n v="0"/>
    <n v="3"/>
    <x v="1"/>
    <n v="10000"/>
    <n v="102700"/>
    <s v="Hendra Wijaya"/>
    <s v="internal"/>
    <x v="1"/>
  </r>
  <r>
    <s v="SHP01009"/>
    <s v="EMP009"/>
    <x v="152"/>
    <d v="2023-02-23T00:00:00"/>
    <x v="8"/>
    <x v="5"/>
    <x v="1"/>
    <x v="1"/>
    <n v="1.44"/>
    <s v="&lt; 5kg"/>
    <n v="2"/>
    <n v="1"/>
    <x v="0"/>
    <n v="12000"/>
    <n v="17280"/>
    <s v="Indah Permata"/>
    <s v="crowd source"/>
    <x v="0"/>
  </r>
  <r>
    <s v="SHP01010"/>
    <s v="EMP010"/>
    <x v="535"/>
    <d v="2023-09-28T00:00:00"/>
    <x v="9"/>
    <x v="6"/>
    <x v="0"/>
    <x v="1"/>
    <n v="8.24"/>
    <s v="&gt;5kg"/>
    <n v="3"/>
    <n v="3"/>
    <x v="1"/>
    <n v="10000"/>
    <n v="82400"/>
    <s v="Joko Susilo"/>
    <s v="internal"/>
    <x v="1"/>
  </r>
  <r>
    <s v="SHP01011"/>
    <s v="EMP011"/>
    <x v="70"/>
    <d v="2023-09-25T00:00:00"/>
    <x v="0"/>
    <x v="6"/>
    <x v="2"/>
    <x v="0"/>
    <n v="3.68"/>
    <s v="&lt; 5kg"/>
    <n v="4"/>
    <n v="5"/>
    <x v="1"/>
    <n v="9000"/>
    <n v="33120"/>
    <s v="Kurniawan Putra"/>
    <s v="crowd source"/>
    <x v="1"/>
  </r>
  <r>
    <s v="SHP01012"/>
    <s v="EMP012"/>
    <x v="21"/>
    <d v="2024-04-25T00:00:00"/>
    <x v="1"/>
    <x v="3"/>
    <x v="0"/>
    <x v="0"/>
    <n v="8.25"/>
    <s v="&gt;5kg"/>
    <n v="4"/>
    <n v="3"/>
    <x v="0"/>
    <n v="10000"/>
    <n v="82500"/>
    <s v="Lina Marlina"/>
    <s v="internal"/>
    <x v="0"/>
  </r>
  <r>
    <s v="SHP01013"/>
    <s v="EMP013"/>
    <x v="178"/>
    <d v="2024-07-26T00:00:00"/>
    <x v="2"/>
    <x v="6"/>
    <x v="1"/>
    <x v="1"/>
    <n v="10.06"/>
    <s v="&gt;5kg"/>
    <n v="3"/>
    <n v="1"/>
    <x v="0"/>
    <n v="12000"/>
    <n v="120720"/>
    <s v="Rizky Ananda"/>
    <s v="crowd source"/>
    <x v="0"/>
  </r>
  <r>
    <s v="SHP01014"/>
    <s v="EMP014"/>
    <x v="545"/>
    <d v="2023-07-12T00:00:00"/>
    <x v="3"/>
    <x v="4"/>
    <x v="0"/>
    <x v="0"/>
    <n v="6.69"/>
    <s v="&gt;5kg"/>
    <n v="2"/>
    <n v="3"/>
    <x v="1"/>
    <n v="10000"/>
    <n v="66900"/>
    <s v="Nanda Prakoso"/>
    <s v="internal"/>
    <x v="1"/>
  </r>
  <r>
    <s v="SHP01015"/>
    <s v="EMP015"/>
    <x v="120"/>
    <d v="2023-01-21T00:00:00"/>
    <x v="4"/>
    <x v="9"/>
    <x v="2"/>
    <x v="1"/>
    <n v="3.68"/>
    <s v="&lt; 5kg"/>
    <n v="8"/>
    <n v="5"/>
    <x v="0"/>
    <n v="9000"/>
    <n v="33120"/>
    <s v="Oktavian Yusuf"/>
    <s v="crowd source"/>
    <x v="1"/>
  </r>
  <r>
    <s v="SHP01016"/>
    <s v="EMP016"/>
    <x v="16"/>
    <d v="2023-01-12T00:00:00"/>
    <x v="5"/>
    <x v="3"/>
    <x v="0"/>
    <x v="1"/>
    <n v="0.66"/>
    <s v="&lt; 5kg"/>
    <n v="0"/>
    <n v="3"/>
    <x v="1"/>
    <n v="10000"/>
    <n v="6600"/>
    <s v="Putri Ayu Lestari"/>
    <s v="internal"/>
    <x v="0"/>
  </r>
  <r>
    <s v="SHP01017"/>
    <s v="EMP017"/>
    <x v="483"/>
    <d v="2023-10-03T00:00:00"/>
    <x v="6"/>
    <x v="9"/>
    <x v="1"/>
    <x v="1"/>
    <n v="9.98"/>
    <s v="&gt;5kg"/>
    <n v="5"/>
    <n v="1"/>
    <x v="0"/>
    <n v="12000"/>
    <n v="119760"/>
    <s v="Rafi Maulana"/>
    <s v="internal"/>
    <x v="0"/>
  </r>
  <r>
    <s v="SHP01018"/>
    <s v="EMP018"/>
    <x v="310"/>
    <d v="2024-05-30T00:00:00"/>
    <x v="7"/>
    <x v="6"/>
    <x v="0"/>
    <x v="1"/>
    <n v="5.48"/>
    <s v="&gt;5kg"/>
    <n v="4"/>
    <n v="3"/>
    <x v="0"/>
    <n v="10000"/>
    <n v="54800.000000000007"/>
    <s v="Sari Puspita"/>
    <s v="crowd source"/>
    <x v="0"/>
  </r>
  <r>
    <s v="SHP01019"/>
    <s v="EMP019"/>
    <x v="399"/>
    <d v="2024-03-13T00:00:00"/>
    <x v="8"/>
    <x v="3"/>
    <x v="1"/>
    <x v="1"/>
    <n v="10.41"/>
    <s v="&gt;5kg"/>
    <n v="1"/>
    <n v="1"/>
    <x v="1"/>
    <n v="12000"/>
    <n v="124920"/>
    <s v="Teguh Wibowo"/>
    <s v="internal"/>
    <x v="1"/>
  </r>
  <r>
    <s v="SHP01020"/>
    <s v="EMP020"/>
    <x v="546"/>
    <d v="2024-05-01T00:00:00"/>
    <x v="9"/>
    <x v="1"/>
    <x v="0"/>
    <x v="0"/>
    <n v="10.039999999999999"/>
    <s v="&gt;5kg"/>
    <n v="4"/>
    <n v="3"/>
    <x v="0"/>
    <n v="10000"/>
    <n v="100399.99999999999"/>
    <s v="Umi Kalsum"/>
    <s v="crowd source"/>
    <x v="0"/>
  </r>
  <r>
    <s v="SHP01021"/>
    <s v="EMP021"/>
    <x v="339"/>
    <d v="2023-09-09T00:00:00"/>
    <x v="0"/>
    <x v="6"/>
    <x v="0"/>
    <x v="0"/>
    <n v="5.37"/>
    <s v="&gt;5kg"/>
    <n v="4"/>
    <n v="3"/>
    <x v="0"/>
    <n v="10000"/>
    <n v="53700"/>
    <s v="Vina Oktaviani"/>
    <s v="internal"/>
    <x v="0"/>
  </r>
  <r>
    <s v="SHP01022"/>
    <s v="EMP022"/>
    <x v="330"/>
    <d v="2023-03-28T00:00:00"/>
    <x v="1"/>
    <x v="1"/>
    <x v="1"/>
    <x v="0"/>
    <n v="8.34"/>
    <s v="&gt;5kg"/>
    <n v="1"/>
    <n v="1"/>
    <x v="1"/>
    <n v="12000"/>
    <n v="100080"/>
    <s v="Wahyu Setiawan"/>
    <s v="crowd source"/>
    <x v="1"/>
  </r>
  <r>
    <s v="SHP01023"/>
    <s v="EMP023"/>
    <x v="165"/>
    <d v="2024-04-10T00:00:00"/>
    <x v="2"/>
    <x v="0"/>
    <x v="2"/>
    <x v="0"/>
    <n v="2.62"/>
    <s v="&lt; 5kg"/>
    <n v="4"/>
    <n v="5"/>
    <x v="1"/>
    <n v="9000"/>
    <n v="23580"/>
    <s v="Yogi Firmansyah"/>
    <s v="internal"/>
    <x v="1"/>
  </r>
  <r>
    <s v="SHP01024"/>
    <s v="EMP024"/>
    <x v="547"/>
    <d v="2023-07-07T00:00:00"/>
    <x v="3"/>
    <x v="8"/>
    <x v="0"/>
    <x v="1"/>
    <n v="7.19"/>
    <s v="&gt;5kg"/>
    <n v="10"/>
    <n v="3"/>
    <x v="0"/>
    <n v="10000"/>
    <n v="71900"/>
    <s v="Zainal Abidin"/>
    <s v="crowd source"/>
    <x v="1"/>
  </r>
  <r>
    <s v="SHP01025"/>
    <s v="EMP025"/>
    <x v="548"/>
    <d v="2024-06-08T00:00:00"/>
    <x v="4"/>
    <x v="5"/>
    <x v="1"/>
    <x v="0"/>
    <n v="6.37"/>
    <s v="&gt;5kg"/>
    <n v="10"/>
    <n v="1"/>
    <x v="0"/>
    <n v="12000"/>
    <n v="76440"/>
    <s v="Ahmad Fauzi"/>
    <s v="internal"/>
    <x v="0"/>
  </r>
  <r>
    <s v="SHP01026"/>
    <s v="EMP026"/>
    <x v="71"/>
    <d v="2023-04-07T00:00:00"/>
    <x v="5"/>
    <x v="8"/>
    <x v="2"/>
    <x v="1"/>
    <n v="4.83"/>
    <s v="&lt; 5kg"/>
    <n v="1"/>
    <n v="5"/>
    <x v="1"/>
    <n v="9000"/>
    <n v="43470"/>
    <s v="Bayu Ramadhan"/>
    <s v="crowd source"/>
    <x v="0"/>
  </r>
  <r>
    <s v="SHP01027"/>
    <s v="EMP027"/>
    <x v="549"/>
    <d v="2024-07-10T00:00:00"/>
    <x v="6"/>
    <x v="3"/>
    <x v="1"/>
    <x v="1"/>
    <n v="10.17"/>
    <s v="&gt;5kg"/>
    <n v="4"/>
    <n v="1"/>
    <x v="0"/>
    <n v="12000"/>
    <n v="122040"/>
    <s v="Cindy Oktavia"/>
    <s v="internal"/>
    <x v="0"/>
  </r>
  <r>
    <s v="SHP01028"/>
    <s v="EMP028"/>
    <x v="345"/>
    <d v="2024-06-25T00:00:00"/>
    <x v="7"/>
    <x v="5"/>
    <x v="0"/>
    <x v="1"/>
    <n v="6.61"/>
    <s v="&gt;5kg"/>
    <n v="7"/>
    <n v="3"/>
    <x v="0"/>
    <n v="10000"/>
    <n v="66100"/>
    <s v="Dian Pramudya"/>
    <s v="crowd source"/>
    <x v="1"/>
  </r>
  <r>
    <s v="SHP01029"/>
    <s v="EMP029"/>
    <x v="200"/>
    <d v="2023-06-24T00:00:00"/>
    <x v="8"/>
    <x v="1"/>
    <x v="1"/>
    <x v="0"/>
    <n v="4.1399999999999997"/>
    <s v="&lt; 5kg"/>
    <n v="1"/>
    <n v="1"/>
    <x v="1"/>
    <n v="12000"/>
    <n v="49679.999999999993"/>
    <s v="Erwin Kurniawan"/>
    <s v="internal"/>
    <x v="1"/>
  </r>
  <r>
    <s v="SHP01030"/>
    <s v="EMP030"/>
    <x v="10"/>
    <d v="2023-05-18T00:00:00"/>
    <x v="9"/>
    <x v="8"/>
    <x v="0"/>
    <x v="1"/>
    <n v="2.79"/>
    <s v="&lt; 5kg"/>
    <n v="3"/>
    <n v="3"/>
    <x v="1"/>
    <n v="10000"/>
    <n v="27900"/>
    <s v="Fitri Handayani"/>
    <s v="crowd source"/>
    <x v="0"/>
  </r>
  <r>
    <s v="SHP01031"/>
    <s v="EMP031"/>
    <x v="71"/>
    <d v="2023-04-17T00:00:00"/>
    <x v="0"/>
    <x v="6"/>
    <x v="2"/>
    <x v="1"/>
    <n v="2.95"/>
    <s v="&lt; 5kg"/>
    <n v="11"/>
    <n v="5"/>
    <x v="0"/>
    <n v="9000"/>
    <n v="26550"/>
    <s v="Gilang Saputra"/>
    <s v="internal"/>
    <x v="0"/>
  </r>
  <r>
    <s v="SHP01032"/>
    <s v="EMP032"/>
    <x v="484"/>
    <d v="2024-02-20T00:00:00"/>
    <x v="1"/>
    <x v="1"/>
    <x v="0"/>
    <x v="0"/>
    <n v="0.74"/>
    <s v="&lt; 5kg"/>
    <n v="1"/>
    <n v="3"/>
    <x v="1"/>
    <n v="10000"/>
    <n v="7400"/>
    <s v="Hariyanto"/>
    <s v="crowd source"/>
    <x v="1"/>
  </r>
  <r>
    <s v="SHP01033"/>
    <s v="EMP033"/>
    <x v="550"/>
    <d v="2023-04-26T00:00:00"/>
    <x v="2"/>
    <x v="2"/>
    <x v="1"/>
    <x v="0"/>
    <n v="0.79"/>
    <s v="&lt; 5kg"/>
    <n v="0"/>
    <n v="1"/>
    <x v="1"/>
    <n v="12000"/>
    <n v="9480"/>
    <s v="Intan Maharani"/>
    <s v="internal"/>
    <x v="0"/>
  </r>
  <r>
    <s v="SHP01034"/>
    <s v="EMP034"/>
    <x v="194"/>
    <d v="2024-03-18T00:00:00"/>
    <x v="3"/>
    <x v="8"/>
    <x v="0"/>
    <x v="1"/>
    <n v="8.01"/>
    <s v="&gt;5kg"/>
    <n v="9"/>
    <n v="3"/>
    <x v="0"/>
    <n v="10000"/>
    <n v="80100"/>
    <s v="Jefri Alamsyah"/>
    <s v="internal"/>
    <x v="1"/>
  </r>
  <r>
    <s v="SHP01035"/>
    <s v="EMP035"/>
    <x v="325"/>
    <d v="2024-02-26T00:00:00"/>
    <x v="4"/>
    <x v="8"/>
    <x v="0"/>
    <x v="0"/>
    <n v="1.85"/>
    <s v="&lt; 5kg"/>
    <n v="10"/>
    <n v="3"/>
    <x v="0"/>
    <n v="10000"/>
    <n v="18500"/>
    <s v="Kartika Sari"/>
    <s v="crowd source"/>
    <x v="0"/>
  </r>
  <r>
    <s v="SHP01036"/>
    <s v="EMP036"/>
    <x v="551"/>
    <d v="2023-06-11T00:00:00"/>
    <x v="5"/>
    <x v="8"/>
    <x v="0"/>
    <x v="1"/>
    <n v="6.59"/>
    <s v="&gt;5kg"/>
    <n v="6"/>
    <n v="3"/>
    <x v="0"/>
    <n v="10000"/>
    <n v="65900"/>
    <s v="Lukman Hakim"/>
    <s v="internal"/>
    <x v="1"/>
  </r>
  <r>
    <s v="SHP01037"/>
    <s v="EMP037"/>
    <x v="358"/>
    <d v="2024-05-29T00:00:00"/>
    <x v="6"/>
    <x v="6"/>
    <x v="0"/>
    <x v="0"/>
    <n v="7.24"/>
    <s v="&gt;5kg"/>
    <n v="8"/>
    <n v="3"/>
    <x v="0"/>
    <n v="10000"/>
    <n v="72400"/>
    <s v="Mega Puspitasari"/>
    <s v="internal"/>
    <x v="0"/>
  </r>
  <r>
    <s v="SHP01038"/>
    <s v="EMP038"/>
    <x v="340"/>
    <d v="2023-10-21T00:00:00"/>
    <x v="7"/>
    <x v="0"/>
    <x v="2"/>
    <x v="0"/>
    <n v="8.49"/>
    <s v="&gt;5kg"/>
    <n v="4"/>
    <n v="5"/>
    <x v="1"/>
    <n v="9000"/>
    <n v="76410"/>
    <s v="Niko Prasetyo"/>
    <s v="crowd source"/>
    <x v="1"/>
  </r>
  <r>
    <s v="SHP01039"/>
    <s v="EMP039"/>
    <x v="292"/>
    <d v="2024-12-12T00:00:00"/>
    <x v="8"/>
    <x v="7"/>
    <x v="1"/>
    <x v="0"/>
    <n v="8.5500000000000007"/>
    <s v="&gt;5kg"/>
    <n v="4"/>
    <n v="1"/>
    <x v="0"/>
    <n v="12000"/>
    <n v="102600.00000000001"/>
    <s v="Olivia Putri"/>
    <s v="internal"/>
    <x v="0"/>
  </r>
  <r>
    <s v="SHP01040"/>
    <s v="EMP040"/>
    <x v="417"/>
    <d v="2023-10-24T00:00:00"/>
    <x v="9"/>
    <x v="2"/>
    <x v="1"/>
    <x v="0"/>
    <n v="8.82"/>
    <s v="&gt;5kg"/>
    <n v="1"/>
    <n v="1"/>
    <x v="1"/>
    <n v="12000"/>
    <n v="105840"/>
    <s v="Prasetyo Utomo"/>
    <s v="internal"/>
    <x v="1"/>
  </r>
  <r>
    <s v="SHP01041"/>
    <s v="EMP041"/>
    <x v="552"/>
    <d v="2023-08-05T00:00:00"/>
    <x v="0"/>
    <x v="3"/>
    <x v="1"/>
    <x v="1"/>
    <n v="8.6199999999999992"/>
    <s v="&gt;5kg"/>
    <n v="4"/>
    <n v="1"/>
    <x v="0"/>
    <n v="12000"/>
    <n v="103439.99999999999"/>
    <s v="Qori Annisa"/>
    <s v="crowd source"/>
    <x v="0"/>
  </r>
  <r>
    <s v="SHP01042"/>
    <s v="EMP042"/>
    <x v="60"/>
    <d v="2023-08-03T00:00:00"/>
    <x v="1"/>
    <x v="3"/>
    <x v="0"/>
    <x v="0"/>
    <n v="7.3"/>
    <s v="&gt;5kg"/>
    <n v="1"/>
    <n v="3"/>
    <x v="1"/>
    <n v="10000"/>
    <n v="73000"/>
    <s v="Rangga Saptonugroho"/>
    <s v="crowd source"/>
    <x v="1"/>
  </r>
  <r>
    <s v="SHP01043"/>
    <s v="EMP043"/>
    <x v="404"/>
    <d v="2023-02-02T00:00:00"/>
    <x v="2"/>
    <x v="9"/>
    <x v="0"/>
    <x v="0"/>
    <n v="4.3899999999999997"/>
    <s v="&lt; 5kg"/>
    <n v="5"/>
    <n v="3"/>
    <x v="0"/>
    <n v="10000"/>
    <n v="43900"/>
    <s v="Sinta Dewi"/>
    <s v="internal"/>
    <x v="0"/>
  </r>
  <r>
    <s v="SHP01044"/>
    <s v="EMP044"/>
    <x v="438"/>
    <d v="2023-04-02T00:00:00"/>
    <x v="3"/>
    <x v="4"/>
    <x v="0"/>
    <x v="0"/>
    <n v="6.14"/>
    <s v="&gt;5kg"/>
    <n v="11"/>
    <n v="3"/>
    <x v="0"/>
    <n v="10000"/>
    <n v="61400"/>
    <s v="Taufik Hidayat"/>
    <s v="internal"/>
    <x v="1"/>
  </r>
  <r>
    <s v="SHP01045"/>
    <s v="EMP045"/>
    <x v="383"/>
    <d v="2023-08-12T00:00:00"/>
    <x v="4"/>
    <x v="1"/>
    <x v="0"/>
    <x v="1"/>
    <n v="4.04"/>
    <s v="&lt; 5kg"/>
    <n v="1"/>
    <n v="3"/>
    <x v="1"/>
    <n v="10000"/>
    <n v="40400"/>
    <s v="Usman Ali"/>
    <s v="crowd source"/>
    <x v="0"/>
  </r>
  <r>
    <s v="SHP01046"/>
    <s v="EMP046"/>
    <x v="423"/>
    <d v="2024-09-27T00:00:00"/>
    <x v="5"/>
    <x v="5"/>
    <x v="1"/>
    <x v="0"/>
    <n v="4.25"/>
    <s v="&lt; 5kg"/>
    <n v="7"/>
    <n v="1"/>
    <x v="0"/>
    <n v="12000"/>
    <n v="51000"/>
    <s v="Vivi Lestari"/>
    <s v="internal"/>
    <x v="0"/>
  </r>
  <r>
    <s v="SHP01047"/>
    <s v="EMP047"/>
    <x v="382"/>
    <d v="2024-01-06T00:00:00"/>
    <x v="6"/>
    <x v="4"/>
    <x v="2"/>
    <x v="0"/>
    <n v="9.3699999999999992"/>
    <s v="&gt;5kg"/>
    <n v="8"/>
    <n v="5"/>
    <x v="0"/>
    <n v="9000"/>
    <n v="84330"/>
    <s v="Wawan Setiabudi"/>
    <s v="internal"/>
    <x v="1"/>
  </r>
  <r>
    <s v="SHP01048"/>
    <s v="EMP048"/>
    <x v="514"/>
    <d v="2024-07-24T00:00:00"/>
    <x v="7"/>
    <x v="0"/>
    <x v="0"/>
    <x v="0"/>
    <n v="1.71"/>
    <s v="&lt; 5kg"/>
    <n v="4"/>
    <n v="3"/>
    <x v="0"/>
    <n v="10000"/>
    <n v="17100"/>
    <s v="Xenia Maharani"/>
    <s v="crowd source"/>
    <x v="0"/>
  </r>
  <r>
    <s v="SHP01049"/>
    <s v="EMP049"/>
    <x v="553"/>
    <d v="2024-05-19T00:00:00"/>
    <x v="8"/>
    <x v="7"/>
    <x v="0"/>
    <x v="0"/>
    <n v="6.27"/>
    <s v="&gt;5kg"/>
    <n v="5"/>
    <n v="3"/>
    <x v="0"/>
    <n v="10000"/>
    <n v="62699.999999999993"/>
    <s v="Yoga Pradana"/>
    <s v="internal"/>
    <x v="0"/>
  </r>
  <r>
    <s v="SHP01050"/>
    <s v="EMP050"/>
    <x v="168"/>
    <d v="2023-05-02T00:00:00"/>
    <x v="9"/>
    <x v="7"/>
    <x v="0"/>
    <x v="0"/>
    <n v="6.09"/>
    <s v="&gt;5kg"/>
    <n v="2"/>
    <n v="3"/>
    <x v="1"/>
    <n v="10000"/>
    <n v="60900"/>
    <s v="Zulfikar Ramadhan"/>
    <s v="crowd source"/>
    <x v="1"/>
  </r>
  <r>
    <s v="SHP01051"/>
    <s v="EMP051"/>
    <x v="120"/>
    <d v="2023-01-17T00:00:00"/>
    <x v="0"/>
    <x v="2"/>
    <x v="0"/>
    <x v="1"/>
    <n v="9.8800000000000008"/>
    <s v="&gt;5kg"/>
    <n v="4"/>
    <n v="3"/>
    <x v="0"/>
    <n v="10000"/>
    <n v="98800.000000000015"/>
    <s v="Aditya Saputra"/>
    <s v="internal"/>
    <x v="0"/>
  </r>
  <r>
    <s v="SHP01052"/>
    <s v="EMP052"/>
    <x v="554"/>
    <d v="2024-10-09T00:00:00"/>
    <x v="1"/>
    <x v="1"/>
    <x v="1"/>
    <x v="0"/>
    <n v="4.24"/>
    <s v="&lt; 5kg"/>
    <n v="1"/>
    <n v="1"/>
    <x v="1"/>
    <n v="12000"/>
    <n v="50880"/>
    <s v="Bella Oktaviani"/>
    <s v="internal"/>
    <x v="0"/>
  </r>
  <r>
    <s v="SHP01053"/>
    <s v="EMP053"/>
    <x v="175"/>
    <d v="2023-01-03T00:00:00"/>
    <x v="2"/>
    <x v="6"/>
    <x v="2"/>
    <x v="0"/>
    <n v="10.44"/>
    <s v="&gt;5kg"/>
    <n v="1"/>
    <n v="5"/>
    <x v="1"/>
    <n v="9000"/>
    <n v="93960"/>
    <s v="Chandra Wijaya"/>
    <s v="crowd source"/>
    <x v="1"/>
  </r>
  <r>
    <s v="SHP01054"/>
    <s v="EMP054"/>
    <x v="67"/>
    <d v="2024-02-04T00:00:00"/>
    <x v="3"/>
    <x v="3"/>
    <x v="0"/>
    <x v="1"/>
    <n v="9.34"/>
    <s v="&gt;5kg"/>
    <n v="4"/>
    <n v="3"/>
    <x v="0"/>
    <n v="10000"/>
    <n v="93400"/>
    <s v="Dewi Sartika"/>
    <s v="internal"/>
    <x v="0"/>
  </r>
  <r>
    <s v="SHP01055"/>
    <s v="EMP055"/>
    <x v="137"/>
    <d v="2024-08-05T00:00:00"/>
    <x v="4"/>
    <x v="2"/>
    <x v="1"/>
    <x v="0"/>
    <n v="6.88"/>
    <s v="&gt;5kg"/>
    <n v="0"/>
    <n v="1"/>
    <x v="1"/>
    <n v="12000"/>
    <n v="82560"/>
    <s v="Edi Kurniawan"/>
    <s v="internal"/>
    <x v="1"/>
  </r>
  <r>
    <s v="SHP01056"/>
    <s v="EMP056"/>
    <x v="96"/>
    <d v="2024-03-23T00:00:00"/>
    <x v="5"/>
    <x v="3"/>
    <x v="0"/>
    <x v="0"/>
    <n v="2.93"/>
    <s v="&lt; 5kg"/>
    <n v="1"/>
    <n v="3"/>
    <x v="1"/>
    <n v="10000"/>
    <n v="29300"/>
    <s v="Farah Nabila"/>
    <s v="crowd source"/>
    <x v="0"/>
  </r>
  <r>
    <s v="SHP01057"/>
    <s v="EMP057"/>
    <x v="343"/>
    <d v="2023-07-13T00:00:00"/>
    <x v="6"/>
    <x v="3"/>
    <x v="2"/>
    <x v="1"/>
    <n v="0.71"/>
    <s v="&lt; 5kg"/>
    <n v="2"/>
    <n v="5"/>
    <x v="1"/>
    <n v="9000"/>
    <n v="6390"/>
    <s v="Galih Pratomo"/>
    <s v="internal"/>
    <x v="0"/>
  </r>
  <r>
    <s v="SHP01058"/>
    <s v="EMP058"/>
    <x v="239"/>
    <d v="2024-02-07T00:00:00"/>
    <x v="7"/>
    <x v="3"/>
    <x v="1"/>
    <x v="0"/>
    <n v="6.49"/>
    <s v="&gt;5kg"/>
    <n v="1"/>
    <n v="1"/>
    <x v="1"/>
    <n v="12000"/>
    <n v="77880"/>
    <s v="Hadi Purnomo"/>
    <s v="crowd source"/>
    <x v="1"/>
  </r>
  <r>
    <s v="SHP01059"/>
    <s v="EMP059"/>
    <x v="144"/>
    <d v="2023-12-16T00:00:00"/>
    <x v="8"/>
    <x v="9"/>
    <x v="1"/>
    <x v="0"/>
    <n v="8.56"/>
    <s v="&gt;5kg"/>
    <n v="8"/>
    <n v="1"/>
    <x v="0"/>
    <n v="12000"/>
    <n v="102720"/>
    <s v="Ika Lestari"/>
    <s v="internal"/>
    <x v="0"/>
  </r>
  <r>
    <s v="SHP01060"/>
    <s v="EMP060"/>
    <x v="555"/>
    <d v="2024-03-19T00:00:00"/>
    <x v="9"/>
    <x v="8"/>
    <x v="2"/>
    <x v="1"/>
    <n v="1.27"/>
    <s v="&lt; 5kg"/>
    <n v="2"/>
    <n v="5"/>
    <x v="1"/>
    <n v="9000"/>
    <n v="11430"/>
    <s v="Jamil Akbar"/>
    <s v="internal"/>
    <x v="1"/>
  </r>
  <r>
    <s v="SHP01061"/>
    <s v="EMP061"/>
    <x v="56"/>
    <d v="2023-04-13T00:00:00"/>
    <x v="0"/>
    <x v="7"/>
    <x v="1"/>
    <x v="1"/>
    <n v="10.15"/>
    <s v="&gt;5kg"/>
    <n v="11"/>
    <n v="1"/>
    <x v="0"/>
    <n v="12000"/>
    <n v="121800"/>
    <s v="Kevin Sanjaya"/>
    <s v="crowd source"/>
    <x v="0"/>
  </r>
  <r>
    <s v="SHP01062"/>
    <s v="EMP062"/>
    <x v="556"/>
    <d v="2024-11-02T00:00:00"/>
    <x v="1"/>
    <x v="9"/>
    <x v="2"/>
    <x v="0"/>
    <n v="3.38"/>
    <s v="&lt; 5kg"/>
    <n v="9"/>
    <n v="5"/>
    <x v="0"/>
    <n v="9000"/>
    <n v="30420"/>
    <s v="Laila Nuraini"/>
    <s v="internal"/>
    <x v="0"/>
  </r>
  <r>
    <s v="SHP01063"/>
    <s v="EMP063"/>
    <x v="547"/>
    <d v="2023-06-28T00:00:00"/>
    <x v="2"/>
    <x v="8"/>
    <x v="0"/>
    <x v="1"/>
    <n v="2.4700000000000002"/>
    <s v="&lt; 5kg"/>
    <n v="1"/>
    <n v="3"/>
    <x v="1"/>
    <n v="10000"/>
    <n v="24700.000000000004"/>
    <s v="Miko Setiawan"/>
    <s v="crowd source"/>
    <x v="1"/>
  </r>
  <r>
    <s v="SHP01064"/>
    <s v="EMP064"/>
    <x v="406"/>
    <d v="2023-06-15T00:00:00"/>
    <x v="3"/>
    <x v="4"/>
    <x v="1"/>
    <x v="1"/>
    <n v="3.62"/>
    <s v="&lt; 5kg"/>
    <n v="0"/>
    <n v="1"/>
    <x v="1"/>
    <n v="12000"/>
    <n v="43440"/>
    <s v="Nisa Aulia"/>
    <s v="internal"/>
    <x v="0"/>
  </r>
  <r>
    <s v="SHP01065"/>
    <s v="EMP065"/>
    <x v="438"/>
    <d v="2023-03-25T00:00:00"/>
    <x v="4"/>
    <x v="5"/>
    <x v="2"/>
    <x v="0"/>
    <n v="3.88"/>
    <s v="&lt; 5kg"/>
    <n v="3"/>
    <n v="5"/>
    <x v="1"/>
    <n v="9000"/>
    <n v="34920"/>
    <s v="Oki Pramono"/>
    <s v="internal"/>
    <x v="1"/>
  </r>
  <r>
    <s v="SHP01066"/>
    <s v="EMP066"/>
    <x v="411"/>
    <d v="2023-12-10T00:00:00"/>
    <x v="5"/>
    <x v="7"/>
    <x v="0"/>
    <x v="0"/>
    <n v="2.15"/>
    <s v="&lt; 5kg"/>
    <n v="0"/>
    <n v="3"/>
    <x v="1"/>
    <n v="10000"/>
    <n v="21500"/>
    <s v="Putra Mahendra"/>
    <s v="crowd source"/>
    <x v="0"/>
  </r>
  <r>
    <s v="SHP01067"/>
    <s v="EMP067"/>
    <x v="366"/>
    <d v="2023-09-30T00:00:00"/>
    <x v="6"/>
    <x v="5"/>
    <x v="2"/>
    <x v="0"/>
    <n v="3.27"/>
    <s v="&lt; 5kg"/>
    <n v="0"/>
    <n v="5"/>
    <x v="1"/>
    <n v="9000"/>
    <n v="29430"/>
    <s v="Qolbi Ramadhani"/>
    <s v="internal"/>
    <x v="0"/>
  </r>
  <r>
    <s v="SHP01068"/>
    <s v="EMP068"/>
    <x v="453"/>
    <d v="2023-05-14T00:00:00"/>
    <x v="7"/>
    <x v="5"/>
    <x v="1"/>
    <x v="1"/>
    <n v="8.42"/>
    <s v="&gt;5kg"/>
    <n v="1"/>
    <n v="1"/>
    <x v="1"/>
    <n v="12000"/>
    <n v="101040"/>
    <s v="Reza Firmansyah"/>
    <s v="crowd source"/>
    <x v="1"/>
  </r>
  <r>
    <s v="SHP01069"/>
    <s v="EMP069"/>
    <x v="233"/>
    <d v="2024-06-27T00:00:00"/>
    <x v="8"/>
    <x v="6"/>
    <x v="2"/>
    <x v="1"/>
    <n v="3.82"/>
    <s v="&lt; 5kg"/>
    <n v="2"/>
    <n v="5"/>
    <x v="1"/>
    <n v="9000"/>
    <n v="34380"/>
    <s v="Siska Amelia"/>
    <s v="internal"/>
    <x v="0"/>
  </r>
  <r>
    <s v="SHP01070"/>
    <s v="EMP070"/>
    <x v="310"/>
    <d v="2024-05-28T00:00:00"/>
    <x v="9"/>
    <x v="9"/>
    <x v="0"/>
    <x v="0"/>
    <n v="6.2"/>
    <s v="&gt;5kg"/>
    <n v="2"/>
    <n v="3"/>
    <x v="1"/>
    <n v="10000"/>
    <n v="62000"/>
    <s v="Tri Wibowo"/>
    <s v="internal"/>
    <x v="1"/>
  </r>
  <r>
    <s v="SHP01071"/>
    <s v="EMP071"/>
    <x v="334"/>
    <d v="2025-01-04T00:00:00"/>
    <x v="0"/>
    <x v="0"/>
    <x v="0"/>
    <x v="1"/>
    <n v="9.24"/>
    <s v="&gt;5kg"/>
    <n v="4"/>
    <n v="3"/>
    <x v="0"/>
    <n v="10000"/>
    <n v="92400"/>
    <s v="Ubay Prakoso"/>
    <s v="crowd source"/>
    <x v="0"/>
  </r>
  <r>
    <s v="SHP01072"/>
    <s v="EMP072"/>
    <x v="471"/>
    <d v="2023-08-04T00:00:00"/>
    <x v="1"/>
    <x v="6"/>
    <x v="2"/>
    <x v="0"/>
    <n v="7.85"/>
    <s v="&gt;5kg"/>
    <n v="4"/>
    <n v="5"/>
    <x v="1"/>
    <n v="9000"/>
    <n v="70650"/>
    <s v="Vania Putri"/>
    <s v="internal"/>
    <x v="0"/>
  </r>
  <r>
    <s v="SHP01073"/>
    <s v="EMP073"/>
    <x v="553"/>
    <d v="2024-05-16T00:00:00"/>
    <x v="2"/>
    <x v="4"/>
    <x v="0"/>
    <x v="1"/>
    <n v="9.9600000000000009"/>
    <s v="&gt;5kg"/>
    <n v="2"/>
    <n v="3"/>
    <x v="1"/>
    <n v="10000"/>
    <n v="99600.000000000015"/>
    <s v="Wira Nugraha"/>
    <s v="internal"/>
    <x v="1"/>
  </r>
  <r>
    <s v="SHP01074"/>
    <s v="EMP074"/>
    <x v="557"/>
    <d v="2024-09-24T00:00:00"/>
    <x v="3"/>
    <x v="7"/>
    <x v="2"/>
    <x v="0"/>
    <n v="9.7100000000000009"/>
    <s v="&gt;5kg"/>
    <n v="3"/>
    <n v="5"/>
    <x v="1"/>
    <n v="9000"/>
    <n v="87390.000000000015"/>
    <s v="Xaverius Adi"/>
    <s v="crowd source"/>
    <x v="1"/>
  </r>
  <r>
    <s v="SHP01075"/>
    <s v="EMP075"/>
    <x v="42"/>
    <d v="2024-06-09T00:00:00"/>
    <x v="4"/>
    <x v="1"/>
    <x v="0"/>
    <x v="0"/>
    <n v="2.94"/>
    <s v="&lt; 5kg"/>
    <n v="0"/>
    <n v="3"/>
    <x v="1"/>
    <n v="10000"/>
    <n v="29400"/>
    <s v="Yuliana Kartini"/>
    <s v="internal"/>
    <x v="0"/>
  </r>
  <r>
    <s v="SHP01076"/>
    <s v="EMP076"/>
    <x v="225"/>
    <d v="2024-02-01T00:00:00"/>
    <x v="5"/>
    <x v="2"/>
    <x v="0"/>
    <x v="1"/>
    <n v="5.19"/>
    <s v="&gt;5kg"/>
    <n v="4"/>
    <n v="3"/>
    <x v="0"/>
    <n v="10000"/>
    <n v="51900.000000000007"/>
    <s v="Zaki Alamsyah"/>
    <s v="internal"/>
    <x v="0"/>
  </r>
  <r>
    <s v="SHP01077"/>
    <s v="EMP077"/>
    <x v="467"/>
    <d v="2024-07-20T00:00:00"/>
    <x v="6"/>
    <x v="1"/>
    <x v="0"/>
    <x v="0"/>
    <n v="8.84"/>
    <s v="&gt;5kg"/>
    <n v="2"/>
    <n v="3"/>
    <x v="1"/>
    <n v="10000"/>
    <n v="88400"/>
    <s v="Arief Setyawan"/>
    <s v="crowd source"/>
    <x v="1"/>
  </r>
  <r>
    <s v="SHP01078"/>
    <s v="EMP078"/>
    <x v="225"/>
    <d v="2024-02-01T00:00:00"/>
    <x v="7"/>
    <x v="6"/>
    <x v="2"/>
    <x v="0"/>
    <n v="6.93"/>
    <s v="&gt;5kg"/>
    <n v="4"/>
    <n v="5"/>
    <x v="1"/>
    <n v="9000"/>
    <n v="62370"/>
    <s v="Bunga Cahyani"/>
    <s v="internal"/>
    <x v="0"/>
  </r>
  <r>
    <s v="SHP01079"/>
    <s v="EMP079"/>
    <x v="396"/>
    <d v="2024-04-06T00:00:00"/>
    <x v="8"/>
    <x v="7"/>
    <x v="2"/>
    <x v="0"/>
    <n v="2.99"/>
    <s v="&lt; 5kg"/>
    <n v="9"/>
    <n v="5"/>
    <x v="0"/>
    <n v="9000"/>
    <n v="26910.000000000004"/>
    <s v="Cahyo Prabowo"/>
    <s v="internal"/>
    <x v="1"/>
  </r>
  <r>
    <s v="SHP01080"/>
    <s v="EMP080"/>
    <x v="214"/>
    <d v="2023-11-20T00:00:00"/>
    <x v="9"/>
    <x v="8"/>
    <x v="2"/>
    <x v="1"/>
    <n v="1.66"/>
    <s v="&lt; 5kg"/>
    <n v="11"/>
    <n v="5"/>
    <x v="0"/>
    <n v="9000"/>
    <n v="14940"/>
    <s v="Diah Permata"/>
    <s v="crowd source"/>
    <x v="0"/>
  </r>
  <r>
    <s v="SHP01081"/>
    <s v="EMP081"/>
    <x v="558"/>
    <d v="2023-05-30T00:00:00"/>
    <x v="0"/>
    <x v="4"/>
    <x v="0"/>
    <x v="1"/>
    <n v="1.95"/>
    <s v="&lt; 5kg"/>
    <n v="11"/>
    <n v="3"/>
    <x v="0"/>
    <n v="10000"/>
    <n v="19500"/>
    <s v="Evania Putri"/>
    <s v="internal"/>
    <x v="0"/>
  </r>
  <r>
    <s v="SHP01082"/>
    <s v="EMP082"/>
    <x v="289"/>
    <d v="2024-07-03T00:00:00"/>
    <x v="1"/>
    <x v="7"/>
    <x v="0"/>
    <x v="1"/>
    <n v="7.4"/>
    <s v="&gt;5kg"/>
    <n v="1"/>
    <n v="3"/>
    <x v="1"/>
    <n v="10000"/>
    <n v="74000"/>
    <s v="Fikri Ramadhan"/>
    <s v="crowd source"/>
    <x v="1"/>
  </r>
  <r>
    <s v="SHP01083"/>
    <s v="EMP083"/>
    <x v="393"/>
    <d v="2024-01-22T00:00:00"/>
    <x v="2"/>
    <x v="3"/>
    <x v="1"/>
    <x v="0"/>
    <n v="9.86"/>
    <s v="&gt;5kg"/>
    <n v="4"/>
    <n v="1"/>
    <x v="0"/>
    <n v="12000"/>
    <n v="118320"/>
    <s v="Gilang Ramli"/>
    <s v="internal"/>
    <x v="0"/>
  </r>
  <r>
    <s v="SHP01084"/>
    <s v="EMP084"/>
    <x v="9"/>
    <d v="2024-08-30T00:00:00"/>
    <x v="3"/>
    <x v="1"/>
    <x v="2"/>
    <x v="1"/>
    <n v="8.5399999999999991"/>
    <s v="&gt;5kg"/>
    <n v="4"/>
    <n v="5"/>
    <x v="1"/>
    <n v="9000"/>
    <n v="76859.999999999985"/>
    <s v="Hana Zahra"/>
    <s v="internal"/>
    <x v="0"/>
  </r>
  <r>
    <s v="SHP01085"/>
    <s v="EMP085"/>
    <x v="281"/>
    <d v="2023-02-04T00:00:00"/>
    <x v="4"/>
    <x v="2"/>
    <x v="0"/>
    <x v="1"/>
    <n v="1.83"/>
    <s v="&lt; 5kg"/>
    <n v="1"/>
    <n v="3"/>
    <x v="1"/>
    <n v="10000"/>
    <n v="18300"/>
    <s v="Irfan Maulana"/>
    <s v="internal"/>
    <x v="1"/>
  </r>
  <r>
    <s v="SHP01086"/>
    <s v="EMP086"/>
    <x v="84"/>
    <d v="2024-11-09T00:00:00"/>
    <x v="5"/>
    <x v="2"/>
    <x v="0"/>
    <x v="1"/>
    <n v="8.06"/>
    <s v="&gt;5kg"/>
    <n v="4"/>
    <n v="3"/>
    <x v="0"/>
    <n v="10000"/>
    <n v="80600"/>
    <s v="Jihan Salsabila"/>
    <s v="crowd source"/>
    <x v="0"/>
  </r>
  <r>
    <s v="SHP01087"/>
    <s v="EMP087"/>
    <x v="422"/>
    <d v="2024-09-02T00:00:00"/>
    <x v="6"/>
    <x v="4"/>
    <x v="0"/>
    <x v="1"/>
    <n v="0.94"/>
    <s v="&lt; 5kg"/>
    <n v="3"/>
    <n v="3"/>
    <x v="1"/>
    <n v="10000"/>
    <n v="9400"/>
    <s v="Koko Santoso"/>
    <s v="internal"/>
    <x v="0"/>
  </r>
  <r>
    <s v="SHP01088"/>
    <s v="EMP088"/>
    <x v="429"/>
    <d v="2023-08-17T00:00:00"/>
    <x v="7"/>
    <x v="9"/>
    <x v="0"/>
    <x v="0"/>
    <n v="1.85"/>
    <s v="&lt; 5kg"/>
    <n v="8"/>
    <n v="3"/>
    <x v="0"/>
    <n v="10000"/>
    <n v="18500"/>
    <s v="Luthfi Hakim"/>
    <s v="crowd source"/>
    <x v="1"/>
  </r>
  <r>
    <s v="SHP01089"/>
    <s v="EMP089"/>
    <x v="559"/>
    <d v="2024-07-11T00:00:00"/>
    <x v="8"/>
    <x v="9"/>
    <x v="0"/>
    <x v="0"/>
    <n v="1.98"/>
    <s v="&lt; 5kg"/>
    <n v="2"/>
    <n v="3"/>
    <x v="1"/>
    <n v="10000"/>
    <n v="19800"/>
    <s v="Melati Anggraini"/>
    <s v="internal"/>
    <x v="0"/>
  </r>
  <r>
    <s v="SHP01090"/>
    <s v="EMP090"/>
    <x v="156"/>
    <d v="2024-06-24T00:00:00"/>
    <x v="9"/>
    <x v="5"/>
    <x v="2"/>
    <x v="1"/>
    <n v="3.44"/>
    <s v="&lt; 5kg"/>
    <n v="3"/>
    <n v="5"/>
    <x v="1"/>
    <n v="9000"/>
    <n v="30960"/>
    <s v="Naufal Rizky"/>
    <s v="internal"/>
    <x v="1"/>
  </r>
  <r>
    <s v="SHP01091"/>
    <s v="EMP091"/>
    <x v="518"/>
    <d v="2023-07-25T00:00:00"/>
    <x v="0"/>
    <x v="3"/>
    <x v="1"/>
    <x v="0"/>
    <n v="2.69"/>
    <s v="&lt; 5kg"/>
    <n v="1"/>
    <n v="1"/>
    <x v="1"/>
    <n v="12000"/>
    <n v="32280"/>
    <s v="Olin Febriani"/>
    <s v="crowd source"/>
    <x v="0"/>
  </r>
  <r>
    <s v="SHP01092"/>
    <s v="EMP092"/>
    <x v="560"/>
    <d v="2024-07-09T00:00:00"/>
    <x v="1"/>
    <x v="8"/>
    <x v="0"/>
    <x v="0"/>
    <n v="3.55"/>
    <s v="&lt; 5kg"/>
    <n v="10"/>
    <n v="3"/>
    <x v="0"/>
    <n v="10000"/>
    <n v="35500"/>
    <s v="Praditya Wicaksono"/>
    <s v="internal"/>
    <x v="1"/>
  </r>
  <r>
    <s v="SHP01093"/>
    <s v="EMP093"/>
    <x v="561"/>
    <d v="2024-03-21T00:00:00"/>
    <x v="2"/>
    <x v="8"/>
    <x v="0"/>
    <x v="1"/>
    <n v="9.56"/>
    <s v="&gt;5kg"/>
    <n v="8"/>
    <n v="3"/>
    <x v="0"/>
    <n v="10000"/>
    <n v="95600"/>
    <s v="Qory Azzahra"/>
    <s v="internal"/>
    <x v="0"/>
  </r>
  <r>
    <s v="SHP01094"/>
    <s v="EMP094"/>
    <x v="501"/>
    <d v="2023-09-24T00:00:00"/>
    <x v="3"/>
    <x v="7"/>
    <x v="2"/>
    <x v="1"/>
    <n v="9.9600000000000009"/>
    <s v="&gt;5kg"/>
    <n v="10"/>
    <n v="5"/>
    <x v="0"/>
    <n v="9000"/>
    <n v="89640.000000000015"/>
    <s v="Rendi Saputra"/>
    <s v="crowd source"/>
    <x v="1"/>
  </r>
  <r>
    <s v="SHP01095"/>
    <s v="EMP095"/>
    <x v="114"/>
    <d v="2024-04-11T00:00:00"/>
    <x v="4"/>
    <x v="5"/>
    <x v="2"/>
    <x v="1"/>
    <n v="8.7799999999999994"/>
    <s v="&gt;5kg"/>
    <n v="6"/>
    <n v="5"/>
    <x v="0"/>
    <n v="9000"/>
    <n v="79020"/>
    <s v="Salma Nuraini"/>
    <s v="internal"/>
    <x v="0"/>
  </r>
  <r>
    <s v="SHP01096"/>
    <s v="EMP096"/>
    <x v="300"/>
    <d v="2023-01-18T00:00:00"/>
    <x v="5"/>
    <x v="2"/>
    <x v="0"/>
    <x v="0"/>
    <n v="7.72"/>
    <s v="&gt;5kg"/>
    <n v="2"/>
    <n v="3"/>
    <x v="1"/>
    <n v="10000"/>
    <n v="77200"/>
    <s v="Tegar Prakoso"/>
    <s v="internal"/>
    <x v="1"/>
  </r>
  <r>
    <s v="SHP01097"/>
    <s v="EMP097"/>
    <x v="480"/>
    <d v="2023-02-04T00:00:00"/>
    <x v="6"/>
    <x v="9"/>
    <x v="1"/>
    <x v="1"/>
    <n v="10.31"/>
    <s v="&gt;5kg"/>
    <n v="11"/>
    <n v="1"/>
    <x v="0"/>
    <n v="12000"/>
    <n v="123720"/>
    <s v="Ulfa Khairunnisa"/>
    <s v="crowd source"/>
    <x v="0"/>
  </r>
  <r>
    <s v="SHP01098"/>
    <s v="EMP098"/>
    <x v="504"/>
    <d v="2024-01-13T00:00:00"/>
    <x v="7"/>
    <x v="0"/>
    <x v="0"/>
    <x v="0"/>
    <n v="0.87"/>
    <s v="&lt; 5kg"/>
    <n v="10"/>
    <n v="3"/>
    <x v="0"/>
    <n v="10000"/>
    <n v="8700"/>
    <s v="Vito Mahendra"/>
    <s v="internal"/>
    <x v="0"/>
  </r>
  <r>
    <s v="SHP01099"/>
    <s v="EMP099"/>
    <x v="392"/>
    <d v="2024-12-27T00:00:00"/>
    <x v="8"/>
    <x v="5"/>
    <x v="2"/>
    <x v="1"/>
    <n v="4.42"/>
    <s v="&lt; 5kg"/>
    <n v="10"/>
    <n v="5"/>
    <x v="0"/>
    <n v="9000"/>
    <n v="39780"/>
    <s v="Winda Sari"/>
    <s v="internal"/>
    <x v="0"/>
  </r>
  <r>
    <s v="SHP01100"/>
    <s v="EMP100"/>
    <x v="145"/>
    <d v="2023-04-21T00:00:00"/>
    <x v="9"/>
    <x v="6"/>
    <x v="0"/>
    <x v="1"/>
    <n v="8.98"/>
    <s v="&gt;5kg"/>
    <n v="3"/>
    <n v="3"/>
    <x v="1"/>
    <n v="10000"/>
    <n v="89800"/>
    <s v="Yusuf Al Ghazali"/>
    <s v="crowd source"/>
    <x v="1"/>
  </r>
  <r>
    <s v="SHP01101"/>
    <s v="EMP001"/>
    <x v="562"/>
    <d v="2023-07-22T00:00:00"/>
    <x v="0"/>
    <x v="1"/>
    <x v="0"/>
    <x v="0"/>
    <n v="0.57999999999999996"/>
    <s v="&lt; 5kg"/>
    <n v="1"/>
    <n v="3"/>
    <x v="1"/>
    <n v="10000"/>
    <n v="5800"/>
    <s v="Andi Pratama"/>
    <s v="internal"/>
    <x v="0"/>
  </r>
  <r>
    <s v="SHP01102"/>
    <s v="EMP002"/>
    <x v="317"/>
    <d v="2023-07-05T00:00:00"/>
    <x v="1"/>
    <x v="0"/>
    <x v="2"/>
    <x v="0"/>
    <n v="0.99"/>
    <s v="&lt; 5kg"/>
    <n v="1"/>
    <n v="5"/>
    <x v="1"/>
    <n v="9000"/>
    <n v="8910"/>
    <s v="Budi Santoso"/>
    <s v="internal"/>
    <x v="1"/>
  </r>
  <r>
    <s v="SHP01103"/>
    <s v="EMP003"/>
    <x v="455"/>
    <d v="2024-11-23T00:00:00"/>
    <x v="2"/>
    <x v="4"/>
    <x v="0"/>
    <x v="0"/>
    <n v="5.97"/>
    <s v="&gt;5kg"/>
    <n v="4"/>
    <n v="3"/>
    <x v="0"/>
    <n v="10000"/>
    <n v="59700"/>
    <s v="Citra Lestari"/>
    <s v="crowd source"/>
    <x v="0"/>
  </r>
  <r>
    <s v="SHP01104"/>
    <s v="EMP004"/>
    <x v="442"/>
    <d v="2023-11-03T00:00:00"/>
    <x v="3"/>
    <x v="5"/>
    <x v="0"/>
    <x v="1"/>
    <n v="1.42"/>
    <s v="&lt; 5kg"/>
    <n v="8"/>
    <n v="3"/>
    <x v="0"/>
    <n v="10000"/>
    <n v="14200"/>
    <s v="Dedi Saputra"/>
    <s v="crowd source"/>
    <x v="1"/>
  </r>
  <r>
    <s v="SHP01105"/>
    <s v="EMP005"/>
    <x v="505"/>
    <d v="2024-02-21T00:00:00"/>
    <x v="4"/>
    <x v="4"/>
    <x v="1"/>
    <x v="0"/>
    <n v="9.17"/>
    <s v="&gt;5kg"/>
    <n v="4"/>
    <n v="1"/>
    <x v="0"/>
    <n v="12000"/>
    <n v="110040"/>
    <s v="Eko Nugroho"/>
    <s v="internal"/>
    <x v="0"/>
  </r>
  <r>
    <s v="SHP01106"/>
    <s v="EMP006"/>
    <x v="450"/>
    <d v="2023-10-30T00:00:00"/>
    <x v="5"/>
    <x v="8"/>
    <x v="0"/>
    <x v="1"/>
    <n v="8.41"/>
    <s v="&gt;5kg"/>
    <n v="8"/>
    <n v="3"/>
    <x v="0"/>
    <n v="10000"/>
    <n v="84100"/>
    <s v="Fajar Hidayat"/>
    <s v="internal"/>
    <x v="1"/>
  </r>
  <r>
    <s v="SHP01107"/>
    <s v="EMP007"/>
    <x v="358"/>
    <d v="2024-05-25T00:00:00"/>
    <x v="6"/>
    <x v="9"/>
    <x v="2"/>
    <x v="0"/>
    <n v="1.7"/>
    <s v="&lt; 5kg"/>
    <n v="4"/>
    <n v="5"/>
    <x v="1"/>
    <n v="9000"/>
    <n v="15300"/>
    <s v="Gita Rahmawati"/>
    <s v="crowd source"/>
    <x v="0"/>
  </r>
  <r>
    <s v="SHP01108"/>
    <s v="EMP008"/>
    <x v="358"/>
    <d v="2024-05-28T00:00:00"/>
    <x v="7"/>
    <x v="0"/>
    <x v="2"/>
    <x v="1"/>
    <n v="7.57"/>
    <s v="&gt;5kg"/>
    <n v="7"/>
    <n v="5"/>
    <x v="0"/>
    <n v="9000"/>
    <n v="68130"/>
    <s v="Hendra Wijaya"/>
    <s v="internal"/>
    <x v="1"/>
  </r>
  <r>
    <s v="SHP01109"/>
    <s v="EMP009"/>
    <x v="314"/>
    <d v="2023-04-04T00:00:00"/>
    <x v="8"/>
    <x v="7"/>
    <x v="0"/>
    <x v="1"/>
    <n v="9.4499999999999993"/>
    <s v="&gt;5kg"/>
    <n v="4"/>
    <n v="3"/>
    <x v="0"/>
    <n v="10000"/>
    <n v="94500"/>
    <s v="Indah Permata"/>
    <s v="crowd source"/>
    <x v="0"/>
  </r>
  <r>
    <s v="SHP01110"/>
    <s v="EMP010"/>
    <x v="442"/>
    <d v="2023-11-06T00:00:00"/>
    <x v="9"/>
    <x v="9"/>
    <x v="0"/>
    <x v="1"/>
    <n v="9.08"/>
    <s v="&gt;5kg"/>
    <n v="11"/>
    <n v="3"/>
    <x v="0"/>
    <n v="10000"/>
    <n v="90800"/>
    <s v="Joko Susilo"/>
    <s v="internal"/>
    <x v="1"/>
  </r>
  <r>
    <s v="SHP01111"/>
    <s v="EMP011"/>
    <x v="410"/>
    <d v="2024-05-02T00:00:00"/>
    <x v="0"/>
    <x v="5"/>
    <x v="0"/>
    <x v="0"/>
    <n v="2.96"/>
    <s v="&lt; 5kg"/>
    <n v="3"/>
    <n v="3"/>
    <x v="1"/>
    <n v="10000"/>
    <n v="29600"/>
    <s v="Kurniawan Putra"/>
    <s v="crowd source"/>
    <x v="1"/>
  </r>
  <r>
    <s v="SHP01112"/>
    <s v="EMP012"/>
    <x v="29"/>
    <d v="2024-06-10T00:00:00"/>
    <x v="1"/>
    <x v="4"/>
    <x v="0"/>
    <x v="0"/>
    <n v="5.44"/>
    <s v="&gt;5kg"/>
    <n v="4"/>
    <n v="3"/>
    <x v="0"/>
    <n v="10000"/>
    <n v="54400.000000000007"/>
    <s v="Lina Marlina"/>
    <s v="internal"/>
    <x v="0"/>
  </r>
  <r>
    <s v="SHP01113"/>
    <s v="EMP013"/>
    <x v="424"/>
    <d v="2023-05-13T00:00:00"/>
    <x v="2"/>
    <x v="7"/>
    <x v="0"/>
    <x v="1"/>
    <n v="0.95"/>
    <s v="&lt; 5kg"/>
    <n v="3"/>
    <n v="3"/>
    <x v="1"/>
    <n v="10000"/>
    <n v="9500"/>
    <s v="Rizky Ananda"/>
    <s v="crowd source"/>
    <x v="0"/>
  </r>
  <r>
    <s v="SHP01114"/>
    <s v="EMP014"/>
    <x v="299"/>
    <d v="2024-04-16T00:00:00"/>
    <x v="3"/>
    <x v="4"/>
    <x v="0"/>
    <x v="1"/>
    <n v="8.83"/>
    <s v="&gt;5kg"/>
    <n v="2"/>
    <n v="3"/>
    <x v="1"/>
    <n v="10000"/>
    <n v="88300"/>
    <s v="Nanda Prakoso"/>
    <s v="internal"/>
    <x v="1"/>
  </r>
  <r>
    <s v="SHP01115"/>
    <s v="EMP015"/>
    <x v="400"/>
    <d v="2023-08-14T00:00:00"/>
    <x v="4"/>
    <x v="1"/>
    <x v="2"/>
    <x v="1"/>
    <n v="1.46"/>
    <s v="&lt; 5kg"/>
    <n v="1"/>
    <n v="5"/>
    <x v="1"/>
    <n v="9000"/>
    <n v="13140"/>
    <s v="Oktavian Yusuf"/>
    <s v="crowd source"/>
    <x v="1"/>
  </r>
  <r>
    <s v="SHP01116"/>
    <s v="EMP016"/>
    <x v="32"/>
    <d v="2023-04-12T00:00:00"/>
    <x v="5"/>
    <x v="4"/>
    <x v="0"/>
    <x v="0"/>
    <n v="2.3199999999999998"/>
    <s v="&lt; 5kg"/>
    <n v="5"/>
    <n v="3"/>
    <x v="0"/>
    <n v="10000"/>
    <n v="23200"/>
    <s v="Putri Ayu Lestari"/>
    <s v="internal"/>
    <x v="0"/>
  </r>
  <r>
    <s v="SHP01117"/>
    <s v="EMP017"/>
    <x v="116"/>
    <d v="2023-07-18T00:00:00"/>
    <x v="6"/>
    <x v="0"/>
    <x v="0"/>
    <x v="1"/>
    <n v="7.19"/>
    <s v="&gt;5kg"/>
    <n v="4"/>
    <n v="3"/>
    <x v="0"/>
    <n v="10000"/>
    <n v="71900"/>
    <s v="Rafi Maulana"/>
    <s v="internal"/>
    <x v="0"/>
  </r>
  <r>
    <s v="SHP01118"/>
    <s v="EMP018"/>
    <x v="492"/>
    <d v="2024-03-11T00:00:00"/>
    <x v="7"/>
    <x v="5"/>
    <x v="0"/>
    <x v="1"/>
    <n v="2"/>
    <s v="&lt; 5kg"/>
    <n v="4"/>
    <n v="3"/>
    <x v="0"/>
    <n v="10000"/>
    <n v="20000"/>
    <s v="Sari Puspita"/>
    <s v="crowd source"/>
    <x v="0"/>
  </r>
  <r>
    <s v="SHP01119"/>
    <s v="EMP019"/>
    <x v="398"/>
    <d v="2024-01-24T00:00:00"/>
    <x v="8"/>
    <x v="2"/>
    <x v="0"/>
    <x v="1"/>
    <n v="3.61"/>
    <s v="&lt; 5kg"/>
    <n v="1"/>
    <n v="3"/>
    <x v="1"/>
    <n v="10000"/>
    <n v="36100"/>
    <s v="Teguh Wibowo"/>
    <s v="internal"/>
    <x v="1"/>
  </r>
  <r>
    <s v="SHP01120"/>
    <s v="EMP020"/>
    <x v="542"/>
    <d v="2023-10-11T00:00:00"/>
    <x v="9"/>
    <x v="4"/>
    <x v="0"/>
    <x v="1"/>
    <n v="7.51"/>
    <s v="&gt;5kg"/>
    <n v="4"/>
    <n v="3"/>
    <x v="0"/>
    <n v="10000"/>
    <n v="75100"/>
    <s v="Umi Kalsum"/>
    <s v="crowd source"/>
    <x v="0"/>
  </r>
  <r>
    <s v="SHP01121"/>
    <s v="EMP021"/>
    <x v="171"/>
    <d v="2023-08-31T00:00:00"/>
    <x v="0"/>
    <x v="5"/>
    <x v="0"/>
    <x v="1"/>
    <n v="2.4500000000000002"/>
    <s v="&lt; 5kg"/>
    <n v="3"/>
    <n v="3"/>
    <x v="1"/>
    <n v="10000"/>
    <n v="24500"/>
    <s v="Vina Oktaviani"/>
    <s v="internal"/>
    <x v="0"/>
  </r>
  <r>
    <s v="SHP01122"/>
    <s v="EMP022"/>
    <x v="201"/>
    <d v="2025-01-05T00:00:00"/>
    <x v="1"/>
    <x v="7"/>
    <x v="2"/>
    <x v="1"/>
    <n v="5.65"/>
    <s v="&gt;5kg"/>
    <n v="7"/>
    <n v="5"/>
    <x v="0"/>
    <n v="9000"/>
    <n v="50850"/>
    <s v="Wahyu Setiawan"/>
    <s v="crowd source"/>
    <x v="1"/>
  </r>
  <r>
    <s v="SHP01123"/>
    <s v="EMP023"/>
    <x v="119"/>
    <d v="2023-12-13T00:00:00"/>
    <x v="2"/>
    <x v="0"/>
    <x v="0"/>
    <x v="0"/>
    <n v="5.72"/>
    <s v="&gt;5kg"/>
    <n v="11"/>
    <n v="3"/>
    <x v="0"/>
    <n v="10000"/>
    <n v="57200"/>
    <s v="Yogi Firmansyah"/>
    <s v="internal"/>
    <x v="1"/>
  </r>
  <r>
    <s v="SHP01124"/>
    <s v="EMP024"/>
    <x v="563"/>
    <d v="2023-04-25T00:00:00"/>
    <x v="3"/>
    <x v="6"/>
    <x v="2"/>
    <x v="0"/>
    <n v="9.07"/>
    <s v="&gt;5kg"/>
    <n v="1"/>
    <n v="5"/>
    <x v="1"/>
    <n v="9000"/>
    <n v="81630"/>
    <s v="Zainal Abidin"/>
    <s v="crowd source"/>
    <x v="1"/>
  </r>
  <r>
    <s v="SHP01125"/>
    <s v="EMP025"/>
    <x v="564"/>
    <d v="2023-12-19T00:00:00"/>
    <x v="4"/>
    <x v="1"/>
    <x v="1"/>
    <x v="0"/>
    <n v="6.42"/>
    <s v="&gt;5kg"/>
    <n v="4"/>
    <n v="1"/>
    <x v="0"/>
    <n v="12000"/>
    <n v="77040"/>
    <s v="Ahmad Fauzi"/>
    <s v="internal"/>
    <x v="0"/>
  </r>
  <r>
    <s v="SHP01126"/>
    <s v="EMP026"/>
    <x v="385"/>
    <d v="2024-01-10T00:00:00"/>
    <x v="5"/>
    <x v="5"/>
    <x v="2"/>
    <x v="0"/>
    <n v="7.87"/>
    <s v="&gt;5kg"/>
    <n v="4"/>
    <n v="5"/>
    <x v="1"/>
    <n v="9000"/>
    <n v="70830"/>
    <s v="Bayu Ramadhan"/>
    <s v="crowd source"/>
    <x v="0"/>
  </r>
  <r>
    <s v="SHP01127"/>
    <s v="EMP027"/>
    <x v="386"/>
    <d v="2023-02-05T00:00:00"/>
    <x v="6"/>
    <x v="9"/>
    <x v="2"/>
    <x v="0"/>
    <n v="1.84"/>
    <s v="&lt; 5kg"/>
    <n v="5"/>
    <n v="5"/>
    <x v="1"/>
    <n v="9000"/>
    <n v="16560"/>
    <s v="Cindy Oktavia"/>
    <s v="internal"/>
    <x v="0"/>
  </r>
  <r>
    <s v="SHP01128"/>
    <s v="EMP028"/>
    <x v="73"/>
    <d v="2024-12-26T00:00:00"/>
    <x v="7"/>
    <x v="5"/>
    <x v="0"/>
    <x v="0"/>
    <n v="5.22"/>
    <s v="&gt;5kg"/>
    <n v="10"/>
    <n v="3"/>
    <x v="0"/>
    <n v="10000"/>
    <n v="52200"/>
    <s v="Dian Pramudya"/>
    <s v="crowd source"/>
    <x v="1"/>
  </r>
  <r>
    <s v="SHP01129"/>
    <s v="EMP029"/>
    <x v="565"/>
    <d v="2024-08-25T00:00:00"/>
    <x v="8"/>
    <x v="4"/>
    <x v="0"/>
    <x v="0"/>
    <n v="4.75"/>
    <s v="&lt; 5kg"/>
    <n v="2"/>
    <n v="3"/>
    <x v="1"/>
    <n v="10000"/>
    <n v="47500"/>
    <s v="Erwin Kurniawan"/>
    <s v="internal"/>
    <x v="1"/>
  </r>
  <r>
    <s v="SHP01130"/>
    <s v="EMP030"/>
    <x v="72"/>
    <d v="2023-08-29T00:00:00"/>
    <x v="9"/>
    <x v="9"/>
    <x v="2"/>
    <x v="1"/>
    <n v="10.08"/>
    <s v="&gt;5kg"/>
    <n v="10"/>
    <n v="5"/>
    <x v="0"/>
    <n v="9000"/>
    <n v="90720"/>
    <s v="Fitri Handayani"/>
    <s v="crowd source"/>
    <x v="0"/>
  </r>
  <r>
    <s v="SHP01131"/>
    <s v="EMP031"/>
    <x v="294"/>
    <d v="2024-01-16T00:00:00"/>
    <x v="0"/>
    <x v="7"/>
    <x v="0"/>
    <x v="0"/>
    <n v="0.81"/>
    <s v="&lt; 5kg"/>
    <n v="0"/>
    <n v="3"/>
    <x v="1"/>
    <n v="10000"/>
    <n v="8100.0000000000009"/>
    <s v="Gilang Saputra"/>
    <s v="internal"/>
    <x v="0"/>
  </r>
  <r>
    <s v="SHP01132"/>
    <s v="EMP032"/>
    <x v="449"/>
    <d v="2023-10-09T00:00:00"/>
    <x v="1"/>
    <x v="4"/>
    <x v="1"/>
    <x v="1"/>
    <n v="7.33"/>
    <s v="&gt;5kg"/>
    <n v="3"/>
    <n v="1"/>
    <x v="0"/>
    <n v="12000"/>
    <n v="87960"/>
    <s v="Hariyanto"/>
    <s v="crowd source"/>
    <x v="1"/>
  </r>
  <r>
    <s v="SHP01133"/>
    <s v="EMP033"/>
    <x v="362"/>
    <d v="2023-09-06T00:00:00"/>
    <x v="2"/>
    <x v="6"/>
    <x v="1"/>
    <x v="0"/>
    <n v="3.25"/>
    <s v="&lt; 5kg"/>
    <n v="10"/>
    <n v="1"/>
    <x v="0"/>
    <n v="12000"/>
    <n v="39000"/>
    <s v="Intan Maharani"/>
    <s v="internal"/>
    <x v="0"/>
  </r>
  <r>
    <s v="SHP01134"/>
    <s v="EMP034"/>
    <x v="114"/>
    <d v="2024-04-05T00:00:00"/>
    <x v="3"/>
    <x v="9"/>
    <x v="0"/>
    <x v="0"/>
    <n v="2.81"/>
    <s v="&lt; 5kg"/>
    <n v="0"/>
    <n v="3"/>
    <x v="1"/>
    <n v="10000"/>
    <n v="28100"/>
    <s v="Jefri Alamsyah"/>
    <s v="internal"/>
    <x v="1"/>
  </r>
  <r>
    <s v="SHP01135"/>
    <s v="EMP035"/>
    <x v="480"/>
    <d v="2023-02-02T00:00:00"/>
    <x v="4"/>
    <x v="7"/>
    <x v="0"/>
    <x v="0"/>
    <n v="1.06"/>
    <s v="&lt; 5kg"/>
    <n v="9"/>
    <n v="3"/>
    <x v="0"/>
    <n v="10000"/>
    <n v="10600"/>
    <s v="Kartika Sari"/>
    <s v="crowd source"/>
    <x v="0"/>
  </r>
  <r>
    <s v="SHP01136"/>
    <s v="EMP036"/>
    <x v="190"/>
    <d v="2024-05-20T00:00:00"/>
    <x v="5"/>
    <x v="5"/>
    <x v="2"/>
    <x v="0"/>
    <n v="3.97"/>
    <s v="&lt; 5kg"/>
    <n v="0"/>
    <n v="5"/>
    <x v="1"/>
    <n v="9000"/>
    <n v="35730"/>
    <s v="Lukman Hakim"/>
    <s v="internal"/>
    <x v="1"/>
  </r>
  <r>
    <s v="SHP01137"/>
    <s v="EMP037"/>
    <x v="259"/>
    <d v="2024-09-20T00:00:00"/>
    <x v="6"/>
    <x v="9"/>
    <x v="1"/>
    <x v="0"/>
    <n v="1.45"/>
    <s v="&lt; 5kg"/>
    <n v="9"/>
    <n v="1"/>
    <x v="0"/>
    <n v="12000"/>
    <n v="17400"/>
    <s v="Mega Puspitasari"/>
    <s v="internal"/>
    <x v="0"/>
  </r>
  <r>
    <s v="SHP01138"/>
    <s v="EMP038"/>
    <x v="98"/>
    <d v="2024-03-31T00:00:00"/>
    <x v="7"/>
    <x v="9"/>
    <x v="1"/>
    <x v="0"/>
    <n v="4.46"/>
    <s v="&lt; 5kg"/>
    <n v="7"/>
    <n v="1"/>
    <x v="0"/>
    <n v="12000"/>
    <n v="53520"/>
    <s v="Niko Prasetyo"/>
    <s v="crowd source"/>
    <x v="1"/>
  </r>
  <r>
    <s v="SHP01139"/>
    <s v="EMP039"/>
    <x v="555"/>
    <d v="2024-03-21T00:00:00"/>
    <x v="8"/>
    <x v="2"/>
    <x v="0"/>
    <x v="0"/>
    <n v="10.31"/>
    <s v="&gt;5kg"/>
    <n v="4"/>
    <n v="3"/>
    <x v="0"/>
    <n v="10000"/>
    <n v="103100"/>
    <s v="Olivia Putri"/>
    <s v="internal"/>
    <x v="0"/>
  </r>
  <r>
    <s v="SHP01140"/>
    <s v="EMP040"/>
    <x v="383"/>
    <d v="2023-08-15T00:00:00"/>
    <x v="9"/>
    <x v="9"/>
    <x v="1"/>
    <x v="1"/>
    <n v="8.06"/>
    <s v="&gt;5kg"/>
    <n v="4"/>
    <n v="1"/>
    <x v="0"/>
    <n v="12000"/>
    <n v="96720"/>
    <s v="Prasetyo Utomo"/>
    <s v="internal"/>
    <x v="1"/>
  </r>
  <r>
    <s v="SHP01141"/>
    <s v="EMP041"/>
    <x v="231"/>
    <d v="2024-11-19T00:00:00"/>
    <x v="0"/>
    <x v="6"/>
    <x v="2"/>
    <x v="1"/>
    <n v="5.19"/>
    <s v="&gt;5kg"/>
    <n v="8"/>
    <n v="5"/>
    <x v="0"/>
    <n v="9000"/>
    <n v="46710"/>
    <s v="Qori Annisa"/>
    <s v="crowd source"/>
    <x v="0"/>
  </r>
  <r>
    <s v="SHP01142"/>
    <s v="EMP042"/>
    <x v="458"/>
    <d v="2024-07-21T00:00:00"/>
    <x v="1"/>
    <x v="8"/>
    <x v="2"/>
    <x v="0"/>
    <n v="4.3099999999999996"/>
    <s v="&lt; 5kg"/>
    <n v="11"/>
    <n v="5"/>
    <x v="0"/>
    <n v="9000"/>
    <n v="38790"/>
    <s v="Rangga Saptonugroho"/>
    <s v="crowd source"/>
    <x v="1"/>
  </r>
  <r>
    <s v="SHP01143"/>
    <s v="EMP043"/>
    <x v="173"/>
    <d v="2024-12-19T00:00:00"/>
    <x v="2"/>
    <x v="8"/>
    <x v="0"/>
    <x v="0"/>
    <n v="8.7100000000000009"/>
    <s v="&gt;5kg"/>
    <n v="5"/>
    <n v="3"/>
    <x v="0"/>
    <n v="10000"/>
    <n v="87100.000000000015"/>
    <s v="Sinta Dewi"/>
    <s v="internal"/>
    <x v="0"/>
  </r>
  <r>
    <s v="SHP01144"/>
    <s v="EMP044"/>
    <x v="485"/>
    <d v="2023-11-06T00:00:00"/>
    <x v="3"/>
    <x v="9"/>
    <x v="0"/>
    <x v="0"/>
    <n v="3.11"/>
    <s v="&lt; 5kg"/>
    <n v="7"/>
    <n v="3"/>
    <x v="0"/>
    <n v="10000"/>
    <n v="31100"/>
    <s v="Taufik Hidayat"/>
    <s v="internal"/>
    <x v="1"/>
  </r>
  <r>
    <s v="SHP01145"/>
    <s v="EMP045"/>
    <x v="50"/>
    <d v="2023-11-19T00:00:00"/>
    <x v="4"/>
    <x v="3"/>
    <x v="1"/>
    <x v="0"/>
    <n v="4.59"/>
    <s v="&lt; 5kg"/>
    <n v="0"/>
    <n v="1"/>
    <x v="1"/>
    <n v="12000"/>
    <n v="55080"/>
    <s v="Usman Ali"/>
    <s v="crowd source"/>
    <x v="0"/>
  </r>
  <r>
    <s v="SHP01146"/>
    <s v="EMP046"/>
    <x v="13"/>
    <d v="2024-02-15T00:00:00"/>
    <x v="5"/>
    <x v="8"/>
    <x v="2"/>
    <x v="0"/>
    <n v="10.220000000000001"/>
    <s v="&gt;5kg"/>
    <n v="4"/>
    <n v="5"/>
    <x v="1"/>
    <n v="9000"/>
    <n v="91980"/>
    <s v="Vivi Lestari"/>
    <s v="internal"/>
    <x v="0"/>
  </r>
  <r>
    <s v="SHP01147"/>
    <s v="EMP047"/>
    <x v="166"/>
    <d v="2023-10-19T00:00:00"/>
    <x v="6"/>
    <x v="9"/>
    <x v="2"/>
    <x v="0"/>
    <n v="2.87"/>
    <s v="&lt; 5kg"/>
    <n v="3"/>
    <n v="5"/>
    <x v="1"/>
    <n v="9000"/>
    <n v="25830"/>
    <s v="Wawan Setiabudi"/>
    <s v="internal"/>
    <x v="1"/>
  </r>
  <r>
    <s v="SHP01148"/>
    <s v="EMP048"/>
    <x v="566"/>
    <d v="2024-10-06T00:00:00"/>
    <x v="7"/>
    <x v="2"/>
    <x v="0"/>
    <x v="1"/>
    <n v="6.68"/>
    <s v="&gt;5kg"/>
    <n v="4"/>
    <n v="3"/>
    <x v="0"/>
    <n v="10000"/>
    <n v="66800"/>
    <s v="Xenia Maharani"/>
    <s v="crowd source"/>
    <x v="0"/>
  </r>
  <r>
    <s v="SHP01149"/>
    <s v="EMP049"/>
    <x v="137"/>
    <d v="2024-08-06T00:00:00"/>
    <x v="8"/>
    <x v="2"/>
    <x v="0"/>
    <x v="0"/>
    <n v="4.3"/>
    <s v="&lt; 5kg"/>
    <n v="1"/>
    <n v="3"/>
    <x v="1"/>
    <n v="10000"/>
    <n v="43000"/>
    <s v="Yoga Pradana"/>
    <s v="internal"/>
    <x v="0"/>
  </r>
  <r>
    <s v="SHP01150"/>
    <s v="EMP050"/>
    <x v="567"/>
    <d v="2023-12-05T00:00:00"/>
    <x v="9"/>
    <x v="6"/>
    <x v="0"/>
    <x v="1"/>
    <n v="3.88"/>
    <s v="&lt; 5kg"/>
    <n v="4"/>
    <n v="3"/>
    <x v="0"/>
    <n v="10000"/>
    <n v="38800"/>
    <s v="Zulfikar Ramadhan"/>
    <s v="crowd source"/>
    <x v="1"/>
  </r>
  <r>
    <s v="SHP01151"/>
    <s v="EMP051"/>
    <x v="182"/>
    <d v="2023-05-27T00:00:00"/>
    <x v="0"/>
    <x v="0"/>
    <x v="1"/>
    <x v="0"/>
    <n v="0.85"/>
    <s v="&lt; 5kg"/>
    <n v="0"/>
    <n v="1"/>
    <x v="1"/>
    <n v="12000"/>
    <n v="10200"/>
    <s v="Aditya Saputra"/>
    <s v="internal"/>
    <x v="0"/>
  </r>
  <r>
    <s v="SHP01152"/>
    <s v="EMP052"/>
    <x v="518"/>
    <d v="2023-07-26T00:00:00"/>
    <x v="1"/>
    <x v="1"/>
    <x v="0"/>
    <x v="0"/>
    <n v="4.8600000000000003"/>
    <s v="&lt; 5kg"/>
    <n v="2"/>
    <n v="3"/>
    <x v="1"/>
    <n v="10000"/>
    <n v="48600"/>
    <s v="Bella Oktaviani"/>
    <s v="internal"/>
    <x v="0"/>
  </r>
  <r>
    <s v="SHP01153"/>
    <s v="EMP053"/>
    <x v="422"/>
    <d v="2024-09-02T00:00:00"/>
    <x v="2"/>
    <x v="9"/>
    <x v="0"/>
    <x v="0"/>
    <n v="9.9499999999999993"/>
    <s v="&gt;5kg"/>
    <n v="3"/>
    <n v="3"/>
    <x v="1"/>
    <n v="10000"/>
    <n v="99500"/>
    <s v="Chandra Wijaya"/>
    <s v="crowd source"/>
    <x v="1"/>
  </r>
  <r>
    <s v="SHP01154"/>
    <s v="EMP054"/>
    <x v="181"/>
    <d v="2024-10-17T00:00:00"/>
    <x v="3"/>
    <x v="4"/>
    <x v="1"/>
    <x v="0"/>
    <n v="8.14"/>
    <s v="&gt;5kg"/>
    <n v="11"/>
    <n v="1"/>
    <x v="0"/>
    <n v="12000"/>
    <n v="97680"/>
    <s v="Dewi Sartika"/>
    <s v="internal"/>
    <x v="0"/>
  </r>
  <r>
    <s v="SHP01155"/>
    <s v="EMP055"/>
    <x v="331"/>
    <d v="2023-03-19T00:00:00"/>
    <x v="4"/>
    <x v="8"/>
    <x v="0"/>
    <x v="0"/>
    <n v="9.01"/>
    <s v="&gt;5kg"/>
    <n v="3"/>
    <n v="3"/>
    <x v="1"/>
    <n v="10000"/>
    <n v="90100"/>
    <s v="Edi Kurniawan"/>
    <s v="internal"/>
    <x v="1"/>
  </r>
  <r>
    <s v="SHP01156"/>
    <s v="EMP056"/>
    <x v="348"/>
    <d v="2024-06-01T00:00:00"/>
    <x v="5"/>
    <x v="4"/>
    <x v="1"/>
    <x v="0"/>
    <n v="3.74"/>
    <s v="&lt; 5kg"/>
    <n v="1"/>
    <n v="1"/>
    <x v="1"/>
    <n v="12000"/>
    <n v="44880"/>
    <s v="Farah Nabila"/>
    <s v="crowd source"/>
    <x v="0"/>
  </r>
  <r>
    <s v="SHP01157"/>
    <s v="EMP057"/>
    <x v="568"/>
    <d v="2024-05-17T00:00:00"/>
    <x v="6"/>
    <x v="9"/>
    <x v="0"/>
    <x v="1"/>
    <n v="0.84"/>
    <s v="&lt; 5kg"/>
    <n v="11"/>
    <n v="3"/>
    <x v="0"/>
    <n v="10000"/>
    <n v="8400"/>
    <s v="Galih Pratomo"/>
    <s v="internal"/>
    <x v="0"/>
  </r>
  <r>
    <s v="SHP01158"/>
    <s v="EMP058"/>
    <x v="270"/>
    <d v="2023-07-29T00:00:00"/>
    <x v="7"/>
    <x v="3"/>
    <x v="0"/>
    <x v="0"/>
    <n v="8.2799999999999994"/>
    <s v="&gt;5kg"/>
    <n v="0"/>
    <n v="3"/>
    <x v="1"/>
    <n v="10000"/>
    <n v="82800"/>
    <s v="Hadi Purnomo"/>
    <s v="crowd source"/>
    <x v="1"/>
  </r>
  <r>
    <s v="SHP01159"/>
    <s v="EMP059"/>
    <x v="248"/>
    <d v="2023-03-09T00:00:00"/>
    <x v="8"/>
    <x v="0"/>
    <x v="2"/>
    <x v="0"/>
    <n v="8.65"/>
    <s v="&gt;5kg"/>
    <n v="8"/>
    <n v="5"/>
    <x v="0"/>
    <n v="9000"/>
    <n v="77850"/>
    <s v="Ika Lestari"/>
    <s v="internal"/>
    <x v="0"/>
  </r>
  <r>
    <s v="SHP01160"/>
    <s v="EMP060"/>
    <x v="569"/>
    <d v="2024-10-05T00:00:00"/>
    <x v="9"/>
    <x v="2"/>
    <x v="1"/>
    <x v="1"/>
    <n v="4.4800000000000004"/>
    <s v="&lt; 5kg"/>
    <n v="1"/>
    <n v="1"/>
    <x v="1"/>
    <n v="12000"/>
    <n v="53760.000000000007"/>
    <s v="Jamil Akbar"/>
    <s v="internal"/>
    <x v="1"/>
  </r>
  <r>
    <s v="SHP01161"/>
    <s v="EMP061"/>
    <x v="465"/>
    <d v="2023-10-19T00:00:00"/>
    <x v="0"/>
    <x v="4"/>
    <x v="2"/>
    <x v="0"/>
    <n v="8.36"/>
    <s v="&gt;5kg"/>
    <n v="4"/>
    <n v="5"/>
    <x v="1"/>
    <n v="9000"/>
    <n v="75240"/>
    <s v="Kevin Sanjaya"/>
    <s v="crowd source"/>
    <x v="0"/>
  </r>
  <r>
    <s v="SHP01162"/>
    <s v="EMP062"/>
    <x v="556"/>
    <d v="2024-11-04T00:00:00"/>
    <x v="1"/>
    <x v="0"/>
    <x v="2"/>
    <x v="1"/>
    <n v="7.24"/>
    <s v="&gt;5kg"/>
    <n v="11"/>
    <n v="5"/>
    <x v="0"/>
    <n v="9000"/>
    <n v="65160"/>
    <s v="Laila Nuraini"/>
    <s v="internal"/>
    <x v="0"/>
  </r>
  <r>
    <s v="SHP01163"/>
    <s v="EMP063"/>
    <x v="106"/>
    <d v="2023-02-12T00:00:00"/>
    <x v="2"/>
    <x v="1"/>
    <x v="2"/>
    <x v="0"/>
    <n v="6.01"/>
    <s v="&gt;5kg"/>
    <n v="0"/>
    <n v="5"/>
    <x v="1"/>
    <n v="9000"/>
    <n v="54090"/>
    <s v="Miko Setiawan"/>
    <s v="crowd source"/>
    <x v="1"/>
  </r>
  <r>
    <s v="SHP01164"/>
    <s v="EMP064"/>
    <x v="50"/>
    <d v="2023-11-23T00:00:00"/>
    <x v="3"/>
    <x v="0"/>
    <x v="0"/>
    <x v="1"/>
    <n v="6.65"/>
    <s v="&gt;5kg"/>
    <n v="4"/>
    <n v="3"/>
    <x v="0"/>
    <n v="10000"/>
    <n v="66500"/>
    <s v="Nisa Aulia"/>
    <s v="internal"/>
    <x v="0"/>
  </r>
  <r>
    <s v="SHP01165"/>
    <s v="EMP065"/>
    <x v="350"/>
    <d v="2023-06-08T00:00:00"/>
    <x v="4"/>
    <x v="3"/>
    <x v="0"/>
    <x v="1"/>
    <n v="7.71"/>
    <s v="&gt;5kg"/>
    <n v="0"/>
    <n v="3"/>
    <x v="1"/>
    <n v="10000"/>
    <n v="77100"/>
    <s v="Oki Pramono"/>
    <s v="internal"/>
    <x v="1"/>
  </r>
  <r>
    <s v="SHP01166"/>
    <s v="EMP066"/>
    <x v="219"/>
    <d v="2023-11-24T00:00:00"/>
    <x v="5"/>
    <x v="4"/>
    <x v="2"/>
    <x v="0"/>
    <n v="4.87"/>
    <s v="&lt; 5kg"/>
    <n v="2"/>
    <n v="5"/>
    <x v="1"/>
    <n v="9000"/>
    <n v="43830"/>
    <s v="Putra Mahendra"/>
    <s v="crowd source"/>
    <x v="0"/>
  </r>
  <r>
    <s v="SHP01167"/>
    <s v="EMP067"/>
    <x v="357"/>
    <d v="2024-04-24T00:00:00"/>
    <x v="6"/>
    <x v="1"/>
    <x v="1"/>
    <x v="0"/>
    <n v="9.08"/>
    <s v="&gt;5kg"/>
    <n v="4"/>
    <n v="1"/>
    <x v="0"/>
    <n v="12000"/>
    <n v="108960"/>
    <s v="Qolbi Ramadhani"/>
    <s v="internal"/>
    <x v="0"/>
  </r>
  <r>
    <s v="SHP01168"/>
    <s v="EMP068"/>
    <x v="570"/>
    <d v="2024-09-20T00:00:00"/>
    <x v="7"/>
    <x v="2"/>
    <x v="0"/>
    <x v="0"/>
    <n v="6.24"/>
    <s v="&gt;5kg"/>
    <n v="2"/>
    <n v="3"/>
    <x v="1"/>
    <n v="10000"/>
    <n v="62400"/>
    <s v="Reza Firmansyah"/>
    <s v="crowd source"/>
    <x v="1"/>
  </r>
  <r>
    <s v="SHP01169"/>
    <s v="EMP069"/>
    <x v="571"/>
    <d v="2023-08-21T00:00:00"/>
    <x v="8"/>
    <x v="4"/>
    <x v="0"/>
    <x v="1"/>
    <n v="7.69"/>
    <s v="&gt;5kg"/>
    <n v="4"/>
    <n v="3"/>
    <x v="0"/>
    <n v="10000"/>
    <n v="76900"/>
    <s v="Siska Amelia"/>
    <s v="internal"/>
    <x v="0"/>
  </r>
  <r>
    <s v="SHP01170"/>
    <s v="EMP070"/>
    <x v="303"/>
    <d v="2023-07-17T00:00:00"/>
    <x v="9"/>
    <x v="3"/>
    <x v="0"/>
    <x v="1"/>
    <n v="4.0999999999999996"/>
    <s v="&lt; 5kg"/>
    <n v="0"/>
    <n v="3"/>
    <x v="1"/>
    <n v="10000"/>
    <n v="41000"/>
    <s v="Tri Wibowo"/>
    <s v="internal"/>
    <x v="1"/>
  </r>
  <r>
    <s v="SHP01171"/>
    <s v="EMP071"/>
    <x v="572"/>
    <d v="2024-05-16T00:00:00"/>
    <x v="0"/>
    <x v="2"/>
    <x v="0"/>
    <x v="1"/>
    <n v="1.05"/>
    <s v="&lt; 5kg"/>
    <n v="0"/>
    <n v="3"/>
    <x v="1"/>
    <n v="10000"/>
    <n v="10500"/>
    <s v="Ubay Prakoso"/>
    <s v="crowd source"/>
    <x v="0"/>
  </r>
  <r>
    <s v="SHP01172"/>
    <s v="EMP072"/>
    <x v="573"/>
    <d v="2024-12-30T00:00:00"/>
    <x v="1"/>
    <x v="7"/>
    <x v="0"/>
    <x v="1"/>
    <n v="1.29"/>
    <s v="&lt; 5kg"/>
    <n v="0"/>
    <n v="3"/>
    <x v="1"/>
    <n v="10000"/>
    <n v="12900"/>
    <s v="Vania Putri"/>
    <s v="internal"/>
    <x v="0"/>
  </r>
  <r>
    <s v="SHP01173"/>
    <s v="EMP073"/>
    <x v="62"/>
    <d v="2024-10-19T00:00:00"/>
    <x v="2"/>
    <x v="3"/>
    <x v="0"/>
    <x v="1"/>
    <n v="6.34"/>
    <s v="&gt;5kg"/>
    <n v="0"/>
    <n v="3"/>
    <x v="1"/>
    <n v="10000"/>
    <n v="63400"/>
    <s v="Wira Nugraha"/>
    <s v="internal"/>
    <x v="1"/>
  </r>
  <r>
    <s v="SHP01174"/>
    <s v="EMP074"/>
    <x v="124"/>
    <d v="2023-11-25T00:00:00"/>
    <x v="3"/>
    <x v="4"/>
    <x v="0"/>
    <x v="1"/>
    <n v="5.6"/>
    <s v="&gt;5kg"/>
    <n v="2"/>
    <n v="3"/>
    <x v="1"/>
    <n v="10000"/>
    <n v="56000"/>
    <s v="Xaverius Adi"/>
    <s v="crowd source"/>
    <x v="1"/>
  </r>
  <r>
    <s v="SHP01175"/>
    <s v="EMP075"/>
    <x v="138"/>
    <d v="2024-01-11T00:00:00"/>
    <x v="4"/>
    <x v="0"/>
    <x v="2"/>
    <x v="1"/>
    <n v="0.91"/>
    <s v="&lt; 5kg"/>
    <n v="1"/>
    <n v="5"/>
    <x v="1"/>
    <n v="9000"/>
    <n v="8190"/>
    <s v="Yuliana Kartini"/>
    <s v="internal"/>
    <x v="0"/>
  </r>
  <r>
    <s v="SHP01176"/>
    <s v="EMP076"/>
    <x v="212"/>
    <d v="2024-10-11T00:00:00"/>
    <x v="5"/>
    <x v="8"/>
    <x v="0"/>
    <x v="1"/>
    <n v="7.21"/>
    <s v="&gt;5kg"/>
    <n v="10"/>
    <n v="3"/>
    <x v="0"/>
    <n v="10000"/>
    <n v="72100"/>
    <s v="Zaki Alamsyah"/>
    <s v="internal"/>
    <x v="0"/>
  </r>
  <r>
    <s v="SHP01177"/>
    <s v="EMP077"/>
    <x v="223"/>
    <d v="2024-04-23T00:00:00"/>
    <x v="6"/>
    <x v="1"/>
    <x v="2"/>
    <x v="1"/>
    <n v="1.1000000000000001"/>
    <s v="&lt; 5kg"/>
    <n v="0"/>
    <n v="5"/>
    <x v="1"/>
    <n v="9000"/>
    <n v="9900"/>
    <s v="Arief Setyawan"/>
    <s v="crowd source"/>
    <x v="1"/>
  </r>
  <r>
    <s v="SHP01178"/>
    <s v="EMP078"/>
    <x v="572"/>
    <d v="2024-05-17T00:00:00"/>
    <x v="7"/>
    <x v="3"/>
    <x v="0"/>
    <x v="1"/>
    <n v="2.71"/>
    <s v="&lt; 5kg"/>
    <n v="1"/>
    <n v="3"/>
    <x v="1"/>
    <n v="10000"/>
    <n v="27100"/>
    <s v="Bunga Cahyani"/>
    <s v="internal"/>
    <x v="0"/>
  </r>
  <r>
    <s v="SHP01179"/>
    <s v="EMP079"/>
    <x v="336"/>
    <d v="2023-07-18T00:00:00"/>
    <x v="8"/>
    <x v="5"/>
    <x v="0"/>
    <x v="1"/>
    <n v="5.84"/>
    <s v="&gt;5kg"/>
    <n v="5"/>
    <n v="3"/>
    <x v="0"/>
    <n v="10000"/>
    <n v="58400"/>
    <s v="Cahyo Prabowo"/>
    <s v="internal"/>
    <x v="1"/>
  </r>
  <r>
    <s v="SHP01180"/>
    <s v="EMP080"/>
    <x v="117"/>
    <d v="2023-04-05T00:00:00"/>
    <x v="9"/>
    <x v="8"/>
    <x v="0"/>
    <x v="0"/>
    <n v="4.59"/>
    <s v="&lt; 5kg"/>
    <n v="10"/>
    <n v="3"/>
    <x v="0"/>
    <n v="10000"/>
    <n v="45900"/>
    <s v="Diah Permata"/>
    <s v="crowd source"/>
    <x v="0"/>
  </r>
  <r>
    <s v="SHP01181"/>
    <s v="EMP081"/>
    <x v="561"/>
    <d v="2024-03-17T00:00:00"/>
    <x v="0"/>
    <x v="0"/>
    <x v="2"/>
    <x v="1"/>
    <n v="9.41"/>
    <s v="&gt;5kg"/>
    <n v="4"/>
    <n v="5"/>
    <x v="1"/>
    <n v="9000"/>
    <n v="84690"/>
    <s v="Evania Putri"/>
    <s v="internal"/>
    <x v="0"/>
  </r>
  <r>
    <s v="SHP01182"/>
    <s v="EMP082"/>
    <x v="144"/>
    <d v="2023-12-08T00:00:00"/>
    <x v="1"/>
    <x v="2"/>
    <x v="1"/>
    <x v="0"/>
    <n v="10.42"/>
    <s v="&gt;5kg"/>
    <n v="0"/>
    <n v="1"/>
    <x v="1"/>
    <n v="12000"/>
    <n v="125040"/>
    <s v="Fikri Ramadhan"/>
    <s v="crowd source"/>
    <x v="1"/>
  </r>
  <r>
    <s v="SHP01183"/>
    <s v="EMP083"/>
    <x v="435"/>
    <d v="2023-09-11T00:00:00"/>
    <x v="2"/>
    <x v="9"/>
    <x v="1"/>
    <x v="1"/>
    <n v="8.67"/>
    <s v="&gt;5kg"/>
    <n v="4"/>
    <n v="1"/>
    <x v="0"/>
    <n v="12000"/>
    <n v="104040"/>
    <s v="Gilang Ramli"/>
    <s v="internal"/>
    <x v="0"/>
  </r>
  <r>
    <s v="SHP01184"/>
    <s v="EMP084"/>
    <x v="574"/>
    <d v="2024-01-23T00:00:00"/>
    <x v="3"/>
    <x v="6"/>
    <x v="2"/>
    <x v="0"/>
    <n v="6.23"/>
    <s v="&gt;5kg"/>
    <n v="4"/>
    <n v="5"/>
    <x v="1"/>
    <n v="9000"/>
    <n v="56070.000000000007"/>
    <s v="Hana Zahra"/>
    <s v="internal"/>
    <x v="0"/>
  </r>
  <r>
    <s v="SHP01185"/>
    <s v="EMP085"/>
    <x v="575"/>
    <d v="2024-04-18T00:00:00"/>
    <x v="4"/>
    <x v="3"/>
    <x v="0"/>
    <x v="0"/>
    <n v="2.1800000000000002"/>
    <s v="&lt; 5kg"/>
    <n v="1"/>
    <n v="3"/>
    <x v="1"/>
    <n v="10000"/>
    <n v="21800"/>
    <s v="Irfan Maulana"/>
    <s v="internal"/>
    <x v="1"/>
  </r>
  <r>
    <s v="SHP01186"/>
    <s v="EMP086"/>
    <x v="576"/>
    <d v="2024-11-21T00:00:00"/>
    <x v="5"/>
    <x v="1"/>
    <x v="0"/>
    <x v="0"/>
    <n v="5.42"/>
    <s v="&gt;5kg"/>
    <n v="4"/>
    <n v="3"/>
    <x v="0"/>
    <n v="10000"/>
    <n v="54200"/>
    <s v="Jihan Salsabila"/>
    <s v="crowd source"/>
    <x v="0"/>
  </r>
  <r>
    <s v="SHP01187"/>
    <s v="EMP087"/>
    <x v="73"/>
    <d v="2024-12-17T00:00:00"/>
    <x v="6"/>
    <x v="7"/>
    <x v="0"/>
    <x v="1"/>
    <n v="3.7"/>
    <s v="&lt; 5kg"/>
    <n v="1"/>
    <n v="3"/>
    <x v="1"/>
    <n v="10000"/>
    <n v="37000"/>
    <s v="Koko Santoso"/>
    <s v="internal"/>
    <x v="0"/>
  </r>
  <r>
    <s v="SHP01188"/>
    <s v="EMP088"/>
    <x v="426"/>
    <d v="2023-04-17T00:00:00"/>
    <x v="7"/>
    <x v="7"/>
    <x v="1"/>
    <x v="1"/>
    <n v="6.13"/>
    <s v="&gt;5kg"/>
    <n v="1"/>
    <n v="1"/>
    <x v="1"/>
    <n v="12000"/>
    <n v="73560"/>
    <s v="Luthfi Hakim"/>
    <s v="crowd source"/>
    <x v="1"/>
  </r>
  <r>
    <s v="SHP01189"/>
    <s v="EMP089"/>
    <x v="123"/>
    <d v="2023-06-06T00:00:00"/>
    <x v="8"/>
    <x v="8"/>
    <x v="2"/>
    <x v="1"/>
    <n v="5.31"/>
    <s v="&gt;5kg"/>
    <n v="4"/>
    <n v="5"/>
    <x v="1"/>
    <n v="9000"/>
    <n v="47790"/>
    <s v="Melati Anggraini"/>
    <s v="internal"/>
    <x v="0"/>
  </r>
  <r>
    <s v="SHP01190"/>
    <s v="EMP090"/>
    <x v="577"/>
    <d v="2024-05-08T00:00:00"/>
    <x v="9"/>
    <x v="5"/>
    <x v="2"/>
    <x v="0"/>
    <n v="4.1399999999999997"/>
    <s v="&lt; 5kg"/>
    <n v="0"/>
    <n v="5"/>
    <x v="1"/>
    <n v="9000"/>
    <n v="37260"/>
    <s v="Naufal Rizky"/>
    <s v="internal"/>
    <x v="1"/>
  </r>
  <r>
    <s v="SHP01191"/>
    <s v="EMP091"/>
    <x v="154"/>
    <d v="2024-12-27T00:00:00"/>
    <x v="0"/>
    <x v="1"/>
    <x v="0"/>
    <x v="0"/>
    <n v="9.26"/>
    <s v="&gt;5kg"/>
    <n v="4"/>
    <n v="3"/>
    <x v="0"/>
    <n v="10000"/>
    <n v="92600"/>
    <s v="Olin Febriani"/>
    <s v="crowd source"/>
    <x v="0"/>
  </r>
  <r>
    <s v="SHP01192"/>
    <s v="EMP092"/>
    <x v="61"/>
    <d v="2023-03-12T00:00:00"/>
    <x v="1"/>
    <x v="8"/>
    <x v="2"/>
    <x v="1"/>
    <n v="5.5"/>
    <s v="&gt;5kg"/>
    <n v="8"/>
    <n v="5"/>
    <x v="0"/>
    <n v="9000"/>
    <n v="49500"/>
    <s v="Praditya Wicaksono"/>
    <s v="internal"/>
    <x v="1"/>
  </r>
  <r>
    <s v="SHP01193"/>
    <s v="EMP093"/>
    <x v="481"/>
    <d v="2023-07-16T00:00:00"/>
    <x v="2"/>
    <x v="1"/>
    <x v="0"/>
    <x v="0"/>
    <n v="9.83"/>
    <s v="&gt;5kg"/>
    <n v="4"/>
    <n v="3"/>
    <x v="0"/>
    <n v="10000"/>
    <n v="98300"/>
    <s v="Qory Azzahra"/>
    <s v="internal"/>
    <x v="0"/>
  </r>
  <r>
    <s v="SHP01194"/>
    <s v="EMP094"/>
    <x v="433"/>
    <d v="2024-09-04T00:00:00"/>
    <x v="3"/>
    <x v="1"/>
    <x v="1"/>
    <x v="1"/>
    <n v="8.02"/>
    <s v="&gt;5kg"/>
    <n v="1"/>
    <n v="1"/>
    <x v="1"/>
    <n v="12000"/>
    <n v="96240"/>
    <s v="Rendi Saputra"/>
    <s v="crowd source"/>
    <x v="1"/>
  </r>
  <r>
    <s v="SHP01195"/>
    <s v="EMP095"/>
    <x v="272"/>
    <d v="2023-03-04T00:00:00"/>
    <x v="4"/>
    <x v="1"/>
    <x v="1"/>
    <x v="1"/>
    <n v="5.37"/>
    <s v="&gt;5kg"/>
    <n v="4"/>
    <n v="1"/>
    <x v="0"/>
    <n v="12000"/>
    <n v="64440"/>
    <s v="Salma Nuraini"/>
    <s v="internal"/>
    <x v="0"/>
  </r>
  <r>
    <s v="SHP01196"/>
    <s v="EMP096"/>
    <x v="111"/>
    <d v="2024-08-12T00:00:00"/>
    <x v="5"/>
    <x v="7"/>
    <x v="0"/>
    <x v="0"/>
    <n v="1.73"/>
    <s v="&lt; 5kg"/>
    <n v="2"/>
    <n v="3"/>
    <x v="1"/>
    <n v="10000"/>
    <n v="17300"/>
    <s v="Tegar Prakoso"/>
    <s v="internal"/>
    <x v="1"/>
  </r>
  <r>
    <s v="SHP01197"/>
    <s v="EMP097"/>
    <x v="500"/>
    <d v="2024-09-14T00:00:00"/>
    <x v="6"/>
    <x v="6"/>
    <x v="0"/>
    <x v="1"/>
    <n v="8.8000000000000007"/>
    <s v="&gt;5kg"/>
    <n v="4"/>
    <n v="3"/>
    <x v="0"/>
    <n v="10000"/>
    <n v="88000"/>
    <s v="Ulfa Khairunnisa"/>
    <s v="crowd source"/>
    <x v="0"/>
  </r>
  <r>
    <s v="SHP01198"/>
    <s v="EMP098"/>
    <x v="529"/>
    <d v="2024-03-24T00:00:00"/>
    <x v="7"/>
    <x v="1"/>
    <x v="2"/>
    <x v="0"/>
    <n v="1.45"/>
    <s v="&lt; 5kg"/>
    <n v="1"/>
    <n v="5"/>
    <x v="1"/>
    <n v="9000"/>
    <n v="13050"/>
    <s v="Vito Mahendra"/>
    <s v="internal"/>
    <x v="0"/>
  </r>
  <r>
    <s v="SHP01199"/>
    <s v="EMP099"/>
    <x v="67"/>
    <d v="2024-02-05T00:00:00"/>
    <x v="8"/>
    <x v="4"/>
    <x v="0"/>
    <x v="0"/>
    <n v="1.02"/>
    <s v="&lt; 5kg"/>
    <n v="5"/>
    <n v="3"/>
    <x v="0"/>
    <n v="10000"/>
    <n v="10200"/>
    <s v="Winda Sari"/>
    <s v="internal"/>
    <x v="0"/>
  </r>
  <r>
    <s v="SHP01200"/>
    <s v="EMP100"/>
    <x v="241"/>
    <d v="2024-11-23T00:00:00"/>
    <x v="9"/>
    <x v="2"/>
    <x v="0"/>
    <x v="1"/>
    <n v="9.84"/>
    <s v="&gt;5kg"/>
    <n v="3"/>
    <n v="3"/>
    <x v="1"/>
    <n v="10000"/>
    <n v="98400"/>
    <s v="Yusuf Al Ghazali"/>
    <s v="crowd sourc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8792E2-C650-4268-B713-2E77B084B003}" name="PivotTable15"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27:D32" firstHeaderRow="1" firstDataRow="2" firstDataCol="1"/>
  <pivotFields count="20">
    <pivotField dataField="1" showAll="0"/>
    <pivotField showAll="0"/>
    <pivotField numFmtId="164" showAll="0"/>
    <pivotField numFmtId="164" showAll="0"/>
    <pivotField showAll="0">
      <items count="11">
        <item x="2"/>
        <item x="0"/>
        <item x="7"/>
        <item x="1"/>
        <item x="8"/>
        <item x="3"/>
        <item x="9"/>
        <item x="4"/>
        <item x="6"/>
        <item x="5"/>
        <item t="default"/>
      </items>
    </pivotField>
    <pivotField showAll="0"/>
    <pivotField axis="axisRow" showAll="0">
      <items count="4">
        <item x="2"/>
        <item x="1"/>
        <item x="0"/>
        <item t="default"/>
      </items>
    </pivotField>
    <pivotField showAll="0">
      <items count="3">
        <item x="0"/>
        <item x="1"/>
        <item t="default"/>
      </items>
    </pivotField>
    <pivotField showAll="0"/>
    <pivotField showAll="0"/>
    <pivotField showAll="0"/>
    <pivotField showAll="0"/>
    <pivotField axis="axisCol" showAll="0">
      <items count="3">
        <item x="0"/>
        <item x="1"/>
        <item t="default"/>
      </items>
    </pivotField>
    <pivotField showAll="0"/>
    <pivotField showAll="0"/>
    <pivotField showAll="0"/>
    <pivotField showAll="0"/>
    <pivotField showAll="0">
      <items count="3">
        <item x="1"/>
        <item x="0"/>
        <item t="default"/>
      </items>
    </pivotField>
    <pivotField showAll="0" defaultSubtotal="0"/>
    <pivotField showAll="0" defaultSubtotal="0"/>
  </pivotFields>
  <rowFields count="1">
    <field x="6"/>
  </rowFields>
  <rowItems count="4">
    <i>
      <x/>
    </i>
    <i>
      <x v="1"/>
    </i>
    <i>
      <x v="2"/>
    </i>
    <i t="grand">
      <x/>
    </i>
  </rowItems>
  <colFields count="1">
    <field x="12"/>
  </colFields>
  <colItems count="3">
    <i>
      <x/>
    </i>
    <i>
      <x v="1"/>
    </i>
    <i t="grand">
      <x/>
    </i>
  </colItems>
  <dataFields count="1">
    <dataField name="Count of Shipment_ID" fld="0" subtotal="count" baseField="0" baseItem="0"/>
  </dataFields>
  <chartFormats count="4">
    <chartFormat chart="1" format="0" series="1">
      <pivotArea type="data" outline="0" fieldPosition="0">
        <references count="2">
          <reference field="4294967294" count="1" selected="0">
            <x v="0"/>
          </reference>
          <reference field="12" count="1" selected="0">
            <x v="0"/>
          </reference>
        </references>
      </pivotArea>
    </chartFormat>
    <chartFormat chart="1" format="1"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4812B1-8511-4233-8E12-DD08B8B8B52A}" name="PivotTable14"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9:D23" firstHeaderRow="1" firstDataRow="2" firstDataCol="1"/>
  <pivotFields count="20">
    <pivotField dataField="1" showAll="0"/>
    <pivotField showAll="0"/>
    <pivotField numFmtId="164" showAll="0"/>
    <pivotField numFmtId="164" showAll="0"/>
    <pivotField showAll="0">
      <items count="11">
        <item x="2"/>
        <item x="0"/>
        <item x="7"/>
        <item x="1"/>
        <item x="8"/>
        <item x="3"/>
        <item x="9"/>
        <item x="4"/>
        <item x="6"/>
        <item x="5"/>
        <item t="default"/>
      </items>
    </pivotField>
    <pivotField showAll="0"/>
    <pivotField showAll="0">
      <items count="4">
        <item x="2"/>
        <item x="1"/>
        <item x="0"/>
        <item t="default"/>
      </items>
    </pivotField>
    <pivotField showAll="0">
      <items count="3">
        <item x="0"/>
        <item x="1"/>
        <item t="default"/>
      </items>
    </pivotField>
    <pivotField showAll="0"/>
    <pivotField showAll="0"/>
    <pivotField showAll="0"/>
    <pivotField showAll="0"/>
    <pivotField axis="axisCol" showAll="0">
      <items count="3">
        <item x="0"/>
        <item x="1"/>
        <item t="default"/>
      </items>
    </pivotField>
    <pivotField showAll="0"/>
    <pivotField showAll="0"/>
    <pivotField showAll="0"/>
    <pivotField showAll="0"/>
    <pivotField axis="axisRow" showAll="0" sortType="descending">
      <items count="3">
        <item x="1"/>
        <item x="0"/>
        <item t="default"/>
      </items>
      <autoSortScope>
        <pivotArea dataOnly="0" outline="0" fieldPosition="0">
          <references count="2">
            <reference field="4294967294" count="1" selected="0">
              <x v="0"/>
            </reference>
            <reference field="12" count="1" selected="0">
              <x v="1"/>
            </reference>
          </references>
        </pivotArea>
      </autoSortScope>
    </pivotField>
    <pivotField showAll="0" defaultSubtotal="0"/>
    <pivotField showAll="0" defaultSubtotal="0"/>
  </pivotFields>
  <rowFields count="1">
    <field x="17"/>
  </rowFields>
  <rowItems count="3">
    <i>
      <x/>
    </i>
    <i>
      <x v="1"/>
    </i>
    <i t="grand">
      <x/>
    </i>
  </rowItems>
  <colFields count="1">
    <field x="12"/>
  </colFields>
  <colItems count="3">
    <i>
      <x/>
    </i>
    <i>
      <x v="1"/>
    </i>
    <i t="grand">
      <x/>
    </i>
  </colItems>
  <dataFields count="1">
    <dataField name="Count of Shipment_ID" fld="0" subtotal="count" baseField="0" baseItem="0"/>
  </dataFields>
  <chartFormats count="4">
    <chartFormat chart="2" format="0" series="1">
      <pivotArea type="data" outline="0" fieldPosition="0">
        <references count="2">
          <reference field="4294967294" count="1" selected="0">
            <x v="0"/>
          </reference>
          <reference field="12" count="1" selected="0">
            <x v="0"/>
          </reference>
        </references>
      </pivotArea>
    </chartFormat>
    <chartFormat chart="2" format="1" series="1">
      <pivotArea type="data" outline="0" fieldPosition="0">
        <references count="2">
          <reference field="4294967294" count="1" selected="0">
            <x v="0"/>
          </reference>
          <reference field="12" count="1" selected="0">
            <x v="1"/>
          </reference>
        </references>
      </pivotArea>
    </chartFormat>
    <chartFormat chart="5" format="4" series="1">
      <pivotArea type="data" outline="0" fieldPosition="0">
        <references count="2">
          <reference field="4294967294" count="1" selected="0">
            <x v="0"/>
          </reference>
          <reference field="12" count="1" selected="0">
            <x v="0"/>
          </reference>
        </references>
      </pivotArea>
    </chartFormat>
    <chartFormat chart="5"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4D5692-A12C-46FB-83A1-775190520485}" name="PivotTable13"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D15" firstHeaderRow="1" firstDataRow="2" firstDataCol="1"/>
  <pivotFields count="20">
    <pivotField dataField="1" showAll="0"/>
    <pivotField showAll="0"/>
    <pivotField numFmtId="164" showAll="0"/>
    <pivotField numFmtId="164" showAll="0"/>
    <pivotField axis="axisRow" showAll="0" sortType="descending">
      <items count="11">
        <item x="2"/>
        <item x="0"/>
        <item x="7"/>
        <item x="1"/>
        <item x="8"/>
        <item x="3"/>
        <item x="9"/>
        <item x="4"/>
        <item x="6"/>
        <item x="5"/>
        <item t="default"/>
      </items>
      <autoSortScope>
        <pivotArea dataOnly="0" outline="0" fieldPosition="0">
          <references count="2">
            <reference field="4294967294" count="1" selected="0">
              <x v="0"/>
            </reference>
            <reference field="12" count="1" selected="0">
              <x v="1"/>
            </reference>
          </references>
        </pivotArea>
      </autoSortScope>
    </pivotField>
    <pivotField showAll="0"/>
    <pivotField showAll="0">
      <items count="4">
        <item x="2"/>
        <item x="1"/>
        <item x="0"/>
        <item t="default"/>
      </items>
    </pivotField>
    <pivotField showAll="0">
      <items count="3">
        <item x="0"/>
        <item x="1"/>
        <item t="default"/>
      </items>
    </pivotField>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defaultSubtotal="0"/>
    <pivotField showAll="0" defaultSubtotal="0"/>
  </pivotFields>
  <rowFields count="1">
    <field x="4"/>
  </rowFields>
  <rowItems count="11">
    <i>
      <x v="5"/>
    </i>
    <i>
      <x v="6"/>
    </i>
    <i>
      <x v="7"/>
    </i>
    <i>
      <x v="4"/>
    </i>
    <i>
      <x v="3"/>
    </i>
    <i>
      <x v="2"/>
    </i>
    <i>
      <x v="1"/>
    </i>
    <i>
      <x/>
    </i>
    <i>
      <x v="9"/>
    </i>
    <i>
      <x v="8"/>
    </i>
    <i t="grand">
      <x/>
    </i>
  </rowItems>
  <colFields count="1">
    <field x="12"/>
  </colFields>
  <colItems count="3">
    <i>
      <x/>
    </i>
    <i>
      <x v="1"/>
    </i>
    <i t="grand">
      <x/>
    </i>
  </colItems>
  <dataFields count="1">
    <dataField name="Count of Shipment_ID" fld="0" subtotal="count" baseField="0" baseItem="0"/>
  </dataFields>
  <chartFormats count="4">
    <chartFormat chart="4" format="0" series="1">
      <pivotArea type="data" outline="0" fieldPosition="0">
        <references count="2">
          <reference field="4294967294" count="1" selected="0">
            <x v="0"/>
          </reference>
          <reference field="12" count="1" selected="0">
            <x v="0"/>
          </reference>
        </references>
      </pivotArea>
    </chartFormat>
    <chartFormat chart="4" format="1" series="1">
      <pivotArea type="data" outline="0" fieldPosition="0">
        <references count="2">
          <reference field="4294967294" count="1" selected="0">
            <x v="0"/>
          </reference>
          <reference field="12" count="1" selected="0">
            <x v="1"/>
          </reference>
        </references>
      </pivotArea>
    </chartFormat>
    <chartFormat chart="7" format="4" series="1">
      <pivotArea type="data" outline="0" fieldPosition="0">
        <references count="2">
          <reference field="4294967294" count="1" selected="0">
            <x v="0"/>
          </reference>
          <reference field="12" count="1" selected="0">
            <x v="0"/>
          </reference>
        </references>
      </pivotArea>
    </chartFormat>
    <chartFormat chart="7"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2CB5E0-03EF-4833-AF3F-D3C94A2529F8}" name="PivotTable12"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A49:B76" firstHeaderRow="1" firstDataRow="1" firstDataCol="1"/>
  <pivotFields count="20">
    <pivotField dataField="1" showAll="0"/>
    <pivotField showAll="0"/>
    <pivotField axis="axisRow" numFmtId="164" showAll="0">
      <items count="15">
        <item x="0"/>
        <item x="1"/>
        <item x="2"/>
        <item x="3"/>
        <item x="4"/>
        <item x="5"/>
        <item x="6"/>
        <item x="7"/>
        <item x="8"/>
        <item x="9"/>
        <item x="10"/>
        <item x="11"/>
        <item x="12"/>
        <item x="13"/>
        <item t="default"/>
      </items>
    </pivotField>
    <pivotField numFmtId="164" showAll="0"/>
    <pivotField showAll="0">
      <items count="11">
        <item x="2"/>
        <item x="0"/>
        <item x="7"/>
        <item x="1"/>
        <item x="8"/>
        <item x="3"/>
        <item x="9"/>
        <item x="4"/>
        <item x="6"/>
        <item x="5"/>
        <item t="default"/>
      </items>
    </pivotField>
    <pivotField showAll="0" sortType="descending">
      <items count="11">
        <item x="6"/>
        <item x="3"/>
        <item x="1"/>
        <item x="2"/>
        <item x="4"/>
        <item x="7"/>
        <item x="8"/>
        <item x="0"/>
        <item x="5"/>
        <item x="9"/>
        <item t="default"/>
      </items>
      <autoSortScope>
        <pivotArea dataOnly="0" outline="0" fieldPosition="0">
          <references count="1">
            <reference field="4294967294" count="1" selected="0">
              <x v="0"/>
            </reference>
          </references>
        </pivotArea>
      </autoSortScope>
    </pivotField>
    <pivotField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9"/>
    <field x="2"/>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Count of Shipment_ID" fld="0" subtotal="count"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13DA73-E393-4373-A165-82C91DDE7646}" name="PivotTable11"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3:B44" firstHeaderRow="1" firstDataRow="1" firstDataCol="1"/>
  <pivotFields count="20">
    <pivotField dataField="1" showAll="0"/>
    <pivotField showAll="0"/>
    <pivotField numFmtId="164" showAll="0">
      <items count="15">
        <item x="0"/>
        <item x="1"/>
        <item x="2"/>
        <item x="3"/>
        <item x="4"/>
        <item x="5"/>
        <item x="6"/>
        <item x="7"/>
        <item x="8"/>
        <item x="9"/>
        <item x="10"/>
        <item x="11"/>
        <item x="12"/>
        <item x="13"/>
        <item t="default"/>
      </items>
    </pivotField>
    <pivotField numFmtId="164" showAll="0"/>
    <pivotField showAll="0">
      <items count="11">
        <item x="2"/>
        <item x="0"/>
        <item x="7"/>
        <item x="1"/>
        <item x="8"/>
        <item x="3"/>
        <item x="9"/>
        <item x="4"/>
        <item x="6"/>
        <item x="5"/>
        <item t="default"/>
      </items>
    </pivotField>
    <pivotField axis="axisRow" showAll="0" sortType="descending">
      <items count="11">
        <item x="6"/>
        <item x="3"/>
        <item x="1"/>
        <item x="2"/>
        <item x="4"/>
        <item x="7"/>
        <item x="8"/>
        <item x="0"/>
        <item x="5"/>
        <item x="9"/>
        <item t="default"/>
      </items>
      <autoSortScope>
        <pivotArea dataOnly="0" outline="0" fieldPosition="0">
          <references count="1">
            <reference field="4294967294" count="1" selected="0">
              <x v="0"/>
            </reference>
          </references>
        </pivotArea>
      </autoSortScope>
    </pivotField>
    <pivotField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5"/>
  </rowFields>
  <rowItems count="11">
    <i>
      <x v="3"/>
    </i>
    <i>
      <x v="8"/>
    </i>
    <i>
      <x v="7"/>
    </i>
    <i>
      <x v="4"/>
    </i>
    <i>
      <x v="1"/>
    </i>
    <i>
      <x/>
    </i>
    <i>
      <x v="2"/>
    </i>
    <i>
      <x v="5"/>
    </i>
    <i>
      <x v="9"/>
    </i>
    <i>
      <x v="6"/>
    </i>
    <i t="grand">
      <x/>
    </i>
  </rowItems>
  <colItems count="1">
    <i/>
  </colItems>
  <dataFields count="1">
    <dataField name="Count of Shipment_ID" fld="0" subtotal="count"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170BFB-F55F-4B4A-B3F7-BD3E50889E9F}" name="PivotTable10"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25:B29" firstHeaderRow="1" firstDataRow="1" firstDataCol="1"/>
  <pivotFields count="20">
    <pivotField dataField="1" showAll="0"/>
    <pivotField showAll="0"/>
    <pivotField numFmtId="164" showAll="0">
      <items count="15">
        <item x="0"/>
        <item x="1"/>
        <item x="2"/>
        <item x="3"/>
        <item x="4"/>
        <item x="5"/>
        <item x="6"/>
        <item x="7"/>
        <item x="8"/>
        <item x="9"/>
        <item x="10"/>
        <item x="11"/>
        <item x="12"/>
        <item x="13"/>
        <item t="default"/>
      </items>
    </pivotField>
    <pivotField numFmtId="164" showAll="0"/>
    <pivotField showAll="0">
      <items count="11">
        <item x="2"/>
        <item x="0"/>
        <item x="7"/>
        <item x="1"/>
        <item x="8"/>
        <item x="3"/>
        <item x="9"/>
        <item x="4"/>
        <item x="6"/>
        <item x="5"/>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6"/>
  </rowFields>
  <rowItems count="4">
    <i>
      <x v="1"/>
    </i>
    <i>
      <x/>
    </i>
    <i>
      <x v="2"/>
    </i>
    <i t="grand">
      <x/>
    </i>
  </rowItems>
  <colItems count="1">
    <i/>
  </colItems>
  <dataFields count="1">
    <dataField name="Count of Shipment_ID" fld="0" subtotal="count"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FC32CE-8077-43C8-B631-87E5906D7254}" name="PivotTable9"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5:B18" firstHeaderRow="1" firstDataRow="1" firstDataCol="1"/>
  <pivotFields count="20">
    <pivotField dataField="1" showAll="0"/>
    <pivotField showAll="0"/>
    <pivotField numFmtId="164" showAll="0">
      <items count="15">
        <item x="0"/>
        <item x="1"/>
        <item x="2"/>
        <item x="3"/>
        <item x="4"/>
        <item x="5"/>
        <item x="6"/>
        <item x="7"/>
        <item x="8"/>
        <item x="9"/>
        <item x="10"/>
        <item x="11"/>
        <item x="12"/>
        <item x="13"/>
        <item t="default"/>
      </items>
    </pivotField>
    <pivotField numFmtId="164" showAll="0"/>
    <pivotField showAll="0">
      <items count="11">
        <item x="2"/>
        <item x="0"/>
        <item x="7"/>
        <item x="1"/>
        <item x="8"/>
        <item x="3"/>
        <item x="9"/>
        <item x="4"/>
        <item x="6"/>
        <item x="5"/>
        <item t="default"/>
      </items>
    </pivotField>
    <pivotField showAll="0"/>
    <pivotField showAll="0">
      <items count="4">
        <item x="2"/>
        <item x="1"/>
        <item x="0"/>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7"/>
  </rowFields>
  <rowItems count="3">
    <i>
      <x/>
    </i>
    <i>
      <x v="1"/>
    </i>
    <i t="grand">
      <x/>
    </i>
  </rowItems>
  <colItems count="1">
    <i/>
  </colItems>
  <dataFields count="1">
    <dataField name="Count of Shipm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E62CF2-081B-4EE3-820C-03BA40302CC3}" name="PivotTable8"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0:D12" firstHeaderRow="1" firstDataRow="2" firstDataCol="1"/>
  <pivotFields count="20">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items count="11">
        <item x="2"/>
        <item x="0"/>
        <item x="7"/>
        <item x="1"/>
        <item x="8"/>
        <item x="3"/>
        <item x="9"/>
        <item x="4"/>
        <item x="6"/>
        <item x="5"/>
        <item t="default"/>
      </items>
    </pivotField>
    <pivotField showAll="0"/>
    <pivotField showAll="0">
      <items count="4">
        <item x="2"/>
        <item x="1"/>
        <item x="0"/>
        <item t="default"/>
      </items>
    </pivotField>
    <pivotField showAll="0">
      <items count="3">
        <item x="0"/>
        <item x="1"/>
        <item t="default"/>
      </items>
    </pivotField>
    <pivotField showAll="0"/>
    <pivotField showAll="0"/>
    <pivotField showAll="0"/>
    <pivotField showAll="0"/>
    <pivotField axis="axisCol" showAll="0">
      <items count="3">
        <item x="0"/>
        <item x="1"/>
        <item t="default"/>
      </items>
    </pivotField>
    <pivotField showAll="0"/>
    <pivotField dataField="1"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12"/>
  </colFields>
  <colItems count="3">
    <i>
      <x/>
    </i>
    <i>
      <x v="1"/>
    </i>
    <i t="grand">
      <x/>
    </i>
  </colItems>
  <dataFields count="1">
    <dataField name="Revenue" fld="14" baseField="0" baseItem="177"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4001FE-9689-4C05-9159-E9FA88A303A3}" name="PivotTable7"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A7" firstHeaderRow="1" firstDataRow="1" firstDataCol="0"/>
  <pivotFields count="20">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items count="11">
        <item x="2"/>
        <item x="0"/>
        <item x="7"/>
        <item x="1"/>
        <item x="8"/>
        <item x="3"/>
        <item x="9"/>
        <item x="4"/>
        <item x="6"/>
        <item x="5"/>
        <item t="default"/>
      </items>
    </pivotField>
    <pivotField showAll="0"/>
    <pivotField showAll="0">
      <items count="4">
        <item x="2"/>
        <item x="1"/>
        <item x="0"/>
        <item t="default"/>
      </items>
    </pivotField>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Shipment" fld="14" subtotal="count" baseField="0" baseItem="176"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F2EB07-4699-4F48-9FB2-E913F17954B9}" name="PivotTable6"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0">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items count="11">
        <item x="2"/>
        <item x="0"/>
        <item x="7"/>
        <item x="1"/>
        <item x="8"/>
        <item x="3"/>
        <item x="9"/>
        <item x="4"/>
        <item x="6"/>
        <item x="5"/>
        <item t="default"/>
      </items>
    </pivotField>
    <pivotField showAll="0"/>
    <pivotField showAll="0">
      <items count="4">
        <item x="2"/>
        <item x="1"/>
        <item x="0"/>
        <item t="default"/>
      </items>
    </pivotField>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Revenue" fld="14" baseField="0" baseItem="177"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igin_Province" xr10:uid="{3F2DB1D6-CE30-43DB-A6F7-B9D83691C978}" sourceName="Origin_Province">
  <pivotTables>
    <pivotTable tabId="8" name="PivotTable6"/>
    <pivotTable tabId="8" name="PivotTable10"/>
    <pivotTable tabId="8" name="PivotTable11"/>
    <pivotTable tabId="8" name="PivotTable12"/>
    <pivotTable tabId="8" name="PivotTable7"/>
    <pivotTable tabId="8" name="PivotTable8"/>
    <pivotTable tabId="8" name="PivotTable9"/>
    <pivotTable tabId="9" name="PivotTable13"/>
    <pivotTable tabId="9" name="PivotTable14"/>
    <pivotTable tabId="9" name="PivotTable15"/>
  </pivotTables>
  <data>
    <tabular pivotCacheId="613263420">
      <items count="10">
        <i x="2" s="1"/>
        <i x="0" s="1"/>
        <i x="7" s="1"/>
        <i x="1" s="1"/>
        <i x="8" s="1"/>
        <i x="3" s="1"/>
        <i x="9" s="1"/>
        <i x="4"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Type" xr10:uid="{12A5AB01-A4BC-4B5A-8B98-F88AE2B62C52}" sourceName="Service_Type">
  <pivotTables>
    <pivotTable tabId="8" name="PivotTable6"/>
    <pivotTable tabId="8" name="PivotTable10"/>
    <pivotTable tabId="8" name="PivotTable11"/>
    <pivotTable tabId="8" name="PivotTable12"/>
    <pivotTable tabId="8" name="PivotTable7"/>
    <pivotTable tabId="8" name="PivotTable8"/>
    <pivotTable tabId="8" name="PivotTable9"/>
    <pivotTable tabId="9" name="PivotTable13"/>
    <pivotTable tabId="9" name="PivotTable14"/>
    <pivotTable tabId="9" name="PivotTable15"/>
  </pivotTables>
  <data>
    <tabular pivotCacheId="61326342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7B8EB1F4-B4BB-46AF-9E01-A852D9A968B1}" sourceName="Customer_Type">
  <pivotTables>
    <pivotTable tabId="8" name="PivotTable6"/>
    <pivotTable tabId="8" name="PivotTable10"/>
    <pivotTable tabId="8" name="PivotTable11"/>
    <pivotTable tabId="8" name="PivotTable12"/>
    <pivotTable tabId="8" name="PivotTable7"/>
    <pivotTable tabId="8" name="PivotTable8"/>
    <pivotTable tabId="8" name="PivotTable9"/>
    <pivotTable tabId="9" name="PivotTable13"/>
    <pivotTable tabId="9" name="PivotTable14"/>
    <pivotTable tabId="9" name="PivotTable15"/>
  </pivotTables>
  <data>
    <tabular pivotCacheId="61326342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igin_Province" xr10:uid="{D6128BB4-D777-46B5-8B68-6A709809CC46}" cache="Slicer_Origin_Province" caption="Origin_Province" rowHeight="241300"/>
  <slicer name="Service_Type" xr10:uid="{2497C0B5-6CF8-405F-80F4-B55EB16AAB91}" cache="Slicer_Service_Type" caption="Service_Type" rowHeight="241300"/>
  <slicer name="Customer_Type" xr10:uid="{42FA21BB-AE23-44EA-8045-6DE42836C750}" cache="Slicer_Customer_Type" caption="Customer_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igin_Province 1" xr10:uid="{06DF79B0-6ECB-4287-8485-555097B8CEF2}" cache="Slicer_Origin_Province" caption="Origin_Province" rowHeight="241300"/>
  <slicer name="Service_Type 1" xr10:uid="{D037D262-26FD-4ABC-8865-61D3AE7944C4}" cache="Slicer_Service_Type" caption="Service_Type" rowHeight="241300"/>
  <slicer name="Customer_Type 1" xr10:uid="{828796E2-B22D-4C12-949A-753E073ACEB8}" cache="Slicer_Customer_Type" caption="Customer_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57B672-0020-438D-B53A-5AF12EBC9576}" name="tdata" displayName="tdata" ref="B3:S1203" totalsRowShown="0" headerRowDxfId="34" headerRowBorderDxfId="46" tableBorderDxfId="47" totalsRowBorderDxfId="45">
  <autoFilter ref="B3:S1203" xr:uid="{00000000-0001-0000-0000-000000000000}"/>
  <tableColumns count="18">
    <tableColumn id="1" xr3:uid="{FDF492E2-81A9-4158-9CCD-E7E84FE4ABE6}" name="Shipment_ID" dataDxfId="44"/>
    <tableColumn id="2" xr3:uid="{28D53707-5464-4197-BCD2-5A131C553247}" name="id_employee" dataDxfId="43"/>
    <tableColumn id="3" xr3:uid="{41AFE442-5C0B-47DD-9045-80495459E9FC}" name="Shipment_Date" dataDxfId="42"/>
    <tableColumn id="4" xr3:uid="{91267D47-3C6D-4A30-B10C-62A0C097A366}" name="Received_date" dataDxfId="41"/>
    <tableColumn id="5" xr3:uid="{064C2004-C65C-4A1E-A21A-0787DA8483BE}" name="Origin_Province" dataDxfId="40"/>
    <tableColumn id="6" xr3:uid="{62F4070F-1B9F-4675-BAA9-2F09DDEAA3E9}" name="Destination_Province" dataDxfId="39"/>
    <tableColumn id="7" xr3:uid="{6C794C02-DA3E-4F60-91E3-18DB9A5BA58A}" name="Service_Type" dataDxfId="38"/>
    <tableColumn id="8" xr3:uid="{FDB771F7-DFEA-4F87-962D-3B7B0FDA325D}" name="Customer_Type" dataDxfId="37"/>
    <tableColumn id="9" xr3:uid="{56E24E88-FA19-4290-A226-AB352157A6BD}" name="Weight_KG" dataDxfId="36"/>
    <tableColumn id="10" xr3:uid="{C6EB5017-5CDD-4102-B6FD-F3691DCB130E}" name="Weight Group" dataDxfId="35">
      <calculatedColumnFormula>IF(J4&lt;5,"&lt; 5kg", "&gt;5kg")</calculatedColumnFormula>
    </tableColumn>
    <tableColumn id="11" xr3:uid="{5D428017-82CD-4B38-AC9E-F57A3B62BDDA}" name="Delivery_Days" dataDxfId="33">
      <calculatedColumnFormula>tdata[[#This Row],[Received_date]]-tdata[[#This Row],[Shipment_Date]]</calculatedColumnFormula>
    </tableColumn>
    <tableColumn id="12" xr3:uid="{BF838B93-D23A-42B1-A3BA-3C694FC0BD13}" name="SLA_Days" dataDxfId="24">
      <calculatedColumnFormula>VLOOKUP(tdata[[#This Row],[Service_Type]],Table2[#All],2,0)</calculatedColumnFormula>
    </tableColumn>
    <tableColumn id="13" xr3:uid="{6E8FE68A-2585-4BB0-88F3-241EF5979790}" name="Delivery_Status" dataDxfId="23">
      <calculatedColumnFormula>IF(tdata[[#This Row],[Delivery_Days]]&lt;=tdata[[#This Row],[SLA_Days]],"On Time","Late")</calculatedColumnFormula>
    </tableColumn>
    <tableColumn id="14" xr3:uid="{C07A187F-F779-47BE-A915-54142736597B}" name="price_per_kilo" dataDxfId="22">
      <calculatedColumnFormula>VLOOKUP(tdata[[#This Row],[Service_Type]],Table2[#All],4,0)</calculatedColumnFormula>
    </tableColumn>
    <tableColumn id="15" xr3:uid="{99724DA1-047F-4188-BB16-9F8737F47FD3}" name="total_price" dataDxfId="21">
      <calculatedColumnFormula>tdata[[#This Row],[price_per_kilo]]*tdata[[#This Row],[Weight_KG]]</calculatedColumnFormula>
    </tableColumn>
    <tableColumn id="16" xr3:uid="{A4406C4E-23EF-449F-99C4-E4B1B934FD72}" name="name_employee" dataDxfId="9">
      <calculatedColumnFormula>VLOOKUP(tdata[[#This Row],[id_employee]],temployee[#All],2,0)</calculatedColumnFormula>
    </tableColumn>
    <tableColumn id="17" xr3:uid="{7855503D-58FA-4199-AF9B-9FE9A74F7623}" name="status_employee" dataDxfId="8">
      <calculatedColumnFormula>VLOOKUP(tdata[[#This Row],[id_employee]],temployee[#All],4,0)</calculatedColumnFormula>
    </tableColumn>
    <tableColumn id="18" xr3:uid="{EE49EEDD-54B6-4153-B352-47C8106B2221}" name="employee_fleet" dataDxfId="7">
      <calculatedColumnFormula>VLOOKUP(tdata[[#This Row],[id_employee]],temployee[#All],5,0)</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51A6E3-1A29-413E-A6D3-2BBB47B5D549}" name="Table4" displayName="Table4" ref="A2:C12" totalsRowShown="0" headerRowDxfId="0" headerRowBorderDxfId="5" tableBorderDxfId="6" totalsRowBorderDxfId="4">
  <autoFilter ref="A2:C12" xr:uid="{CEB1ABCF-E329-4D6F-A6AF-107D1393400B}"/>
  <tableColumns count="3">
    <tableColumn id="1" xr3:uid="{EB2D61DC-D7DD-40E5-AFE2-6D04E9BB3228}" name="Province" dataDxfId="3"/>
    <tableColumn id="2" xr3:uid="{5A9A873B-D81F-4B6E-B4F8-28531A11DC11}" name="Latitude" dataDxfId="2"/>
    <tableColumn id="3" xr3:uid="{CF368E14-EF8F-4FBC-9531-414738B27914}" name="Longitude" dataDxfId="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85D9EDE-A6BD-4921-B837-AA8C53888238}" name="temployee" displayName="temployee" ref="A3:F103" totalsRowShown="0" headerRowDxfId="10" dataDxfId="11" headerRowBorderDxfId="19" tableBorderDxfId="20" totalsRowBorderDxfId="18">
  <autoFilter ref="A3:F103" xr:uid="{12AE7E3E-2E99-4D1C-9B01-5683F6E7FB37}"/>
  <tableColumns count="6">
    <tableColumn id="1" xr3:uid="{A1250592-94AB-4175-8C85-0573D4CD173B}" name="id_employee" dataDxfId="17"/>
    <tableColumn id="2" xr3:uid="{B966DB13-9722-4A20-BE7F-F9417847CAAB}" name="name_employee" dataDxfId="16"/>
    <tableColumn id="3" xr3:uid="{503F60FE-385A-4E34-B5BF-10BBA7887746}" name="gender" dataDxfId="15"/>
    <tableColumn id="4" xr3:uid="{940BCCCA-E66B-4E50-A4D8-1C81805BEC01}" name="status_employee" dataDxfId="14"/>
    <tableColumn id="5" xr3:uid="{ACB26B84-4284-4F6A-B1C0-E85E39F0C7BD}" name="employee_fleet" dataDxfId="13"/>
    <tableColumn id="6" xr3:uid="{E6BC6C91-51F4-4EE7-96D4-26CC10629C7A}" name="origin" dataDxfId="1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2F4AB0-F0F4-4DF4-A024-F9DDB7EB07BB}" name="Table2" displayName="Table2" ref="A2:D5" totalsRowShown="0" headerRowDxfId="25" headerRowBorderDxfId="31" tableBorderDxfId="32" totalsRowBorderDxfId="30">
  <autoFilter ref="A2:D5" xr:uid="{5890622D-D74F-4543-92BE-374B0F510608}"/>
  <tableColumns count="4">
    <tableColumn id="1" xr3:uid="{3E75A151-59C3-4755-BCA4-CD5B2E9CD9BC}" name="service" dataDxfId="29"/>
    <tableColumn id="2" xr3:uid="{2364FDA4-FAC2-4082-AFEF-D75C18ECD6DE}" name="commit_sla" dataDxfId="28"/>
    <tableColumn id="3" xr3:uid="{47276468-036F-4965-A75E-CDA635C5C2E3}" name="extend_sla" dataDxfId="27"/>
    <tableColumn id="4" xr3:uid="{E967BBCF-C8FB-41FC-9E30-320E3359F8E1}" name="price_per_kilo" dataDxfId="2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 Id="rId9" Type="http://schemas.microsoft.com/office/2007/relationships/slicer" Target="../slicers/slicer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BD792-E4C6-4EC9-B06F-6D6F822FAC1D}">
  <dimension ref="A3:D32"/>
  <sheetViews>
    <sheetView topLeftCell="C3" zoomScale="50" zoomScaleNormal="50" workbookViewId="0">
      <selection activeCell="C21" sqref="C21"/>
    </sheetView>
  </sheetViews>
  <sheetFormatPr defaultRowHeight="14.5" x14ac:dyDescent="0.35"/>
  <cols>
    <col min="1" max="1" width="26.6328125" bestFit="1" customWidth="1"/>
    <col min="2" max="2" width="23" bestFit="1" customWidth="1"/>
    <col min="3" max="3" width="11.1796875" bestFit="1" customWidth="1"/>
    <col min="4" max="4" width="15" bestFit="1" customWidth="1"/>
  </cols>
  <sheetData>
    <row r="3" spans="1:4" x14ac:dyDescent="0.35">
      <c r="A3" s="29" t="s">
        <v>1453</v>
      </c>
      <c r="B3" s="29" t="s">
        <v>1449</v>
      </c>
    </row>
    <row r="4" spans="1:4" x14ac:dyDescent="0.35">
      <c r="A4" s="29" t="s">
        <v>1454</v>
      </c>
      <c r="B4" t="s">
        <v>1450</v>
      </c>
      <c r="C4" t="s">
        <v>1451</v>
      </c>
      <c r="D4" t="s">
        <v>1452</v>
      </c>
    </row>
    <row r="5" spans="1:4" x14ac:dyDescent="0.35">
      <c r="A5" s="30" t="s">
        <v>22</v>
      </c>
      <c r="B5" s="27">
        <v>47</v>
      </c>
      <c r="C5" s="27">
        <v>73</v>
      </c>
      <c r="D5" s="27">
        <v>120</v>
      </c>
    </row>
    <row r="6" spans="1:4" x14ac:dyDescent="0.35">
      <c r="A6" s="30" t="s">
        <v>49</v>
      </c>
      <c r="B6" s="27">
        <v>52</v>
      </c>
      <c r="C6" s="27">
        <v>68</v>
      </c>
      <c r="D6" s="27">
        <v>120</v>
      </c>
    </row>
    <row r="7" spans="1:4" x14ac:dyDescent="0.35">
      <c r="A7" s="30" t="s">
        <v>12</v>
      </c>
      <c r="B7" s="27">
        <v>53</v>
      </c>
      <c r="C7" s="27">
        <v>67</v>
      </c>
      <c r="D7" s="27">
        <v>120</v>
      </c>
    </row>
    <row r="8" spans="1:4" x14ac:dyDescent="0.35">
      <c r="A8" s="30" t="s">
        <v>26</v>
      </c>
      <c r="B8" s="27">
        <v>55</v>
      </c>
      <c r="C8" s="27">
        <v>65</v>
      </c>
      <c r="D8" s="27">
        <v>120</v>
      </c>
    </row>
    <row r="9" spans="1:4" x14ac:dyDescent="0.35">
      <c r="A9" s="30" t="s">
        <v>15</v>
      </c>
      <c r="B9" s="27">
        <v>57</v>
      </c>
      <c r="C9" s="27">
        <v>63</v>
      </c>
      <c r="D9" s="27">
        <v>120</v>
      </c>
    </row>
    <row r="10" spans="1:4" x14ac:dyDescent="0.35">
      <c r="A10" s="30" t="s">
        <v>16</v>
      </c>
      <c r="B10" s="27">
        <v>58</v>
      </c>
      <c r="C10" s="27">
        <v>62</v>
      </c>
      <c r="D10" s="27">
        <v>120</v>
      </c>
    </row>
    <row r="11" spans="1:4" x14ac:dyDescent="0.35">
      <c r="A11" s="30" t="s">
        <v>11</v>
      </c>
      <c r="B11" s="27">
        <v>62</v>
      </c>
      <c r="C11" s="27">
        <v>58</v>
      </c>
      <c r="D11" s="27">
        <v>120</v>
      </c>
    </row>
    <row r="12" spans="1:4" x14ac:dyDescent="0.35">
      <c r="A12" s="30" t="s">
        <v>20</v>
      </c>
      <c r="B12" s="27">
        <v>63</v>
      </c>
      <c r="C12" s="27">
        <v>57</v>
      </c>
      <c r="D12" s="27">
        <v>120</v>
      </c>
    </row>
    <row r="13" spans="1:4" x14ac:dyDescent="0.35">
      <c r="A13" s="30" t="s">
        <v>30</v>
      </c>
      <c r="B13" s="27">
        <v>70</v>
      </c>
      <c r="C13" s="27">
        <v>50</v>
      </c>
      <c r="D13" s="27">
        <v>120</v>
      </c>
    </row>
    <row r="14" spans="1:4" x14ac:dyDescent="0.35">
      <c r="A14" s="30" t="s">
        <v>32</v>
      </c>
      <c r="B14" s="27">
        <v>73</v>
      </c>
      <c r="C14" s="27">
        <v>47</v>
      </c>
      <c r="D14" s="27">
        <v>120</v>
      </c>
    </row>
    <row r="15" spans="1:4" x14ac:dyDescent="0.35">
      <c r="A15" s="30" t="s">
        <v>1452</v>
      </c>
      <c r="B15" s="27">
        <v>590</v>
      </c>
      <c r="C15" s="27">
        <v>610</v>
      </c>
      <c r="D15" s="27">
        <v>1200</v>
      </c>
    </row>
    <row r="19" spans="1:4" x14ac:dyDescent="0.35">
      <c r="A19" s="29" t="s">
        <v>1453</v>
      </c>
      <c r="B19" s="29" t="s">
        <v>1449</v>
      </c>
    </row>
    <row r="20" spans="1:4" x14ac:dyDescent="0.35">
      <c r="A20" s="29" t="s">
        <v>1454</v>
      </c>
      <c r="B20" t="s">
        <v>1450</v>
      </c>
      <c r="C20" t="s">
        <v>1451</v>
      </c>
      <c r="D20" t="s">
        <v>1452</v>
      </c>
    </row>
    <row r="21" spans="1:4" x14ac:dyDescent="0.35">
      <c r="A21" s="30" t="s">
        <v>1243</v>
      </c>
      <c r="B21" s="27">
        <v>177</v>
      </c>
      <c r="C21" s="27">
        <v>339</v>
      </c>
      <c r="D21" s="27">
        <v>516</v>
      </c>
    </row>
    <row r="22" spans="1:4" x14ac:dyDescent="0.35">
      <c r="A22" s="30" t="s">
        <v>1241</v>
      </c>
      <c r="B22" s="27">
        <v>413</v>
      </c>
      <c r="C22" s="27">
        <v>271</v>
      </c>
      <c r="D22" s="27">
        <v>684</v>
      </c>
    </row>
    <row r="23" spans="1:4" x14ac:dyDescent="0.35">
      <c r="A23" s="30" t="s">
        <v>1452</v>
      </c>
      <c r="B23" s="27">
        <v>590</v>
      </c>
      <c r="C23" s="27">
        <v>610</v>
      </c>
      <c r="D23" s="27">
        <v>1200</v>
      </c>
    </row>
    <row r="27" spans="1:4" x14ac:dyDescent="0.35">
      <c r="A27" s="29" t="s">
        <v>1453</v>
      </c>
      <c r="B27" s="29" t="s">
        <v>1449</v>
      </c>
    </row>
    <row r="28" spans="1:4" x14ac:dyDescent="0.35">
      <c r="A28" s="29" t="s">
        <v>1454</v>
      </c>
      <c r="B28" t="s">
        <v>1450</v>
      </c>
      <c r="C28" t="s">
        <v>1451</v>
      </c>
      <c r="D28" t="s">
        <v>1452</v>
      </c>
    </row>
    <row r="29" spans="1:4" x14ac:dyDescent="0.35">
      <c r="A29" s="30" t="s">
        <v>23</v>
      </c>
      <c r="B29" s="27">
        <v>95</v>
      </c>
      <c r="C29" s="27">
        <v>220</v>
      </c>
      <c r="D29" s="27">
        <v>315</v>
      </c>
    </row>
    <row r="30" spans="1:4" x14ac:dyDescent="0.35">
      <c r="A30" s="30" t="s">
        <v>1223</v>
      </c>
      <c r="B30" s="27">
        <v>144</v>
      </c>
      <c r="C30" s="27">
        <v>127</v>
      </c>
      <c r="D30" s="27">
        <v>271</v>
      </c>
    </row>
    <row r="31" spans="1:4" x14ac:dyDescent="0.35">
      <c r="A31" s="30" t="s">
        <v>1224</v>
      </c>
      <c r="B31" s="27">
        <v>351</v>
      </c>
      <c r="C31" s="27">
        <v>263</v>
      </c>
      <c r="D31" s="27">
        <v>614</v>
      </c>
    </row>
    <row r="32" spans="1:4" x14ac:dyDescent="0.35">
      <c r="A32" s="30" t="s">
        <v>1452</v>
      </c>
      <c r="B32" s="27">
        <v>590</v>
      </c>
      <c r="C32" s="27">
        <v>610</v>
      </c>
      <c r="D32" s="27">
        <v>1200</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S1203"/>
  <sheetViews>
    <sheetView topLeftCell="B4" zoomScale="50" zoomScaleNormal="50" workbookViewId="0">
      <selection activeCell="B4" sqref="B4:B1203"/>
    </sheetView>
  </sheetViews>
  <sheetFormatPr defaultRowHeight="14.5" x14ac:dyDescent="0.35"/>
  <cols>
    <col min="2" max="2" width="17.6328125" customWidth="1"/>
    <col min="3" max="3" width="17.26953125" customWidth="1"/>
    <col min="4" max="4" width="20.1796875" customWidth="1"/>
    <col min="5" max="5" width="19.453125" customWidth="1"/>
    <col min="6" max="6" width="21.453125" customWidth="1"/>
    <col min="7" max="7" width="26.90625" customWidth="1"/>
    <col min="8" max="8" width="18.54296875" customWidth="1"/>
    <col min="9" max="9" width="20.7265625" customWidth="1"/>
    <col min="10" max="10" width="16" customWidth="1"/>
    <col min="11" max="11" width="18.90625" customWidth="1"/>
    <col min="12" max="12" width="19.08984375" customWidth="1"/>
    <col min="13" max="13" width="14.7265625" customWidth="1"/>
    <col min="14" max="14" width="20.7265625" customWidth="1"/>
    <col min="15" max="15" width="19.08984375" customWidth="1"/>
    <col min="16" max="16" width="14.90625" customWidth="1"/>
    <col min="17" max="17" width="21.08984375" customWidth="1"/>
    <col min="18" max="18" width="21.81640625" customWidth="1"/>
    <col min="19" max="19" width="20" customWidth="1"/>
  </cols>
  <sheetData>
    <row r="3" spans="2:19" x14ac:dyDescent="0.35">
      <c r="B3" s="10" t="s">
        <v>0</v>
      </c>
      <c r="C3" s="11" t="s">
        <v>1233</v>
      </c>
      <c r="D3" s="11" t="s">
        <v>1</v>
      </c>
      <c r="E3" s="11" t="s">
        <v>1445</v>
      </c>
      <c r="F3" s="11" t="s">
        <v>2</v>
      </c>
      <c r="G3" s="11" t="s">
        <v>3</v>
      </c>
      <c r="H3" s="11" t="s">
        <v>4</v>
      </c>
      <c r="I3" s="11" t="s">
        <v>5</v>
      </c>
      <c r="J3" s="11" t="s">
        <v>6</v>
      </c>
      <c r="K3" s="16" t="s">
        <v>1446</v>
      </c>
      <c r="L3" s="16" t="s">
        <v>7</v>
      </c>
      <c r="M3" s="16" t="s">
        <v>8</v>
      </c>
      <c r="N3" s="16" t="s">
        <v>9</v>
      </c>
      <c r="O3" s="16" t="s">
        <v>1231</v>
      </c>
      <c r="P3" s="16" t="s">
        <v>1232</v>
      </c>
      <c r="Q3" s="16" t="s">
        <v>1234</v>
      </c>
      <c r="R3" s="16" t="s">
        <v>1236</v>
      </c>
      <c r="S3" s="17" t="s">
        <v>1237</v>
      </c>
    </row>
    <row r="4" spans="2:19" x14ac:dyDescent="0.35">
      <c r="B4" s="8" t="s">
        <v>10</v>
      </c>
      <c r="C4" s="2" t="s">
        <v>1273</v>
      </c>
      <c r="D4" s="5">
        <v>45551</v>
      </c>
      <c r="E4" s="5">
        <v>45557</v>
      </c>
      <c r="F4" s="2" t="s">
        <v>11</v>
      </c>
      <c r="G4" s="2" t="s">
        <v>12</v>
      </c>
      <c r="H4" s="2" t="s">
        <v>1224</v>
      </c>
      <c r="I4" s="2" t="s">
        <v>13</v>
      </c>
      <c r="J4" s="2">
        <v>8.52</v>
      </c>
      <c r="K4" s="2" t="str">
        <f>IF(J4&lt;5,"&lt; 5kg", "&gt;5kg")</f>
        <v>&gt;5kg</v>
      </c>
      <c r="L4" s="2">
        <f>tdata[[#This Row],[Received_date]]-tdata[[#This Row],[Shipment_Date]]</f>
        <v>6</v>
      </c>
      <c r="M4" s="2">
        <f>VLOOKUP(tdata[[#This Row],[Service_Type]],Table2[#All],2,0)</f>
        <v>3</v>
      </c>
      <c r="N4" s="2" t="str">
        <f>IF(tdata[[#This Row],[Delivery_Days]]&lt;=tdata[[#This Row],[SLA_Days]],"On Time","Late")</f>
        <v>Late</v>
      </c>
      <c r="O4" s="2">
        <f>VLOOKUP(tdata[[#This Row],[Service_Type]],Table2[#All],4,0)</f>
        <v>10000</v>
      </c>
      <c r="P4" s="2">
        <f>tdata[[#This Row],[price_per_kilo]]*tdata[[#This Row],[Weight_KG]]</f>
        <v>85200</v>
      </c>
      <c r="Q4" s="2" t="str">
        <f>VLOOKUP(tdata[[#This Row],[id_employee]],temployee[#All],2,0)</f>
        <v>Andi Pratama</v>
      </c>
      <c r="R4" s="2" t="str">
        <f>VLOOKUP(tdata[[#This Row],[id_employee]],temployee[#All],4,0)</f>
        <v>internal</v>
      </c>
      <c r="S4" s="2" t="str">
        <f>VLOOKUP(tdata[[#This Row],[id_employee]],temployee[#All],5,0)</f>
        <v>rider</v>
      </c>
    </row>
    <row r="5" spans="2:19" x14ac:dyDescent="0.35">
      <c r="B5" s="8" t="s">
        <v>14</v>
      </c>
      <c r="C5" s="2" t="s">
        <v>1274</v>
      </c>
      <c r="D5" s="5">
        <v>45260</v>
      </c>
      <c r="E5" s="5">
        <v>45260</v>
      </c>
      <c r="F5" s="2" t="s">
        <v>15</v>
      </c>
      <c r="G5" s="2" t="s">
        <v>16</v>
      </c>
      <c r="H5" s="2" t="s">
        <v>1223</v>
      </c>
      <c r="I5" s="2" t="s">
        <v>17</v>
      </c>
      <c r="J5" s="2">
        <v>2.4300000000000002</v>
      </c>
      <c r="K5" s="2" t="str">
        <f t="shared" ref="K5:K68" si="0">IF(J5&lt;5,"&lt; 5kg", "&gt;5kg")</f>
        <v>&lt; 5kg</v>
      </c>
      <c r="L5" s="2">
        <f>tdata[[#This Row],[Received_date]]-tdata[[#This Row],[Shipment_Date]]</f>
        <v>0</v>
      </c>
      <c r="M5" s="2">
        <f>VLOOKUP(tdata[[#This Row],[Service_Type]],Table2[#All],2,0)</f>
        <v>1</v>
      </c>
      <c r="N5" s="2" t="str">
        <f>IF(tdata[[#This Row],[Delivery_Days]]&lt;=tdata[[#This Row],[SLA_Days]],"On Time","Late")</f>
        <v>On Time</v>
      </c>
      <c r="O5" s="2">
        <f>VLOOKUP(tdata[[#This Row],[Service_Type]],Table2[#All],4,0)</f>
        <v>12000</v>
      </c>
      <c r="P5" s="2">
        <f>tdata[[#This Row],[price_per_kilo]]*tdata[[#This Row],[Weight_KG]]</f>
        <v>29160.000000000004</v>
      </c>
      <c r="Q5" s="2" t="str">
        <f>VLOOKUP(tdata[[#This Row],[id_employee]],temployee[#All],2,0)</f>
        <v>Budi Santoso</v>
      </c>
      <c r="R5" s="2" t="str">
        <f>VLOOKUP(tdata[[#This Row],[id_employee]],temployee[#All],4,0)</f>
        <v>internal</v>
      </c>
      <c r="S5" s="9" t="str">
        <f>VLOOKUP(tdata[[#This Row],[id_employee]],temployee[#All],5,0)</f>
        <v>driver</v>
      </c>
    </row>
    <row r="6" spans="2:19" x14ac:dyDescent="0.35">
      <c r="B6" s="8" t="s">
        <v>18</v>
      </c>
      <c r="C6" s="2" t="s">
        <v>1275</v>
      </c>
      <c r="D6" s="5">
        <v>45456</v>
      </c>
      <c r="E6" s="5">
        <v>45457</v>
      </c>
      <c r="F6" s="2" t="s">
        <v>20</v>
      </c>
      <c r="G6" s="2" t="s">
        <v>15</v>
      </c>
      <c r="H6" s="2" t="s">
        <v>1223</v>
      </c>
      <c r="I6" s="2" t="s">
        <v>17</v>
      </c>
      <c r="J6" s="2">
        <v>1.48</v>
      </c>
      <c r="K6" s="2" t="str">
        <f t="shared" si="0"/>
        <v>&lt; 5kg</v>
      </c>
      <c r="L6" s="2">
        <f>tdata[[#This Row],[Received_date]]-tdata[[#This Row],[Shipment_Date]]</f>
        <v>1</v>
      </c>
      <c r="M6" s="2">
        <f>VLOOKUP(tdata[[#This Row],[Service_Type]],Table2[#All],2,0)</f>
        <v>1</v>
      </c>
      <c r="N6" s="2" t="str">
        <f>IF(tdata[[#This Row],[Delivery_Days]]&lt;=tdata[[#This Row],[SLA_Days]],"On Time","Late")</f>
        <v>On Time</v>
      </c>
      <c r="O6" s="2">
        <f>VLOOKUP(tdata[[#This Row],[Service_Type]],Table2[#All],4,0)</f>
        <v>12000</v>
      </c>
      <c r="P6" s="2">
        <f>tdata[[#This Row],[price_per_kilo]]*tdata[[#This Row],[Weight_KG]]</f>
        <v>17760</v>
      </c>
      <c r="Q6" s="2" t="str">
        <f>VLOOKUP(tdata[[#This Row],[id_employee]],temployee[#All],2,0)</f>
        <v>Citra Lestari</v>
      </c>
      <c r="R6" s="2" t="str">
        <f>VLOOKUP(tdata[[#This Row],[id_employee]],temployee[#All],4,0)</f>
        <v>crowd source</v>
      </c>
      <c r="S6" s="9" t="str">
        <f>VLOOKUP(tdata[[#This Row],[id_employee]],temployee[#All],5,0)</f>
        <v>rider</v>
      </c>
    </row>
    <row r="7" spans="2:19" x14ac:dyDescent="0.35">
      <c r="B7" s="8" t="s">
        <v>19</v>
      </c>
      <c r="C7" s="2" t="s">
        <v>1276</v>
      </c>
      <c r="D7" s="5">
        <v>45089</v>
      </c>
      <c r="E7" s="5">
        <v>45090</v>
      </c>
      <c r="F7" s="2" t="s">
        <v>22</v>
      </c>
      <c r="G7" s="2" t="s">
        <v>16</v>
      </c>
      <c r="H7" s="2" t="s">
        <v>1223</v>
      </c>
      <c r="I7" s="2" t="s">
        <v>13</v>
      </c>
      <c r="J7" s="2">
        <v>4.71</v>
      </c>
      <c r="K7" s="2" t="str">
        <f t="shared" si="0"/>
        <v>&lt; 5kg</v>
      </c>
      <c r="L7" s="2">
        <f>tdata[[#This Row],[Received_date]]-tdata[[#This Row],[Shipment_Date]]</f>
        <v>1</v>
      </c>
      <c r="M7" s="2">
        <f>VLOOKUP(tdata[[#This Row],[Service_Type]],Table2[#All],2,0)</f>
        <v>1</v>
      </c>
      <c r="N7" s="2" t="str">
        <f>IF(tdata[[#This Row],[Delivery_Days]]&lt;=tdata[[#This Row],[SLA_Days]],"On Time","Late")</f>
        <v>On Time</v>
      </c>
      <c r="O7" s="2">
        <f>VLOOKUP(tdata[[#This Row],[Service_Type]],Table2[#All],4,0)</f>
        <v>12000</v>
      </c>
      <c r="P7" s="2">
        <f>tdata[[#This Row],[price_per_kilo]]*tdata[[#This Row],[Weight_KG]]</f>
        <v>56520</v>
      </c>
      <c r="Q7" s="2" t="str">
        <f>VLOOKUP(tdata[[#This Row],[id_employee]],temployee[#All],2,0)</f>
        <v>Dedi Saputra</v>
      </c>
      <c r="R7" s="2" t="str">
        <f>VLOOKUP(tdata[[#This Row],[id_employee]],temployee[#All],4,0)</f>
        <v>crowd source</v>
      </c>
      <c r="S7" s="9" t="str">
        <f>VLOOKUP(tdata[[#This Row],[id_employee]],temployee[#All],5,0)</f>
        <v>driver</v>
      </c>
    </row>
    <row r="8" spans="2:19" x14ac:dyDescent="0.35">
      <c r="B8" s="8" t="s">
        <v>21</v>
      </c>
      <c r="C8" s="2" t="s">
        <v>1277</v>
      </c>
      <c r="D8" s="5">
        <v>45459</v>
      </c>
      <c r="E8" s="5">
        <f>D8+4</f>
        <v>45463</v>
      </c>
      <c r="F8" s="2" t="s">
        <v>12</v>
      </c>
      <c r="G8" s="2" t="s">
        <v>16</v>
      </c>
      <c r="H8" s="2" t="s">
        <v>1224</v>
      </c>
      <c r="I8" s="2" t="s">
        <v>17</v>
      </c>
      <c r="J8" s="2">
        <v>8.76</v>
      </c>
      <c r="K8" s="2" t="str">
        <f t="shared" si="0"/>
        <v>&gt;5kg</v>
      </c>
      <c r="L8" s="2">
        <f>tdata[[#This Row],[Received_date]]-tdata[[#This Row],[Shipment_Date]]</f>
        <v>4</v>
      </c>
      <c r="M8" s="2">
        <f>VLOOKUP(tdata[[#This Row],[Service_Type]],Table2[#All],2,0)</f>
        <v>3</v>
      </c>
      <c r="N8" s="2" t="str">
        <f>IF(tdata[[#This Row],[Delivery_Days]]&lt;=tdata[[#This Row],[SLA_Days]],"On Time","Late")</f>
        <v>Late</v>
      </c>
      <c r="O8" s="2">
        <f>VLOOKUP(tdata[[#This Row],[Service_Type]],Table2[#All],4,0)</f>
        <v>10000</v>
      </c>
      <c r="P8" s="2">
        <f>tdata[[#This Row],[price_per_kilo]]*tdata[[#This Row],[Weight_KG]]</f>
        <v>87600</v>
      </c>
      <c r="Q8" s="2" t="str">
        <f>VLOOKUP(tdata[[#This Row],[id_employee]],temployee[#All],2,0)</f>
        <v>Eko Nugroho</v>
      </c>
      <c r="R8" s="2" t="str">
        <f>VLOOKUP(tdata[[#This Row],[id_employee]],temployee[#All],4,0)</f>
        <v>internal</v>
      </c>
      <c r="S8" s="9" t="str">
        <f>VLOOKUP(tdata[[#This Row],[id_employee]],temployee[#All],5,0)</f>
        <v>rider</v>
      </c>
    </row>
    <row r="9" spans="2:19" x14ac:dyDescent="0.35">
      <c r="B9" s="8" t="s">
        <v>24</v>
      </c>
      <c r="C9" s="2" t="s">
        <v>1278</v>
      </c>
      <c r="D9" s="5">
        <v>45324</v>
      </c>
      <c r="E9" s="5">
        <v>45326</v>
      </c>
      <c r="F9" s="2" t="s">
        <v>30</v>
      </c>
      <c r="G9" s="2" t="s">
        <v>11</v>
      </c>
      <c r="H9" s="2" t="s">
        <v>23</v>
      </c>
      <c r="I9" s="2" t="s">
        <v>17</v>
      </c>
      <c r="J9" s="2">
        <v>1.59</v>
      </c>
      <c r="K9" s="2" t="str">
        <f t="shared" si="0"/>
        <v>&lt; 5kg</v>
      </c>
      <c r="L9" s="2">
        <f>tdata[[#This Row],[Received_date]]-tdata[[#This Row],[Shipment_Date]]</f>
        <v>2</v>
      </c>
      <c r="M9" s="2">
        <f>VLOOKUP(tdata[[#This Row],[Service_Type]],Table2[#All],2,0)</f>
        <v>5</v>
      </c>
      <c r="N9" s="2" t="str">
        <f>IF(tdata[[#This Row],[Delivery_Days]]&lt;=tdata[[#This Row],[SLA_Days]],"On Time","Late")</f>
        <v>On Time</v>
      </c>
      <c r="O9" s="2">
        <f>VLOOKUP(tdata[[#This Row],[Service_Type]],Table2[#All],4,0)</f>
        <v>9000</v>
      </c>
      <c r="P9" s="2">
        <f>tdata[[#This Row],[price_per_kilo]]*tdata[[#This Row],[Weight_KG]]</f>
        <v>14310</v>
      </c>
      <c r="Q9" s="2" t="str">
        <f>VLOOKUP(tdata[[#This Row],[id_employee]],temployee[#All],2,0)</f>
        <v>Fajar Hidayat</v>
      </c>
      <c r="R9" s="2" t="str">
        <f>VLOOKUP(tdata[[#This Row],[id_employee]],temployee[#All],4,0)</f>
        <v>internal</v>
      </c>
      <c r="S9" s="9" t="str">
        <f>VLOOKUP(tdata[[#This Row],[id_employee]],temployee[#All],5,0)</f>
        <v>driver</v>
      </c>
    </row>
    <row r="10" spans="2:19" x14ac:dyDescent="0.35">
      <c r="B10" s="8" t="s">
        <v>25</v>
      </c>
      <c r="C10" s="2" t="s">
        <v>1279</v>
      </c>
      <c r="D10" s="5">
        <v>45158</v>
      </c>
      <c r="E10" s="5">
        <v>45168</v>
      </c>
      <c r="F10" s="2" t="s">
        <v>32</v>
      </c>
      <c r="G10" s="2" t="s">
        <v>26</v>
      </c>
      <c r="H10" s="2" t="s">
        <v>1224</v>
      </c>
      <c r="I10" s="2" t="s">
        <v>13</v>
      </c>
      <c r="J10" s="2">
        <v>10.02</v>
      </c>
      <c r="K10" s="2" t="str">
        <f t="shared" si="0"/>
        <v>&gt;5kg</v>
      </c>
      <c r="L10" s="2">
        <f>tdata[[#This Row],[Received_date]]-tdata[[#This Row],[Shipment_Date]]</f>
        <v>10</v>
      </c>
      <c r="M10" s="2">
        <f>VLOOKUP(tdata[[#This Row],[Service_Type]],Table2[#All],2,0)</f>
        <v>3</v>
      </c>
      <c r="N10" s="2" t="str">
        <f>IF(tdata[[#This Row],[Delivery_Days]]&lt;=tdata[[#This Row],[SLA_Days]],"On Time","Late")</f>
        <v>Late</v>
      </c>
      <c r="O10" s="2">
        <f>VLOOKUP(tdata[[#This Row],[Service_Type]],Table2[#All],4,0)</f>
        <v>10000</v>
      </c>
      <c r="P10" s="2">
        <f>tdata[[#This Row],[price_per_kilo]]*tdata[[#This Row],[Weight_KG]]</f>
        <v>100200</v>
      </c>
      <c r="Q10" s="2" t="str">
        <f>VLOOKUP(tdata[[#This Row],[id_employee]],temployee[#All],2,0)</f>
        <v>Gita Rahmawati</v>
      </c>
      <c r="R10" s="2" t="str">
        <f>VLOOKUP(tdata[[#This Row],[id_employee]],temployee[#All],4,0)</f>
        <v>crowd source</v>
      </c>
      <c r="S10" s="9" t="str">
        <f>VLOOKUP(tdata[[#This Row],[id_employee]],temployee[#All],5,0)</f>
        <v>rider</v>
      </c>
    </row>
    <row r="11" spans="2:19" x14ac:dyDescent="0.35">
      <c r="B11" s="8" t="s">
        <v>27</v>
      </c>
      <c r="C11" s="2" t="s">
        <v>1280</v>
      </c>
      <c r="D11" s="5">
        <v>45448</v>
      </c>
      <c r="E11" s="5">
        <v>45452</v>
      </c>
      <c r="F11" s="2" t="s">
        <v>16</v>
      </c>
      <c r="G11" s="2" t="s">
        <v>12</v>
      </c>
      <c r="H11" s="2" t="s">
        <v>1223</v>
      </c>
      <c r="I11" s="2" t="s">
        <v>13</v>
      </c>
      <c r="J11" s="2">
        <v>5.26</v>
      </c>
      <c r="K11" s="2" t="str">
        <f t="shared" si="0"/>
        <v>&gt;5kg</v>
      </c>
      <c r="L11" s="2">
        <f>tdata[[#This Row],[Received_date]]-tdata[[#This Row],[Shipment_Date]]</f>
        <v>4</v>
      </c>
      <c r="M11" s="2">
        <f>VLOOKUP(tdata[[#This Row],[Service_Type]],Table2[#All],2,0)</f>
        <v>1</v>
      </c>
      <c r="N11" s="2" t="str">
        <f>IF(tdata[[#This Row],[Delivery_Days]]&lt;=tdata[[#This Row],[SLA_Days]],"On Time","Late")</f>
        <v>Late</v>
      </c>
      <c r="O11" s="2">
        <f>VLOOKUP(tdata[[#This Row],[Service_Type]],Table2[#All],4,0)</f>
        <v>12000</v>
      </c>
      <c r="P11" s="2">
        <f>tdata[[#This Row],[price_per_kilo]]*tdata[[#This Row],[Weight_KG]]</f>
        <v>63120</v>
      </c>
      <c r="Q11" s="2" t="str">
        <f>VLOOKUP(tdata[[#This Row],[id_employee]],temployee[#All],2,0)</f>
        <v>Hendra Wijaya</v>
      </c>
      <c r="R11" s="2" t="str">
        <f>VLOOKUP(tdata[[#This Row],[id_employee]],temployee[#All],4,0)</f>
        <v>internal</v>
      </c>
      <c r="S11" s="9" t="str">
        <f>VLOOKUP(tdata[[#This Row],[id_employee]],temployee[#All],5,0)</f>
        <v>driver</v>
      </c>
    </row>
    <row r="12" spans="2:19" x14ac:dyDescent="0.35">
      <c r="B12" s="8" t="s">
        <v>28</v>
      </c>
      <c r="C12" s="2" t="s">
        <v>1281</v>
      </c>
      <c r="D12" s="5">
        <v>45590</v>
      </c>
      <c r="E12" s="5">
        <f>D12+4</f>
        <v>45594</v>
      </c>
      <c r="F12" s="2" t="s">
        <v>26</v>
      </c>
      <c r="G12" s="2" t="s">
        <v>11</v>
      </c>
      <c r="H12" s="2" t="s">
        <v>1224</v>
      </c>
      <c r="I12" s="2" t="s">
        <v>17</v>
      </c>
      <c r="J12" s="2">
        <v>8.8699999999999992</v>
      </c>
      <c r="K12" s="2" t="str">
        <f t="shared" si="0"/>
        <v>&gt;5kg</v>
      </c>
      <c r="L12" s="2">
        <f>tdata[[#This Row],[Received_date]]-tdata[[#This Row],[Shipment_Date]]</f>
        <v>4</v>
      </c>
      <c r="M12" s="2">
        <f>VLOOKUP(tdata[[#This Row],[Service_Type]],Table2[#All],2,0)</f>
        <v>3</v>
      </c>
      <c r="N12" s="2" t="str">
        <f>IF(tdata[[#This Row],[Delivery_Days]]&lt;=tdata[[#This Row],[SLA_Days]],"On Time","Late")</f>
        <v>Late</v>
      </c>
      <c r="O12" s="2">
        <f>VLOOKUP(tdata[[#This Row],[Service_Type]],Table2[#All],4,0)</f>
        <v>10000</v>
      </c>
      <c r="P12" s="2">
        <f>tdata[[#This Row],[price_per_kilo]]*tdata[[#This Row],[Weight_KG]]</f>
        <v>88699.999999999985</v>
      </c>
      <c r="Q12" s="2" t="str">
        <f>VLOOKUP(tdata[[#This Row],[id_employee]],temployee[#All],2,0)</f>
        <v>Indah Permata</v>
      </c>
      <c r="R12" s="2" t="str">
        <f>VLOOKUP(tdata[[#This Row],[id_employee]],temployee[#All],4,0)</f>
        <v>crowd source</v>
      </c>
      <c r="S12" s="9" t="str">
        <f>VLOOKUP(tdata[[#This Row],[id_employee]],temployee[#All],5,0)</f>
        <v>rider</v>
      </c>
    </row>
    <row r="13" spans="2:19" x14ac:dyDescent="0.35">
      <c r="B13" s="8" t="s">
        <v>29</v>
      </c>
      <c r="C13" s="2" t="s">
        <v>1282</v>
      </c>
      <c r="D13" s="5">
        <v>45459</v>
      </c>
      <c r="E13" s="5">
        <v>45459</v>
      </c>
      <c r="F13" s="2" t="s">
        <v>49</v>
      </c>
      <c r="G13" s="2" t="s">
        <v>11</v>
      </c>
      <c r="H13" s="2" t="s">
        <v>1223</v>
      </c>
      <c r="I13" s="2" t="s">
        <v>17</v>
      </c>
      <c r="J13" s="2">
        <v>2.42</v>
      </c>
      <c r="K13" s="2" t="str">
        <f t="shared" si="0"/>
        <v>&lt; 5kg</v>
      </c>
      <c r="L13" s="2">
        <f>tdata[[#This Row],[Received_date]]-tdata[[#This Row],[Shipment_Date]]</f>
        <v>0</v>
      </c>
      <c r="M13" s="2">
        <f>VLOOKUP(tdata[[#This Row],[Service_Type]],Table2[#All],2,0)</f>
        <v>1</v>
      </c>
      <c r="N13" s="2" t="str">
        <f>IF(tdata[[#This Row],[Delivery_Days]]&lt;=tdata[[#This Row],[SLA_Days]],"On Time","Late")</f>
        <v>On Time</v>
      </c>
      <c r="O13" s="2">
        <f>VLOOKUP(tdata[[#This Row],[Service_Type]],Table2[#All],4,0)</f>
        <v>12000</v>
      </c>
      <c r="P13" s="2">
        <f>tdata[[#This Row],[price_per_kilo]]*tdata[[#This Row],[Weight_KG]]</f>
        <v>29040</v>
      </c>
      <c r="Q13" s="2" t="str">
        <f>VLOOKUP(tdata[[#This Row],[id_employee]],temployee[#All],2,0)</f>
        <v>Joko Susilo</v>
      </c>
      <c r="R13" s="2" t="str">
        <f>VLOOKUP(tdata[[#This Row],[id_employee]],temployee[#All],4,0)</f>
        <v>internal</v>
      </c>
      <c r="S13" s="9" t="str">
        <f>VLOOKUP(tdata[[#This Row],[id_employee]],temployee[#All],5,0)</f>
        <v>driver</v>
      </c>
    </row>
    <row r="14" spans="2:19" x14ac:dyDescent="0.35">
      <c r="B14" s="8" t="s">
        <v>31</v>
      </c>
      <c r="C14" s="2" t="s">
        <v>1283</v>
      </c>
      <c r="D14" s="5">
        <v>45530</v>
      </c>
      <c r="E14" s="5">
        <v>45532</v>
      </c>
      <c r="F14" s="2" t="s">
        <v>11</v>
      </c>
      <c r="G14" s="2" t="s">
        <v>32</v>
      </c>
      <c r="H14" s="2" t="s">
        <v>1224</v>
      </c>
      <c r="I14" s="2" t="s">
        <v>13</v>
      </c>
      <c r="J14" s="2">
        <v>2.87</v>
      </c>
      <c r="K14" s="2" t="str">
        <f t="shared" si="0"/>
        <v>&lt; 5kg</v>
      </c>
      <c r="L14" s="2">
        <f>tdata[[#This Row],[Received_date]]-tdata[[#This Row],[Shipment_Date]]</f>
        <v>2</v>
      </c>
      <c r="M14" s="2">
        <f>VLOOKUP(tdata[[#This Row],[Service_Type]],Table2[#All],2,0)</f>
        <v>3</v>
      </c>
      <c r="N14" s="2" t="str">
        <f>IF(tdata[[#This Row],[Delivery_Days]]&lt;=tdata[[#This Row],[SLA_Days]],"On Time","Late")</f>
        <v>On Time</v>
      </c>
      <c r="O14" s="2">
        <f>VLOOKUP(tdata[[#This Row],[Service_Type]],Table2[#All],4,0)</f>
        <v>10000</v>
      </c>
      <c r="P14" s="2">
        <f>tdata[[#This Row],[price_per_kilo]]*tdata[[#This Row],[Weight_KG]]</f>
        <v>28700</v>
      </c>
      <c r="Q14" s="2" t="str">
        <f>VLOOKUP(tdata[[#This Row],[id_employee]],temployee[#All],2,0)</f>
        <v>Kurniawan Putra</v>
      </c>
      <c r="R14" s="2" t="str">
        <f>VLOOKUP(tdata[[#This Row],[id_employee]],temployee[#All],4,0)</f>
        <v>crowd source</v>
      </c>
      <c r="S14" s="9" t="str">
        <f>VLOOKUP(tdata[[#This Row],[id_employee]],temployee[#All],5,0)</f>
        <v>driver</v>
      </c>
    </row>
    <row r="15" spans="2:19" x14ac:dyDescent="0.35">
      <c r="B15" s="8" t="s">
        <v>33</v>
      </c>
      <c r="C15" s="2" t="s">
        <v>1284</v>
      </c>
      <c r="D15" s="5">
        <v>45061</v>
      </c>
      <c r="E15" s="5">
        <f t="shared" ref="E15:E16" si="1">D15+4</f>
        <v>45065</v>
      </c>
      <c r="F15" s="2" t="s">
        <v>15</v>
      </c>
      <c r="G15" s="2" t="s">
        <v>16</v>
      </c>
      <c r="H15" s="2" t="s">
        <v>1223</v>
      </c>
      <c r="I15" s="2" t="s">
        <v>13</v>
      </c>
      <c r="J15" s="2">
        <v>9</v>
      </c>
      <c r="K15" s="2" t="str">
        <f t="shared" si="0"/>
        <v>&gt;5kg</v>
      </c>
      <c r="L15" s="2">
        <f>tdata[[#This Row],[Received_date]]-tdata[[#This Row],[Shipment_Date]]</f>
        <v>4</v>
      </c>
      <c r="M15" s="2">
        <f>VLOOKUP(tdata[[#This Row],[Service_Type]],Table2[#All],2,0)</f>
        <v>1</v>
      </c>
      <c r="N15" s="2" t="str">
        <f>IF(tdata[[#This Row],[Delivery_Days]]&lt;=tdata[[#This Row],[SLA_Days]],"On Time","Late")</f>
        <v>Late</v>
      </c>
      <c r="O15" s="2">
        <f>VLOOKUP(tdata[[#This Row],[Service_Type]],Table2[#All],4,0)</f>
        <v>12000</v>
      </c>
      <c r="P15" s="2">
        <f>tdata[[#This Row],[price_per_kilo]]*tdata[[#This Row],[Weight_KG]]</f>
        <v>108000</v>
      </c>
      <c r="Q15" s="2" t="str">
        <f>VLOOKUP(tdata[[#This Row],[id_employee]],temployee[#All],2,0)</f>
        <v>Lina Marlina</v>
      </c>
      <c r="R15" s="2" t="str">
        <f>VLOOKUP(tdata[[#This Row],[id_employee]],temployee[#All],4,0)</f>
        <v>internal</v>
      </c>
      <c r="S15" s="9" t="str">
        <f>VLOOKUP(tdata[[#This Row],[id_employee]],temployee[#All],5,0)</f>
        <v>rider</v>
      </c>
    </row>
    <row r="16" spans="2:19" x14ac:dyDescent="0.35">
      <c r="B16" s="8" t="s">
        <v>34</v>
      </c>
      <c r="C16" s="2" t="s">
        <v>1285</v>
      </c>
      <c r="D16" s="5">
        <v>45523</v>
      </c>
      <c r="E16" s="5">
        <f t="shared" si="1"/>
        <v>45527</v>
      </c>
      <c r="F16" s="2" t="s">
        <v>20</v>
      </c>
      <c r="G16" s="2" t="s">
        <v>11</v>
      </c>
      <c r="H16" s="2" t="s">
        <v>1224</v>
      </c>
      <c r="I16" s="2" t="s">
        <v>13</v>
      </c>
      <c r="J16" s="2">
        <v>9.6999999999999993</v>
      </c>
      <c r="K16" s="2" t="str">
        <f t="shared" si="0"/>
        <v>&gt;5kg</v>
      </c>
      <c r="L16" s="2">
        <f>tdata[[#This Row],[Received_date]]-tdata[[#This Row],[Shipment_Date]]</f>
        <v>4</v>
      </c>
      <c r="M16" s="2">
        <f>VLOOKUP(tdata[[#This Row],[Service_Type]],Table2[#All],2,0)</f>
        <v>3</v>
      </c>
      <c r="N16" s="2" t="str">
        <f>IF(tdata[[#This Row],[Delivery_Days]]&lt;=tdata[[#This Row],[SLA_Days]],"On Time","Late")</f>
        <v>Late</v>
      </c>
      <c r="O16" s="2">
        <f>VLOOKUP(tdata[[#This Row],[Service_Type]],Table2[#All],4,0)</f>
        <v>10000</v>
      </c>
      <c r="P16" s="2">
        <f>tdata[[#This Row],[price_per_kilo]]*tdata[[#This Row],[Weight_KG]]</f>
        <v>97000</v>
      </c>
      <c r="Q16" s="2" t="str">
        <f>VLOOKUP(tdata[[#This Row],[id_employee]],temployee[#All],2,0)</f>
        <v>Rizky Ananda</v>
      </c>
      <c r="R16" s="2" t="str">
        <f>VLOOKUP(tdata[[#This Row],[id_employee]],temployee[#All],4,0)</f>
        <v>crowd source</v>
      </c>
      <c r="S16" s="9" t="str">
        <f>VLOOKUP(tdata[[#This Row],[id_employee]],temployee[#All],5,0)</f>
        <v>rider</v>
      </c>
    </row>
    <row r="17" spans="2:19" x14ac:dyDescent="0.35">
      <c r="B17" s="8" t="s">
        <v>35</v>
      </c>
      <c r="C17" s="2" t="s">
        <v>1286</v>
      </c>
      <c r="D17" s="5">
        <v>45182</v>
      </c>
      <c r="E17" s="5">
        <v>45182</v>
      </c>
      <c r="F17" s="2" t="s">
        <v>22</v>
      </c>
      <c r="G17" s="2" t="s">
        <v>32</v>
      </c>
      <c r="H17" s="2" t="s">
        <v>1223</v>
      </c>
      <c r="I17" s="2" t="s">
        <v>17</v>
      </c>
      <c r="J17" s="2">
        <v>7.23</v>
      </c>
      <c r="K17" s="2" t="str">
        <f t="shared" si="0"/>
        <v>&gt;5kg</v>
      </c>
      <c r="L17" s="2">
        <f>tdata[[#This Row],[Received_date]]-tdata[[#This Row],[Shipment_Date]]</f>
        <v>0</v>
      </c>
      <c r="M17" s="2">
        <f>VLOOKUP(tdata[[#This Row],[Service_Type]],Table2[#All],2,0)</f>
        <v>1</v>
      </c>
      <c r="N17" s="2" t="str">
        <f>IF(tdata[[#This Row],[Delivery_Days]]&lt;=tdata[[#This Row],[SLA_Days]],"On Time","Late")</f>
        <v>On Time</v>
      </c>
      <c r="O17" s="2">
        <f>VLOOKUP(tdata[[#This Row],[Service_Type]],Table2[#All],4,0)</f>
        <v>12000</v>
      </c>
      <c r="P17" s="2">
        <f>tdata[[#This Row],[price_per_kilo]]*tdata[[#This Row],[Weight_KG]]</f>
        <v>86760</v>
      </c>
      <c r="Q17" s="2" t="str">
        <f>VLOOKUP(tdata[[#This Row],[id_employee]],temployee[#All],2,0)</f>
        <v>Nanda Prakoso</v>
      </c>
      <c r="R17" s="2" t="str">
        <f>VLOOKUP(tdata[[#This Row],[id_employee]],temployee[#All],4,0)</f>
        <v>internal</v>
      </c>
      <c r="S17" s="9" t="str">
        <f>VLOOKUP(tdata[[#This Row],[id_employee]],temployee[#All],5,0)</f>
        <v>driver</v>
      </c>
    </row>
    <row r="18" spans="2:19" x14ac:dyDescent="0.35">
      <c r="B18" s="8" t="s">
        <v>36</v>
      </c>
      <c r="C18" s="2" t="s">
        <v>1287</v>
      </c>
      <c r="D18" s="5">
        <v>45333</v>
      </c>
      <c r="E18" s="5">
        <v>45341</v>
      </c>
      <c r="F18" s="2" t="s">
        <v>12</v>
      </c>
      <c r="G18" s="2" t="s">
        <v>26</v>
      </c>
      <c r="H18" s="2" t="s">
        <v>1224</v>
      </c>
      <c r="I18" s="2" t="s">
        <v>13</v>
      </c>
      <c r="J18" s="2">
        <v>3.7</v>
      </c>
      <c r="K18" s="2" t="str">
        <f t="shared" si="0"/>
        <v>&lt; 5kg</v>
      </c>
      <c r="L18" s="2">
        <f>tdata[[#This Row],[Received_date]]-tdata[[#This Row],[Shipment_Date]]</f>
        <v>8</v>
      </c>
      <c r="M18" s="2">
        <f>VLOOKUP(tdata[[#This Row],[Service_Type]],Table2[#All],2,0)</f>
        <v>3</v>
      </c>
      <c r="N18" s="2" t="str">
        <f>IF(tdata[[#This Row],[Delivery_Days]]&lt;=tdata[[#This Row],[SLA_Days]],"On Time","Late")</f>
        <v>Late</v>
      </c>
      <c r="O18" s="2">
        <f>VLOOKUP(tdata[[#This Row],[Service_Type]],Table2[#All],4,0)</f>
        <v>10000</v>
      </c>
      <c r="P18" s="2">
        <f>tdata[[#This Row],[price_per_kilo]]*tdata[[#This Row],[Weight_KG]]</f>
        <v>37000</v>
      </c>
      <c r="Q18" s="2" t="str">
        <f>VLOOKUP(tdata[[#This Row],[id_employee]],temployee[#All],2,0)</f>
        <v>Oktavian Yusuf</v>
      </c>
      <c r="R18" s="2" t="str">
        <f>VLOOKUP(tdata[[#This Row],[id_employee]],temployee[#All],4,0)</f>
        <v>crowd source</v>
      </c>
      <c r="S18" s="9" t="str">
        <f>VLOOKUP(tdata[[#This Row],[id_employee]],temployee[#All],5,0)</f>
        <v>driver</v>
      </c>
    </row>
    <row r="19" spans="2:19" x14ac:dyDescent="0.35">
      <c r="B19" s="8" t="s">
        <v>37</v>
      </c>
      <c r="C19" s="2" t="s">
        <v>1288</v>
      </c>
      <c r="D19" s="5">
        <v>45308</v>
      </c>
      <c r="E19" s="5">
        <v>45309</v>
      </c>
      <c r="F19" s="2" t="s">
        <v>30</v>
      </c>
      <c r="G19" s="2" t="s">
        <v>15</v>
      </c>
      <c r="H19" s="2" t="s">
        <v>1224</v>
      </c>
      <c r="I19" s="2" t="s">
        <v>17</v>
      </c>
      <c r="J19" s="2">
        <v>4.12</v>
      </c>
      <c r="K19" s="2" t="str">
        <f t="shared" si="0"/>
        <v>&lt; 5kg</v>
      </c>
      <c r="L19" s="2">
        <f>tdata[[#This Row],[Received_date]]-tdata[[#This Row],[Shipment_Date]]</f>
        <v>1</v>
      </c>
      <c r="M19" s="2">
        <f>VLOOKUP(tdata[[#This Row],[Service_Type]],Table2[#All],2,0)</f>
        <v>3</v>
      </c>
      <c r="N19" s="2" t="str">
        <f>IF(tdata[[#This Row],[Delivery_Days]]&lt;=tdata[[#This Row],[SLA_Days]],"On Time","Late")</f>
        <v>On Time</v>
      </c>
      <c r="O19" s="2">
        <f>VLOOKUP(tdata[[#This Row],[Service_Type]],Table2[#All],4,0)</f>
        <v>10000</v>
      </c>
      <c r="P19" s="2">
        <f>tdata[[#This Row],[price_per_kilo]]*tdata[[#This Row],[Weight_KG]]</f>
        <v>41200</v>
      </c>
      <c r="Q19" s="2" t="str">
        <f>VLOOKUP(tdata[[#This Row],[id_employee]],temployee[#All],2,0)</f>
        <v>Putri Ayu Lestari</v>
      </c>
      <c r="R19" s="2" t="str">
        <f>VLOOKUP(tdata[[#This Row],[id_employee]],temployee[#All],4,0)</f>
        <v>internal</v>
      </c>
      <c r="S19" s="9" t="str">
        <f>VLOOKUP(tdata[[#This Row],[id_employee]],temployee[#All],5,0)</f>
        <v>rider</v>
      </c>
    </row>
    <row r="20" spans="2:19" x14ac:dyDescent="0.35">
      <c r="B20" s="8" t="s">
        <v>38</v>
      </c>
      <c r="C20" s="2" t="s">
        <v>1289</v>
      </c>
      <c r="D20" s="5">
        <v>45478</v>
      </c>
      <c r="E20" s="5">
        <f t="shared" ref="E20:E21" si="2">D20+4</f>
        <v>45482</v>
      </c>
      <c r="F20" s="2" t="s">
        <v>32</v>
      </c>
      <c r="G20" s="2" t="s">
        <v>20</v>
      </c>
      <c r="H20" s="2" t="s">
        <v>1223</v>
      </c>
      <c r="I20" s="2" t="s">
        <v>17</v>
      </c>
      <c r="J20" s="2">
        <v>5.13</v>
      </c>
      <c r="K20" s="2" t="str">
        <f t="shared" si="0"/>
        <v>&gt;5kg</v>
      </c>
      <c r="L20" s="2">
        <f>tdata[[#This Row],[Received_date]]-tdata[[#This Row],[Shipment_Date]]</f>
        <v>4</v>
      </c>
      <c r="M20" s="2">
        <f>VLOOKUP(tdata[[#This Row],[Service_Type]],Table2[#All],2,0)</f>
        <v>1</v>
      </c>
      <c r="N20" s="2" t="str">
        <f>IF(tdata[[#This Row],[Delivery_Days]]&lt;=tdata[[#This Row],[SLA_Days]],"On Time","Late")</f>
        <v>Late</v>
      </c>
      <c r="O20" s="2">
        <f>VLOOKUP(tdata[[#This Row],[Service_Type]],Table2[#All],4,0)</f>
        <v>12000</v>
      </c>
      <c r="P20" s="2">
        <f>tdata[[#This Row],[price_per_kilo]]*tdata[[#This Row],[Weight_KG]]</f>
        <v>61560</v>
      </c>
      <c r="Q20" s="2" t="str">
        <f>VLOOKUP(tdata[[#This Row],[id_employee]],temployee[#All],2,0)</f>
        <v>Rafi Maulana</v>
      </c>
      <c r="R20" s="2" t="str">
        <f>VLOOKUP(tdata[[#This Row],[id_employee]],temployee[#All],4,0)</f>
        <v>internal</v>
      </c>
      <c r="S20" s="9" t="str">
        <f>VLOOKUP(tdata[[#This Row],[id_employee]],temployee[#All],5,0)</f>
        <v>rider</v>
      </c>
    </row>
    <row r="21" spans="2:19" x14ac:dyDescent="0.35">
      <c r="B21" s="8" t="s">
        <v>39</v>
      </c>
      <c r="C21" s="2" t="s">
        <v>1290</v>
      </c>
      <c r="D21" s="5">
        <v>44938</v>
      </c>
      <c r="E21" s="5">
        <f t="shared" si="2"/>
        <v>44942</v>
      </c>
      <c r="F21" s="2" t="s">
        <v>16</v>
      </c>
      <c r="G21" s="2" t="s">
        <v>15</v>
      </c>
      <c r="H21" s="2" t="s">
        <v>1223</v>
      </c>
      <c r="I21" s="2" t="s">
        <v>17</v>
      </c>
      <c r="J21" s="2">
        <v>9.52</v>
      </c>
      <c r="K21" s="2" t="str">
        <f t="shared" si="0"/>
        <v>&gt;5kg</v>
      </c>
      <c r="L21" s="2">
        <f>tdata[[#This Row],[Received_date]]-tdata[[#This Row],[Shipment_Date]]</f>
        <v>4</v>
      </c>
      <c r="M21" s="2">
        <f>VLOOKUP(tdata[[#This Row],[Service_Type]],Table2[#All],2,0)</f>
        <v>1</v>
      </c>
      <c r="N21" s="2" t="str">
        <f>IF(tdata[[#This Row],[Delivery_Days]]&lt;=tdata[[#This Row],[SLA_Days]],"On Time","Late")</f>
        <v>Late</v>
      </c>
      <c r="O21" s="2">
        <f>VLOOKUP(tdata[[#This Row],[Service_Type]],Table2[#All],4,0)</f>
        <v>12000</v>
      </c>
      <c r="P21" s="2">
        <f>tdata[[#This Row],[price_per_kilo]]*tdata[[#This Row],[Weight_KG]]</f>
        <v>114240</v>
      </c>
      <c r="Q21" s="2" t="str">
        <f>VLOOKUP(tdata[[#This Row],[id_employee]],temployee[#All],2,0)</f>
        <v>Sari Puspita</v>
      </c>
      <c r="R21" s="2" t="str">
        <f>VLOOKUP(tdata[[#This Row],[id_employee]],temployee[#All],4,0)</f>
        <v>crowd source</v>
      </c>
      <c r="S21" s="9" t="str">
        <f>VLOOKUP(tdata[[#This Row],[id_employee]],temployee[#All],5,0)</f>
        <v>rider</v>
      </c>
    </row>
    <row r="22" spans="2:19" x14ac:dyDescent="0.35">
      <c r="B22" s="8" t="s">
        <v>40</v>
      </c>
      <c r="C22" s="2" t="s">
        <v>1291</v>
      </c>
      <c r="D22" s="5">
        <v>45279</v>
      </c>
      <c r="E22" s="5">
        <v>45284</v>
      </c>
      <c r="F22" s="2" t="s">
        <v>26</v>
      </c>
      <c r="G22" s="2" t="s">
        <v>32</v>
      </c>
      <c r="H22" s="2" t="s">
        <v>23</v>
      </c>
      <c r="I22" s="2" t="s">
        <v>17</v>
      </c>
      <c r="J22" s="2">
        <v>9.9</v>
      </c>
      <c r="K22" s="2" t="str">
        <f t="shared" si="0"/>
        <v>&gt;5kg</v>
      </c>
      <c r="L22" s="2">
        <f>tdata[[#This Row],[Received_date]]-tdata[[#This Row],[Shipment_Date]]</f>
        <v>5</v>
      </c>
      <c r="M22" s="2">
        <f>VLOOKUP(tdata[[#This Row],[Service_Type]],Table2[#All],2,0)</f>
        <v>5</v>
      </c>
      <c r="N22" s="2" t="str">
        <f>IF(tdata[[#This Row],[Delivery_Days]]&lt;=tdata[[#This Row],[SLA_Days]],"On Time","Late")</f>
        <v>On Time</v>
      </c>
      <c r="O22" s="2">
        <f>VLOOKUP(tdata[[#This Row],[Service_Type]],Table2[#All],4,0)</f>
        <v>9000</v>
      </c>
      <c r="P22" s="2">
        <f>tdata[[#This Row],[price_per_kilo]]*tdata[[#This Row],[Weight_KG]]</f>
        <v>89100</v>
      </c>
      <c r="Q22" s="2" t="str">
        <f>VLOOKUP(tdata[[#This Row],[id_employee]],temployee[#All],2,0)</f>
        <v>Teguh Wibowo</v>
      </c>
      <c r="R22" s="2" t="str">
        <f>VLOOKUP(tdata[[#This Row],[id_employee]],temployee[#All],4,0)</f>
        <v>internal</v>
      </c>
      <c r="S22" s="9" t="str">
        <f>VLOOKUP(tdata[[#This Row],[id_employee]],temployee[#All],5,0)</f>
        <v>driver</v>
      </c>
    </row>
    <row r="23" spans="2:19" x14ac:dyDescent="0.35">
      <c r="B23" s="8" t="s">
        <v>41</v>
      </c>
      <c r="C23" s="2" t="s">
        <v>1292</v>
      </c>
      <c r="D23" s="5">
        <v>45570</v>
      </c>
      <c r="E23" s="5">
        <v>45571</v>
      </c>
      <c r="F23" s="2" t="s">
        <v>49</v>
      </c>
      <c r="G23" s="2" t="s">
        <v>22</v>
      </c>
      <c r="H23" s="2" t="s">
        <v>1223</v>
      </c>
      <c r="I23" s="2" t="s">
        <v>17</v>
      </c>
      <c r="J23" s="2">
        <v>4.26</v>
      </c>
      <c r="K23" s="2" t="str">
        <f t="shared" si="0"/>
        <v>&lt; 5kg</v>
      </c>
      <c r="L23" s="2">
        <f>tdata[[#This Row],[Received_date]]-tdata[[#This Row],[Shipment_Date]]</f>
        <v>1</v>
      </c>
      <c r="M23" s="2">
        <f>VLOOKUP(tdata[[#This Row],[Service_Type]],Table2[#All],2,0)</f>
        <v>1</v>
      </c>
      <c r="N23" s="2" t="str">
        <f>IF(tdata[[#This Row],[Delivery_Days]]&lt;=tdata[[#This Row],[SLA_Days]],"On Time","Late")</f>
        <v>On Time</v>
      </c>
      <c r="O23" s="2">
        <f>VLOOKUP(tdata[[#This Row],[Service_Type]],Table2[#All],4,0)</f>
        <v>12000</v>
      </c>
      <c r="P23" s="2">
        <f>tdata[[#This Row],[price_per_kilo]]*tdata[[#This Row],[Weight_KG]]</f>
        <v>51120</v>
      </c>
      <c r="Q23" s="2" t="str">
        <f>VLOOKUP(tdata[[#This Row],[id_employee]],temployee[#All],2,0)</f>
        <v>Umi Kalsum</v>
      </c>
      <c r="R23" s="2" t="str">
        <f>VLOOKUP(tdata[[#This Row],[id_employee]],temployee[#All],4,0)</f>
        <v>crowd source</v>
      </c>
      <c r="S23" s="9" t="str">
        <f>VLOOKUP(tdata[[#This Row],[id_employee]],temployee[#All],5,0)</f>
        <v>rider</v>
      </c>
    </row>
    <row r="24" spans="2:19" x14ac:dyDescent="0.35">
      <c r="B24" s="8" t="s">
        <v>42</v>
      </c>
      <c r="C24" s="2" t="s">
        <v>1293</v>
      </c>
      <c r="D24" s="5">
        <v>45137</v>
      </c>
      <c r="E24" s="5">
        <v>45137</v>
      </c>
      <c r="F24" s="2" t="s">
        <v>11</v>
      </c>
      <c r="G24" s="2" t="s">
        <v>20</v>
      </c>
      <c r="H24" s="2" t="s">
        <v>1224</v>
      </c>
      <c r="I24" s="2" t="s">
        <v>13</v>
      </c>
      <c r="J24" s="2">
        <v>3</v>
      </c>
      <c r="K24" s="2" t="str">
        <f t="shared" si="0"/>
        <v>&lt; 5kg</v>
      </c>
      <c r="L24" s="2">
        <f>tdata[[#This Row],[Received_date]]-tdata[[#This Row],[Shipment_Date]]</f>
        <v>0</v>
      </c>
      <c r="M24" s="2">
        <f>VLOOKUP(tdata[[#This Row],[Service_Type]],Table2[#All],2,0)</f>
        <v>3</v>
      </c>
      <c r="N24" s="2" t="str">
        <f>IF(tdata[[#This Row],[Delivery_Days]]&lt;=tdata[[#This Row],[SLA_Days]],"On Time","Late")</f>
        <v>On Time</v>
      </c>
      <c r="O24" s="2">
        <f>VLOOKUP(tdata[[#This Row],[Service_Type]],Table2[#All],4,0)</f>
        <v>10000</v>
      </c>
      <c r="P24" s="2">
        <f>tdata[[#This Row],[price_per_kilo]]*tdata[[#This Row],[Weight_KG]]</f>
        <v>30000</v>
      </c>
      <c r="Q24" s="2" t="str">
        <f>VLOOKUP(tdata[[#This Row],[id_employee]],temployee[#All],2,0)</f>
        <v>Vina Oktaviani</v>
      </c>
      <c r="R24" s="2" t="str">
        <f>VLOOKUP(tdata[[#This Row],[id_employee]],temployee[#All],4,0)</f>
        <v>internal</v>
      </c>
      <c r="S24" s="9" t="str">
        <f>VLOOKUP(tdata[[#This Row],[id_employee]],temployee[#All],5,0)</f>
        <v>rider</v>
      </c>
    </row>
    <row r="25" spans="2:19" x14ac:dyDescent="0.35">
      <c r="B25" s="8" t="s">
        <v>43</v>
      </c>
      <c r="C25" s="2" t="s">
        <v>1294</v>
      </c>
      <c r="D25" s="5">
        <v>45051</v>
      </c>
      <c r="E25" s="5">
        <v>45051</v>
      </c>
      <c r="F25" s="2" t="s">
        <v>15</v>
      </c>
      <c r="G25" s="2" t="s">
        <v>15</v>
      </c>
      <c r="H25" s="2" t="s">
        <v>1223</v>
      </c>
      <c r="I25" s="2" t="s">
        <v>13</v>
      </c>
      <c r="J25" s="2">
        <v>10.039999999999999</v>
      </c>
      <c r="K25" s="2" t="str">
        <f t="shared" si="0"/>
        <v>&gt;5kg</v>
      </c>
      <c r="L25" s="2">
        <f>tdata[[#This Row],[Received_date]]-tdata[[#This Row],[Shipment_Date]]</f>
        <v>0</v>
      </c>
      <c r="M25" s="2">
        <f>VLOOKUP(tdata[[#This Row],[Service_Type]],Table2[#All],2,0)</f>
        <v>1</v>
      </c>
      <c r="N25" s="2" t="str">
        <f>IF(tdata[[#This Row],[Delivery_Days]]&lt;=tdata[[#This Row],[SLA_Days]],"On Time","Late")</f>
        <v>On Time</v>
      </c>
      <c r="O25" s="2">
        <f>VLOOKUP(tdata[[#This Row],[Service_Type]],Table2[#All],4,0)</f>
        <v>12000</v>
      </c>
      <c r="P25" s="2">
        <f>tdata[[#This Row],[price_per_kilo]]*tdata[[#This Row],[Weight_KG]]</f>
        <v>120479.99999999999</v>
      </c>
      <c r="Q25" s="2" t="str">
        <f>VLOOKUP(tdata[[#This Row],[id_employee]],temployee[#All],2,0)</f>
        <v>Wahyu Setiawan</v>
      </c>
      <c r="R25" s="2" t="str">
        <f>VLOOKUP(tdata[[#This Row],[id_employee]],temployee[#All],4,0)</f>
        <v>crowd source</v>
      </c>
      <c r="S25" s="9" t="str">
        <f>VLOOKUP(tdata[[#This Row],[id_employee]],temployee[#All],5,0)</f>
        <v>driver</v>
      </c>
    </row>
    <row r="26" spans="2:19" x14ac:dyDescent="0.35">
      <c r="B26" s="8" t="s">
        <v>44</v>
      </c>
      <c r="C26" s="2" t="s">
        <v>1295</v>
      </c>
      <c r="D26" s="5">
        <v>45403</v>
      </c>
      <c r="E26" s="5">
        <v>45403</v>
      </c>
      <c r="F26" s="2" t="s">
        <v>20</v>
      </c>
      <c r="G26" s="2" t="s">
        <v>15</v>
      </c>
      <c r="H26" s="2" t="s">
        <v>1224</v>
      </c>
      <c r="I26" s="2" t="s">
        <v>13</v>
      </c>
      <c r="J26" s="2">
        <v>2.88</v>
      </c>
      <c r="K26" s="2" t="str">
        <f t="shared" si="0"/>
        <v>&lt; 5kg</v>
      </c>
      <c r="L26" s="2">
        <f>tdata[[#This Row],[Received_date]]-tdata[[#This Row],[Shipment_Date]]</f>
        <v>0</v>
      </c>
      <c r="M26" s="2">
        <f>VLOOKUP(tdata[[#This Row],[Service_Type]],Table2[#All],2,0)</f>
        <v>3</v>
      </c>
      <c r="N26" s="2" t="str">
        <f>IF(tdata[[#This Row],[Delivery_Days]]&lt;=tdata[[#This Row],[SLA_Days]],"On Time","Late")</f>
        <v>On Time</v>
      </c>
      <c r="O26" s="2">
        <f>VLOOKUP(tdata[[#This Row],[Service_Type]],Table2[#All],4,0)</f>
        <v>10000</v>
      </c>
      <c r="P26" s="2">
        <f>tdata[[#This Row],[price_per_kilo]]*tdata[[#This Row],[Weight_KG]]</f>
        <v>28800</v>
      </c>
      <c r="Q26" s="2" t="str">
        <f>VLOOKUP(tdata[[#This Row],[id_employee]],temployee[#All],2,0)</f>
        <v>Yogi Firmansyah</v>
      </c>
      <c r="R26" s="2" t="str">
        <f>VLOOKUP(tdata[[#This Row],[id_employee]],temployee[#All],4,0)</f>
        <v>internal</v>
      </c>
      <c r="S26" s="9" t="str">
        <f>VLOOKUP(tdata[[#This Row],[id_employee]],temployee[#All],5,0)</f>
        <v>driver</v>
      </c>
    </row>
    <row r="27" spans="2:19" x14ac:dyDescent="0.35">
      <c r="B27" s="8" t="s">
        <v>45</v>
      </c>
      <c r="C27" s="2" t="s">
        <v>1296</v>
      </c>
      <c r="D27" s="5">
        <v>44999</v>
      </c>
      <c r="E27" s="5">
        <v>45009</v>
      </c>
      <c r="F27" s="2" t="s">
        <v>22</v>
      </c>
      <c r="G27" s="2" t="s">
        <v>12</v>
      </c>
      <c r="H27" s="2" t="s">
        <v>23</v>
      </c>
      <c r="I27" s="2" t="s">
        <v>13</v>
      </c>
      <c r="J27" s="2">
        <v>4.9800000000000004</v>
      </c>
      <c r="K27" s="2" t="str">
        <f t="shared" si="0"/>
        <v>&lt; 5kg</v>
      </c>
      <c r="L27" s="2">
        <f>tdata[[#This Row],[Received_date]]-tdata[[#This Row],[Shipment_Date]]</f>
        <v>10</v>
      </c>
      <c r="M27" s="2">
        <f>VLOOKUP(tdata[[#This Row],[Service_Type]],Table2[#All],2,0)</f>
        <v>5</v>
      </c>
      <c r="N27" s="2" t="str">
        <f>IF(tdata[[#This Row],[Delivery_Days]]&lt;=tdata[[#This Row],[SLA_Days]],"On Time","Late")</f>
        <v>Late</v>
      </c>
      <c r="O27" s="2">
        <f>VLOOKUP(tdata[[#This Row],[Service_Type]],Table2[#All],4,0)</f>
        <v>9000</v>
      </c>
      <c r="P27" s="2">
        <f>tdata[[#This Row],[price_per_kilo]]*tdata[[#This Row],[Weight_KG]]</f>
        <v>44820.000000000007</v>
      </c>
      <c r="Q27" s="2" t="str">
        <f>VLOOKUP(tdata[[#This Row],[id_employee]],temployee[#All],2,0)</f>
        <v>Zainal Abidin</v>
      </c>
      <c r="R27" s="2" t="str">
        <f>VLOOKUP(tdata[[#This Row],[id_employee]],temployee[#All],4,0)</f>
        <v>crowd source</v>
      </c>
      <c r="S27" s="9" t="str">
        <f>VLOOKUP(tdata[[#This Row],[id_employee]],temployee[#All],5,0)</f>
        <v>driver</v>
      </c>
    </row>
    <row r="28" spans="2:19" x14ac:dyDescent="0.35">
      <c r="B28" s="8" t="s">
        <v>46</v>
      </c>
      <c r="C28" s="2" t="s">
        <v>1297</v>
      </c>
      <c r="D28" s="5">
        <v>45544</v>
      </c>
      <c r="E28" s="5">
        <v>45555</v>
      </c>
      <c r="F28" s="2" t="s">
        <v>12</v>
      </c>
      <c r="G28" s="2" t="s">
        <v>12</v>
      </c>
      <c r="H28" s="2" t="s">
        <v>1224</v>
      </c>
      <c r="I28" s="2" t="s">
        <v>17</v>
      </c>
      <c r="J28" s="2">
        <v>6.85</v>
      </c>
      <c r="K28" s="2" t="str">
        <f t="shared" si="0"/>
        <v>&gt;5kg</v>
      </c>
      <c r="L28" s="2">
        <f>tdata[[#This Row],[Received_date]]-tdata[[#This Row],[Shipment_Date]]</f>
        <v>11</v>
      </c>
      <c r="M28" s="2">
        <f>VLOOKUP(tdata[[#This Row],[Service_Type]],Table2[#All],2,0)</f>
        <v>3</v>
      </c>
      <c r="N28" s="2" t="str">
        <f>IF(tdata[[#This Row],[Delivery_Days]]&lt;=tdata[[#This Row],[SLA_Days]],"On Time","Late")</f>
        <v>Late</v>
      </c>
      <c r="O28" s="2">
        <f>VLOOKUP(tdata[[#This Row],[Service_Type]],Table2[#All],4,0)</f>
        <v>10000</v>
      </c>
      <c r="P28" s="2">
        <f>tdata[[#This Row],[price_per_kilo]]*tdata[[#This Row],[Weight_KG]]</f>
        <v>68500</v>
      </c>
      <c r="Q28" s="2" t="str">
        <f>VLOOKUP(tdata[[#This Row],[id_employee]],temployee[#All],2,0)</f>
        <v>Ahmad Fauzi</v>
      </c>
      <c r="R28" s="2" t="str">
        <f>VLOOKUP(tdata[[#This Row],[id_employee]],temployee[#All],4,0)</f>
        <v>internal</v>
      </c>
      <c r="S28" s="9" t="str">
        <f>VLOOKUP(tdata[[#This Row],[id_employee]],temployee[#All],5,0)</f>
        <v>rider</v>
      </c>
    </row>
    <row r="29" spans="2:19" x14ac:dyDescent="0.35">
      <c r="B29" s="8" t="s">
        <v>47</v>
      </c>
      <c r="C29" s="2" t="s">
        <v>1298</v>
      </c>
      <c r="D29" s="5">
        <v>45628</v>
      </c>
      <c r="E29" s="5">
        <v>45637</v>
      </c>
      <c r="F29" s="2" t="s">
        <v>30</v>
      </c>
      <c r="G29" s="2" t="s">
        <v>26</v>
      </c>
      <c r="H29" s="2" t="s">
        <v>1224</v>
      </c>
      <c r="I29" s="2" t="s">
        <v>13</v>
      </c>
      <c r="J29" s="2">
        <v>7.48</v>
      </c>
      <c r="K29" s="2" t="str">
        <f t="shared" si="0"/>
        <v>&gt;5kg</v>
      </c>
      <c r="L29" s="2">
        <f>tdata[[#This Row],[Received_date]]-tdata[[#This Row],[Shipment_Date]]</f>
        <v>9</v>
      </c>
      <c r="M29" s="2">
        <f>VLOOKUP(tdata[[#This Row],[Service_Type]],Table2[#All],2,0)</f>
        <v>3</v>
      </c>
      <c r="N29" s="2" t="str">
        <f>IF(tdata[[#This Row],[Delivery_Days]]&lt;=tdata[[#This Row],[SLA_Days]],"On Time","Late")</f>
        <v>Late</v>
      </c>
      <c r="O29" s="2">
        <f>VLOOKUP(tdata[[#This Row],[Service_Type]],Table2[#All],4,0)</f>
        <v>10000</v>
      </c>
      <c r="P29" s="2">
        <f>tdata[[#This Row],[price_per_kilo]]*tdata[[#This Row],[Weight_KG]]</f>
        <v>74800</v>
      </c>
      <c r="Q29" s="2" t="str">
        <f>VLOOKUP(tdata[[#This Row],[id_employee]],temployee[#All],2,0)</f>
        <v>Bayu Ramadhan</v>
      </c>
      <c r="R29" s="2" t="str">
        <f>VLOOKUP(tdata[[#This Row],[id_employee]],temployee[#All],4,0)</f>
        <v>crowd source</v>
      </c>
      <c r="S29" s="9" t="str">
        <f>VLOOKUP(tdata[[#This Row],[id_employee]],temployee[#All],5,0)</f>
        <v>rider</v>
      </c>
    </row>
    <row r="30" spans="2:19" x14ac:dyDescent="0.35">
      <c r="B30" s="8" t="s">
        <v>48</v>
      </c>
      <c r="C30" s="2" t="s">
        <v>1299</v>
      </c>
      <c r="D30" s="5">
        <v>45175</v>
      </c>
      <c r="E30" s="5">
        <v>45186</v>
      </c>
      <c r="F30" s="2" t="s">
        <v>32</v>
      </c>
      <c r="G30" s="2" t="s">
        <v>49</v>
      </c>
      <c r="H30" s="2" t="s">
        <v>23</v>
      </c>
      <c r="I30" s="2" t="s">
        <v>13</v>
      </c>
      <c r="J30" s="2">
        <v>9.85</v>
      </c>
      <c r="K30" s="2" t="str">
        <f t="shared" si="0"/>
        <v>&gt;5kg</v>
      </c>
      <c r="L30" s="2">
        <f>tdata[[#This Row],[Received_date]]-tdata[[#This Row],[Shipment_Date]]</f>
        <v>11</v>
      </c>
      <c r="M30" s="2">
        <f>VLOOKUP(tdata[[#This Row],[Service_Type]],Table2[#All],2,0)</f>
        <v>5</v>
      </c>
      <c r="N30" s="2" t="str">
        <f>IF(tdata[[#This Row],[Delivery_Days]]&lt;=tdata[[#This Row],[SLA_Days]],"On Time","Late")</f>
        <v>Late</v>
      </c>
      <c r="O30" s="2">
        <f>VLOOKUP(tdata[[#This Row],[Service_Type]],Table2[#All],4,0)</f>
        <v>9000</v>
      </c>
      <c r="P30" s="2">
        <f>tdata[[#This Row],[price_per_kilo]]*tdata[[#This Row],[Weight_KG]]</f>
        <v>88650</v>
      </c>
      <c r="Q30" s="2" t="str">
        <f>VLOOKUP(tdata[[#This Row],[id_employee]],temployee[#All],2,0)</f>
        <v>Cindy Oktavia</v>
      </c>
      <c r="R30" s="2" t="str">
        <f>VLOOKUP(tdata[[#This Row],[id_employee]],temployee[#All],4,0)</f>
        <v>internal</v>
      </c>
      <c r="S30" s="9" t="str">
        <f>VLOOKUP(tdata[[#This Row],[id_employee]],temployee[#All],5,0)</f>
        <v>rider</v>
      </c>
    </row>
    <row r="31" spans="2:19" x14ac:dyDescent="0.35">
      <c r="B31" s="8" t="s">
        <v>50</v>
      </c>
      <c r="C31" s="2" t="s">
        <v>1300</v>
      </c>
      <c r="D31" s="5">
        <v>45028</v>
      </c>
      <c r="E31" s="5">
        <v>45031</v>
      </c>
      <c r="F31" s="2" t="s">
        <v>16</v>
      </c>
      <c r="G31" s="2" t="s">
        <v>30</v>
      </c>
      <c r="H31" s="2" t="s">
        <v>23</v>
      </c>
      <c r="I31" s="2" t="s">
        <v>13</v>
      </c>
      <c r="J31" s="2">
        <v>7.86</v>
      </c>
      <c r="K31" s="2" t="str">
        <f t="shared" si="0"/>
        <v>&gt;5kg</v>
      </c>
      <c r="L31" s="2">
        <f>tdata[[#This Row],[Received_date]]-tdata[[#This Row],[Shipment_Date]]</f>
        <v>3</v>
      </c>
      <c r="M31" s="2">
        <f>VLOOKUP(tdata[[#This Row],[Service_Type]],Table2[#All],2,0)</f>
        <v>5</v>
      </c>
      <c r="N31" s="2" t="str">
        <f>IF(tdata[[#This Row],[Delivery_Days]]&lt;=tdata[[#This Row],[SLA_Days]],"On Time","Late")</f>
        <v>On Time</v>
      </c>
      <c r="O31" s="2">
        <f>VLOOKUP(tdata[[#This Row],[Service_Type]],Table2[#All],4,0)</f>
        <v>9000</v>
      </c>
      <c r="P31" s="2">
        <f>tdata[[#This Row],[price_per_kilo]]*tdata[[#This Row],[Weight_KG]]</f>
        <v>70740</v>
      </c>
      <c r="Q31" s="2" t="str">
        <f>VLOOKUP(tdata[[#This Row],[id_employee]],temployee[#All],2,0)</f>
        <v>Dian Pramudya</v>
      </c>
      <c r="R31" s="2" t="str">
        <f>VLOOKUP(tdata[[#This Row],[id_employee]],temployee[#All],4,0)</f>
        <v>crowd source</v>
      </c>
      <c r="S31" s="9" t="str">
        <f>VLOOKUP(tdata[[#This Row],[id_employee]],temployee[#All],5,0)</f>
        <v>driver</v>
      </c>
    </row>
    <row r="32" spans="2:19" x14ac:dyDescent="0.35">
      <c r="B32" s="8" t="s">
        <v>51</v>
      </c>
      <c r="C32" s="2" t="s">
        <v>1301</v>
      </c>
      <c r="D32" s="5">
        <v>45336</v>
      </c>
      <c r="E32" s="5">
        <v>45336</v>
      </c>
      <c r="F32" s="2" t="s">
        <v>26</v>
      </c>
      <c r="G32" s="2" t="s">
        <v>11</v>
      </c>
      <c r="H32" s="2" t="s">
        <v>1224</v>
      </c>
      <c r="I32" s="2" t="s">
        <v>17</v>
      </c>
      <c r="J32" s="2">
        <v>7.35</v>
      </c>
      <c r="K32" s="2" t="str">
        <f t="shared" si="0"/>
        <v>&gt;5kg</v>
      </c>
      <c r="L32" s="2">
        <f>tdata[[#This Row],[Received_date]]-tdata[[#This Row],[Shipment_Date]]</f>
        <v>0</v>
      </c>
      <c r="M32" s="2">
        <f>VLOOKUP(tdata[[#This Row],[Service_Type]],Table2[#All],2,0)</f>
        <v>3</v>
      </c>
      <c r="N32" s="2" t="str">
        <f>IF(tdata[[#This Row],[Delivery_Days]]&lt;=tdata[[#This Row],[SLA_Days]],"On Time","Late")</f>
        <v>On Time</v>
      </c>
      <c r="O32" s="2">
        <f>VLOOKUP(tdata[[#This Row],[Service_Type]],Table2[#All],4,0)</f>
        <v>10000</v>
      </c>
      <c r="P32" s="2">
        <f>tdata[[#This Row],[price_per_kilo]]*tdata[[#This Row],[Weight_KG]]</f>
        <v>73500</v>
      </c>
      <c r="Q32" s="2" t="str">
        <f>VLOOKUP(tdata[[#This Row],[id_employee]],temployee[#All],2,0)</f>
        <v>Erwin Kurniawan</v>
      </c>
      <c r="R32" s="2" t="str">
        <f>VLOOKUP(tdata[[#This Row],[id_employee]],temployee[#All],4,0)</f>
        <v>internal</v>
      </c>
      <c r="S32" s="9" t="str">
        <f>VLOOKUP(tdata[[#This Row],[id_employee]],temployee[#All],5,0)</f>
        <v>driver</v>
      </c>
    </row>
    <row r="33" spans="2:19" x14ac:dyDescent="0.35">
      <c r="B33" s="8" t="s">
        <v>52</v>
      </c>
      <c r="C33" s="2" t="s">
        <v>1302</v>
      </c>
      <c r="D33" s="5">
        <v>45513</v>
      </c>
      <c r="E33" s="5">
        <f t="shared" ref="E33:E34" si="3">D33+4</f>
        <v>45517</v>
      </c>
      <c r="F33" s="2" t="s">
        <v>49</v>
      </c>
      <c r="G33" s="2" t="s">
        <v>15</v>
      </c>
      <c r="H33" s="2" t="s">
        <v>1224</v>
      </c>
      <c r="I33" s="2" t="s">
        <v>13</v>
      </c>
      <c r="J33" s="2">
        <v>5.1100000000000003</v>
      </c>
      <c r="K33" s="2" t="str">
        <f t="shared" si="0"/>
        <v>&gt;5kg</v>
      </c>
      <c r="L33" s="2">
        <f>tdata[[#This Row],[Received_date]]-tdata[[#This Row],[Shipment_Date]]</f>
        <v>4</v>
      </c>
      <c r="M33" s="2">
        <f>VLOOKUP(tdata[[#This Row],[Service_Type]],Table2[#All],2,0)</f>
        <v>3</v>
      </c>
      <c r="N33" s="2" t="str">
        <f>IF(tdata[[#This Row],[Delivery_Days]]&lt;=tdata[[#This Row],[SLA_Days]],"On Time","Late")</f>
        <v>Late</v>
      </c>
      <c r="O33" s="2">
        <f>VLOOKUP(tdata[[#This Row],[Service_Type]],Table2[#All],4,0)</f>
        <v>10000</v>
      </c>
      <c r="P33" s="2">
        <f>tdata[[#This Row],[price_per_kilo]]*tdata[[#This Row],[Weight_KG]]</f>
        <v>51100</v>
      </c>
      <c r="Q33" s="2" t="str">
        <f>VLOOKUP(tdata[[#This Row],[id_employee]],temployee[#All],2,0)</f>
        <v>Fitri Handayani</v>
      </c>
      <c r="R33" s="2" t="str">
        <f>VLOOKUP(tdata[[#This Row],[id_employee]],temployee[#All],4,0)</f>
        <v>crowd source</v>
      </c>
      <c r="S33" s="9" t="str">
        <f>VLOOKUP(tdata[[#This Row],[id_employee]],temployee[#All],5,0)</f>
        <v>rider</v>
      </c>
    </row>
    <row r="34" spans="2:19" x14ac:dyDescent="0.35">
      <c r="B34" s="8" t="s">
        <v>53</v>
      </c>
      <c r="C34" s="2" t="s">
        <v>1303</v>
      </c>
      <c r="D34" s="5">
        <v>45449</v>
      </c>
      <c r="E34" s="5">
        <f t="shared" si="3"/>
        <v>45453</v>
      </c>
      <c r="F34" s="2" t="s">
        <v>11</v>
      </c>
      <c r="G34" s="2" t="s">
        <v>30</v>
      </c>
      <c r="H34" s="2" t="s">
        <v>23</v>
      </c>
      <c r="I34" s="2" t="s">
        <v>17</v>
      </c>
      <c r="J34" s="2">
        <v>5.63</v>
      </c>
      <c r="K34" s="2" t="str">
        <f t="shared" si="0"/>
        <v>&gt;5kg</v>
      </c>
      <c r="L34" s="2">
        <f>tdata[[#This Row],[Received_date]]-tdata[[#This Row],[Shipment_Date]]</f>
        <v>4</v>
      </c>
      <c r="M34" s="2">
        <f>VLOOKUP(tdata[[#This Row],[Service_Type]],Table2[#All],2,0)</f>
        <v>5</v>
      </c>
      <c r="N34" s="2" t="str">
        <f>IF(tdata[[#This Row],[Delivery_Days]]&lt;=tdata[[#This Row],[SLA_Days]],"On Time","Late")</f>
        <v>On Time</v>
      </c>
      <c r="O34" s="2">
        <f>VLOOKUP(tdata[[#This Row],[Service_Type]],Table2[#All],4,0)</f>
        <v>9000</v>
      </c>
      <c r="P34" s="2">
        <f>tdata[[#This Row],[price_per_kilo]]*tdata[[#This Row],[Weight_KG]]</f>
        <v>50670</v>
      </c>
      <c r="Q34" s="2" t="str">
        <f>VLOOKUP(tdata[[#This Row],[id_employee]],temployee[#All],2,0)</f>
        <v>Gilang Saputra</v>
      </c>
      <c r="R34" s="2" t="str">
        <f>VLOOKUP(tdata[[#This Row],[id_employee]],temployee[#All],4,0)</f>
        <v>internal</v>
      </c>
      <c r="S34" s="9" t="str">
        <f>VLOOKUP(tdata[[#This Row],[id_employee]],temployee[#All],5,0)</f>
        <v>rider</v>
      </c>
    </row>
    <row r="35" spans="2:19" x14ac:dyDescent="0.35">
      <c r="B35" s="8" t="s">
        <v>54</v>
      </c>
      <c r="C35" s="2" t="s">
        <v>1304</v>
      </c>
      <c r="D35" s="5">
        <v>45630</v>
      </c>
      <c r="E35" s="5">
        <v>45636</v>
      </c>
      <c r="F35" s="2" t="s">
        <v>15</v>
      </c>
      <c r="G35" s="2" t="s">
        <v>30</v>
      </c>
      <c r="H35" s="2" t="s">
        <v>1224</v>
      </c>
      <c r="I35" s="2" t="s">
        <v>13</v>
      </c>
      <c r="J35" s="2">
        <v>3.04</v>
      </c>
      <c r="K35" s="2" t="str">
        <f t="shared" si="0"/>
        <v>&lt; 5kg</v>
      </c>
      <c r="L35" s="2">
        <f>tdata[[#This Row],[Received_date]]-tdata[[#This Row],[Shipment_Date]]</f>
        <v>6</v>
      </c>
      <c r="M35" s="2">
        <f>VLOOKUP(tdata[[#This Row],[Service_Type]],Table2[#All],2,0)</f>
        <v>3</v>
      </c>
      <c r="N35" s="2" t="str">
        <f>IF(tdata[[#This Row],[Delivery_Days]]&lt;=tdata[[#This Row],[SLA_Days]],"On Time","Late")</f>
        <v>Late</v>
      </c>
      <c r="O35" s="2">
        <f>VLOOKUP(tdata[[#This Row],[Service_Type]],Table2[#All],4,0)</f>
        <v>10000</v>
      </c>
      <c r="P35" s="2">
        <f>tdata[[#This Row],[price_per_kilo]]*tdata[[#This Row],[Weight_KG]]</f>
        <v>30400</v>
      </c>
      <c r="Q35" s="2" t="str">
        <f>VLOOKUP(tdata[[#This Row],[id_employee]],temployee[#All],2,0)</f>
        <v>Hariyanto</v>
      </c>
      <c r="R35" s="2" t="str">
        <f>VLOOKUP(tdata[[#This Row],[id_employee]],temployee[#All],4,0)</f>
        <v>crowd source</v>
      </c>
      <c r="S35" s="9" t="str">
        <f>VLOOKUP(tdata[[#This Row],[id_employee]],temployee[#All],5,0)</f>
        <v>driver</v>
      </c>
    </row>
    <row r="36" spans="2:19" x14ac:dyDescent="0.35">
      <c r="B36" s="8" t="s">
        <v>55</v>
      </c>
      <c r="C36" s="2" t="s">
        <v>1305</v>
      </c>
      <c r="D36" s="5">
        <v>45395</v>
      </c>
      <c r="E36" s="5">
        <v>45402</v>
      </c>
      <c r="F36" s="2" t="s">
        <v>20</v>
      </c>
      <c r="G36" s="2" t="s">
        <v>49</v>
      </c>
      <c r="H36" s="2" t="s">
        <v>23</v>
      </c>
      <c r="I36" s="2" t="s">
        <v>13</v>
      </c>
      <c r="J36" s="2">
        <v>6.78</v>
      </c>
      <c r="K36" s="2" t="str">
        <f t="shared" si="0"/>
        <v>&gt;5kg</v>
      </c>
      <c r="L36" s="2">
        <f>tdata[[#This Row],[Received_date]]-tdata[[#This Row],[Shipment_Date]]</f>
        <v>7</v>
      </c>
      <c r="M36" s="2">
        <f>VLOOKUP(tdata[[#This Row],[Service_Type]],Table2[#All],2,0)</f>
        <v>5</v>
      </c>
      <c r="N36" s="2" t="str">
        <f>IF(tdata[[#This Row],[Delivery_Days]]&lt;=tdata[[#This Row],[SLA_Days]],"On Time","Late")</f>
        <v>Late</v>
      </c>
      <c r="O36" s="2">
        <f>VLOOKUP(tdata[[#This Row],[Service_Type]],Table2[#All],4,0)</f>
        <v>9000</v>
      </c>
      <c r="P36" s="2">
        <f>tdata[[#This Row],[price_per_kilo]]*tdata[[#This Row],[Weight_KG]]</f>
        <v>61020</v>
      </c>
      <c r="Q36" s="2" t="str">
        <f>VLOOKUP(tdata[[#This Row],[id_employee]],temployee[#All],2,0)</f>
        <v>Intan Maharani</v>
      </c>
      <c r="R36" s="2" t="str">
        <f>VLOOKUP(tdata[[#This Row],[id_employee]],temployee[#All],4,0)</f>
        <v>internal</v>
      </c>
      <c r="S36" s="9" t="str">
        <f>VLOOKUP(tdata[[#This Row],[id_employee]],temployee[#All],5,0)</f>
        <v>rider</v>
      </c>
    </row>
    <row r="37" spans="2:19" x14ac:dyDescent="0.35">
      <c r="B37" s="8" t="s">
        <v>56</v>
      </c>
      <c r="C37" s="2" t="s">
        <v>1306</v>
      </c>
      <c r="D37" s="5">
        <v>45023</v>
      </c>
      <c r="E37" s="5">
        <v>45026</v>
      </c>
      <c r="F37" s="2" t="s">
        <v>22</v>
      </c>
      <c r="G37" s="2" t="s">
        <v>12</v>
      </c>
      <c r="H37" s="2" t="s">
        <v>23</v>
      </c>
      <c r="I37" s="2" t="s">
        <v>13</v>
      </c>
      <c r="J37" s="2">
        <v>2.54</v>
      </c>
      <c r="K37" s="2" t="str">
        <f t="shared" si="0"/>
        <v>&lt; 5kg</v>
      </c>
      <c r="L37" s="2">
        <f>tdata[[#This Row],[Received_date]]-tdata[[#This Row],[Shipment_Date]]</f>
        <v>3</v>
      </c>
      <c r="M37" s="2">
        <f>VLOOKUP(tdata[[#This Row],[Service_Type]],Table2[#All],2,0)</f>
        <v>5</v>
      </c>
      <c r="N37" s="2" t="str">
        <f>IF(tdata[[#This Row],[Delivery_Days]]&lt;=tdata[[#This Row],[SLA_Days]],"On Time","Late")</f>
        <v>On Time</v>
      </c>
      <c r="O37" s="2">
        <f>VLOOKUP(tdata[[#This Row],[Service_Type]],Table2[#All],4,0)</f>
        <v>9000</v>
      </c>
      <c r="P37" s="2">
        <f>tdata[[#This Row],[price_per_kilo]]*tdata[[#This Row],[Weight_KG]]</f>
        <v>22860</v>
      </c>
      <c r="Q37" s="2" t="str">
        <f>VLOOKUP(tdata[[#This Row],[id_employee]],temployee[#All],2,0)</f>
        <v>Jefri Alamsyah</v>
      </c>
      <c r="R37" s="2" t="str">
        <f>VLOOKUP(tdata[[#This Row],[id_employee]],temployee[#All],4,0)</f>
        <v>internal</v>
      </c>
      <c r="S37" s="9" t="str">
        <f>VLOOKUP(tdata[[#This Row],[id_employee]],temployee[#All],5,0)</f>
        <v>driver</v>
      </c>
    </row>
    <row r="38" spans="2:19" x14ac:dyDescent="0.35">
      <c r="B38" s="8" t="s">
        <v>57</v>
      </c>
      <c r="C38" s="2" t="s">
        <v>1307</v>
      </c>
      <c r="D38" s="5">
        <v>45563</v>
      </c>
      <c r="E38" s="5">
        <v>45574</v>
      </c>
      <c r="F38" s="2" t="s">
        <v>12</v>
      </c>
      <c r="G38" s="2" t="s">
        <v>49</v>
      </c>
      <c r="H38" s="2" t="s">
        <v>1223</v>
      </c>
      <c r="I38" s="2" t="s">
        <v>13</v>
      </c>
      <c r="J38" s="2">
        <v>1.59</v>
      </c>
      <c r="K38" s="2" t="str">
        <f t="shared" si="0"/>
        <v>&lt; 5kg</v>
      </c>
      <c r="L38" s="2">
        <f>tdata[[#This Row],[Received_date]]-tdata[[#This Row],[Shipment_Date]]</f>
        <v>11</v>
      </c>
      <c r="M38" s="2">
        <f>VLOOKUP(tdata[[#This Row],[Service_Type]],Table2[#All],2,0)</f>
        <v>1</v>
      </c>
      <c r="N38" s="2" t="str">
        <f>IF(tdata[[#This Row],[Delivery_Days]]&lt;=tdata[[#This Row],[SLA_Days]],"On Time","Late")</f>
        <v>Late</v>
      </c>
      <c r="O38" s="2">
        <f>VLOOKUP(tdata[[#This Row],[Service_Type]],Table2[#All],4,0)</f>
        <v>12000</v>
      </c>
      <c r="P38" s="2">
        <f>tdata[[#This Row],[price_per_kilo]]*tdata[[#This Row],[Weight_KG]]</f>
        <v>19080</v>
      </c>
      <c r="Q38" s="2" t="str">
        <f>VLOOKUP(tdata[[#This Row],[id_employee]],temployee[#All],2,0)</f>
        <v>Kartika Sari</v>
      </c>
      <c r="R38" s="2" t="str">
        <f>VLOOKUP(tdata[[#This Row],[id_employee]],temployee[#All],4,0)</f>
        <v>crowd source</v>
      </c>
      <c r="S38" s="9" t="str">
        <f>VLOOKUP(tdata[[#This Row],[id_employee]],temployee[#All],5,0)</f>
        <v>rider</v>
      </c>
    </row>
    <row r="39" spans="2:19" x14ac:dyDescent="0.35">
      <c r="B39" s="8" t="s">
        <v>58</v>
      </c>
      <c r="C39" s="2" t="s">
        <v>1308</v>
      </c>
      <c r="D39" s="5">
        <v>45495</v>
      </c>
      <c r="E39" s="5">
        <v>45499</v>
      </c>
      <c r="F39" s="2" t="s">
        <v>30</v>
      </c>
      <c r="G39" s="2" t="s">
        <v>30</v>
      </c>
      <c r="H39" s="2" t="s">
        <v>1224</v>
      </c>
      <c r="I39" s="2" t="s">
        <v>17</v>
      </c>
      <c r="J39" s="2">
        <v>2.06</v>
      </c>
      <c r="K39" s="2" t="str">
        <f t="shared" si="0"/>
        <v>&lt; 5kg</v>
      </c>
      <c r="L39" s="2">
        <f>tdata[[#This Row],[Received_date]]-tdata[[#This Row],[Shipment_Date]]</f>
        <v>4</v>
      </c>
      <c r="M39" s="2">
        <f>VLOOKUP(tdata[[#This Row],[Service_Type]],Table2[#All],2,0)</f>
        <v>3</v>
      </c>
      <c r="N39" s="2" t="str">
        <f>IF(tdata[[#This Row],[Delivery_Days]]&lt;=tdata[[#This Row],[SLA_Days]],"On Time","Late")</f>
        <v>Late</v>
      </c>
      <c r="O39" s="2">
        <f>VLOOKUP(tdata[[#This Row],[Service_Type]],Table2[#All],4,0)</f>
        <v>10000</v>
      </c>
      <c r="P39" s="2">
        <f>tdata[[#This Row],[price_per_kilo]]*tdata[[#This Row],[Weight_KG]]</f>
        <v>20600</v>
      </c>
      <c r="Q39" s="2" t="str">
        <f>VLOOKUP(tdata[[#This Row],[id_employee]],temployee[#All],2,0)</f>
        <v>Lukman Hakim</v>
      </c>
      <c r="R39" s="2" t="str">
        <f>VLOOKUP(tdata[[#This Row],[id_employee]],temployee[#All],4,0)</f>
        <v>internal</v>
      </c>
      <c r="S39" s="9" t="str">
        <f>VLOOKUP(tdata[[#This Row],[id_employee]],temployee[#All],5,0)</f>
        <v>driver</v>
      </c>
    </row>
    <row r="40" spans="2:19" x14ac:dyDescent="0.35">
      <c r="B40" s="8" t="s">
        <v>59</v>
      </c>
      <c r="C40" s="2" t="s">
        <v>1309</v>
      </c>
      <c r="D40" s="5">
        <v>45184</v>
      </c>
      <c r="E40" s="5">
        <v>45187</v>
      </c>
      <c r="F40" s="2" t="s">
        <v>32</v>
      </c>
      <c r="G40" s="2" t="s">
        <v>32</v>
      </c>
      <c r="H40" s="2" t="s">
        <v>23</v>
      </c>
      <c r="I40" s="2" t="s">
        <v>13</v>
      </c>
      <c r="J40" s="2">
        <v>4.9400000000000004</v>
      </c>
      <c r="K40" s="2" t="str">
        <f t="shared" si="0"/>
        <v>&lt; 5kg</v>
      </c>
      <c r="L40" s="2">
        <f>tdata[[#This Row],[Received_date]]-tdata[[#This Row],[Shipment_Date]]</f>
        <v>3</v>
      </c>
      <c r="M40" s="2">
        <f>VLOOKUP(tdata[[#This Row],[Service_Type]],Table2[#All],2,0)</f>
        <v>5</v>
      </c>
      <c r="N40" s="2" t="str">
        <f>IF(tdata[[#This Row],[Delivery_Days]]&lt;=tdata[[#This Row],[SLA_Days]],"On Time","Late")</f>
        <v>On Time</v>
      </c>
      <c r="O40" s="2">
        <f>VLOOKUP(tdata[[#This Row],[Service_Type]],Table2[#All],4,0)</f>
        <v>9000</v>
      </c>
      <c r="P40" s="2">
        <f>tdata[[#This Row],[price_per_kilo]]*tdata[[#This Row],[Weight_KG]]</f>
        <v>44460</v>
      </c>
      <c r="Q40" s="2" t="str">
        <f>VLOOKUP(tdata[[#This Row],[id_employee]],temployee[#All],2,0)</f>
        <v>Mega Puspitasari</v>
      </c>
      <c r="R40" s="2" t="str">
        <f>VLOOKUP(tdata[[#This Row],[id_employee]],temployee[#All],4,0)</f>
        <v>internal</v>
      </c>
      <c r="S40" s="9" t="str">
        <f>VLOOKUP(tdata[[#This Row],[id_employee]],temployee[#All],5,0)</f>
        <v>rider</v>
      </c>
    </row>
    <row r="41" spans="2:19" x14ac:dyDescent="0.35">
      <c r="B41" s="8" t="s">
        <v>60</v>
      </c>
      <c r="C41" s="2" t="s">
        <v>1310</v>
      </c>
      <c r="D41" s="5">
        <v>45570</v>
      </c>
      <c r="E41" s="5">
        <v>45572</v>
      </c>
      <c r="F41" s="2" t="s">
        <v>16</v>
      </c>
      <c r="G41" s="2" t="s">
        <v>32</v>
      </c>
      <c r="H41" s="2" t="s">
        <v>1224</v>
      </c>
      <c r="I41" s="2" t="s">
        <v>13</v>
      </c>
      <c r="J41" s="2">
        <v>8.66</v>
      </c>
      <c r="K41" s="2" t="str">
        <f t="shared" si="0"/>
        <v>&gt;5kg</v>
      </c>
      <c r="L41" s="2">
        <f>tdata[[#This Row],[Received_date]]-tdata[[#This Row],[Shipment_Date]]</f>
        <v>2</v>
      </c>
      <c r="M41" s="2">
        <f>VLOOKUP(tdata[[#This Row],[Service_Type]],Table2[#All],2,0)</f>
        <v>3</v>
      </c>
      <c r="N41" s="2" t="str">
        <f>IF(tdata[[#This Row],[Delivery_Days]]&lt;=tdata[[#This Row],[SLA_Days]],"On Time","Late")</f>
        <v>On Time</v>
      </c>
      <c r="O41" s="2">
        <f>VLOOKUP(tdata[[#This Row],[Service_Type]],Table2[#All],4,0)</f>
        <v>10000</v>
      </c>
      <c r="P41" s="2">
        <f>tdata[[#This Row],[price_per_kilo]]*tdata[[#This Row],[Weight_KG]]</f>
        <v>86600</v>
      </c>
      <c r="Q41" s="2" t="str">
        <f>VLOOKUP(tdata[[#This Row],[id_employee]],temployee[#All],2,0)</f>
        <v>Niko Prasetyo</v>
      </c>
      <c r="R41" s="2" t="str">
        <f>VLOOKUP(tdata[[#This Row],[id_employee]],temployee[#All],4,0)</f>
        <v>crowd source</v>
      </c>
      <c r="S41" s="9" t="str">
        <f>VLOOKUP(tdata[[#This Row],[id_employee]],temployee[#All],5,0)</f>
        <v>driver</v>
      </c>
    </row>
    <row r="42" spans="2:19" x14ac:dyDescent="0.35">
      <c r="B42" s="8" t="s">
        <v>61</v>
      </c>
      <c r="C42" s="2" t="s">
        <v>1311</v>
      </c>
      <c r="D42" s="5">
        <v>45083</v>
      </c>
      <c r="E42" s="5">
        <v>45084</v>
      </c>
      <c r="F42" s="2" t="s">
        <v>26</v>
      </c>
      <c r="G42" s="2" t="s">
        <v>22</v>
      </c>
      <c r="H42" s="2" t="s">
        <v>1223</v>
      </c>
      <c r="I42" s="2" t="s">
        <v>17</v>
      </c>
      <c r="J42" s="2">
        <v>2.65</v>
      </c>
      <c r="K42" s="2" t="str">
        <f t="shared" si="0"/>
        <v>&lt; 5kg</v>
      </c>
      <c r="L42" s="2">
        <f>tdata[[#This Row],[Received_date]]-tdata[[#This Row],[Shipment_Date]]</f>
        <v>1</v>
      </c>
      <c r="M42" s="2">
        <f>VLOOKUP(tdata[[#This Row],[Service_Type]],Table2[#All],2,0)</f>
        <v>1</v>
      </c>
      <c r="N42" s="2" t="str">
        <f>IF(tdata[[#This Row],[Delivery_Days]]&lt;=tdata[[#This Row],[SLA_Days]],"On Time","Late")</f>
        <v>On Time</v>
      </c>
      <c r="O42" s="2">
        <f>VLOOKUP(tdata[[#This Row],[Service_Type]],Table2[#All],4,0)</f>
        <v>12000</v>
      </c>
      <c r="P42" s="2">
        <f>tdata[[#This Row],[price_per_kilo]]*tdata[[#This Row],[Weight_KG]]</f>
        <v>31800</v>
      </c>
      <c r="Q42" s="2" t="str">
        <f>VLOOKUP(tdata[[#This Row],[id_employee]],temployee[#All],2,0)</f>
        <v>Olivia Putri</v>
      </c>
      <c r="R42" s="2" t="str">
        <f>VLOOKUP(tdata[[#This Row],[id_employee]],temployee[#All],4,0)</f>
        <v>internal</v>
      </c>
      <c r="S42" s="9" t="str">
        <f>VLOOKUP(tdata[[#This Row],[id_employee]],temployee[#All],5,0)</f>
        <v>rider</v>
      </c>
    </row>
    <row r="43" spans="2:19" x14ac:dyDescent="0.35">
      <c r="B43" s="8" t="s">
        <v>62</v>
      </c>
      <c r="C43" s="2" t="s">
        <v>1312</v>
      </c>
      <c r="D43" s="5">
        <v>45226</v>
      </c>
      <c r="E43" s="5">
        <v>45228</v>
      </c>
      <c r="F43" s="2" t="s">
        <v>49</v>
      </c>
      <c r="G43" s="2" t="s">
        <v>11</v>
      </c>
      <c r="H43" s="2" t="s">
        <v>23</v>
      </c>
      <c r="I43" s="2" t="s">
        <v>17</v>
      </c>
      <c r="J43" s="2">
        <v>1.93</v>
      </c>
      <c r="K43" s="2" t="str">
        <f t="shared" si="0"/>
        <v>&lt; 5kg</v>
      </c>
      <c r="L43" s="2">
        <f>tdata[[#This Row],[Received_date]]-tdata[[#This Row],[Shipment_Date]]</f>
        <v>2</v>
      </c>
      <c r="M43" s="2">
        <f>VLOOKUP(tdata[[#This Row],[Service_Type]],Table2[#All],2,0)</f>
        <v>5</v>
      </c>
      <c r="N43" s="2" t="str">
        <f>IF(tdata[[#This Row],[Delivery_Days]]&lt;=tdata[[#This Row],[SLA_Days]],"On Time","Late")</f>
        <v>On Time</v>
      </c>
      <c r="O43" s="2">
        <f>VLOOKUP(tdata[[#This Row],[Service_Type]],Table2[#All],4,0)</f>
        <v>9000</v>
      </c>
      <c r="P43" s="2">
        <f>tdata[[#This Row],[price_per_kilo]]*tdata[[#This Row],[Weight_KG]]</f>
        <v>17370</v>
      </c>
      <c r="Q43" s="2" t="str">
        <f>VLOOKUP(tdata[[#This Row],[id_employee]],temployee[#All],2,0)</f>
        <v>Prasetyo Utomo</v>
      </c>
      <c r="R43" s="2" t="str">
        <f>VLOOKUP(tdata[[#This Row],[id_employee]],temployee[#All],4,0)</f>
        <v>internal</v>
      </c>
      <c r="S43" s="9" t="str">
        <f>VLOOKUP(tdata[[#This Row],[id_employee]],temployee[#All],5,0)</f>
        <v>driver</v>
      </c>
    </row>
    <row r="44" spans="2:19" x14ac:dyDescent="0.35">
      <c r="B44" s="8" t="s">
        <v>63</v>
      </c>
      <c r="C44" s="2" t="s">
        <v>1313</v>
      </c>
      <c r="D44" s="5">
        <v>45548</v>
      </c>
      <c r="E44" s="5">
        <v>45550</v>
      </c>
      <c r="F44" s="2" t="s">
        <v>11</v>
      </c>
      <c r="G44" s="2" t="s">
        <v>26</v>
      </c>
      <c r="H44" s="2" t="s">
        <v>1224</v>
      </c>
      <c r="I44" s="2" t="s">
        <v>17</v>
      </c>
      <c r="J44" s="2">
        <v>1.95</v>
      </c>
      <c r="K44" s="2" t="str">
        <f t="shared" si="0"/>
        <v>&lt; 5kg</v>
      </c>
      <c r="L44" s="2">
        <f>tdata[[#This Row],[Received_date]]-tdata[[#This Row],[Shipment_Date]]</f>
        <v>2</v>
      </c>
      <c r="M44" s="2">
        <f>VLOOKUP(tdata[[#This Row],[Service_Type]],Table2[#All],2,0)</f>
        <v>3</v>
      </c>
      <c r="N44" s="2" t="str">
        <f>IF(tdata[[#This Row],[Delivery_Days]]&lt;=tdata[[#This Row],[SLA_Days]],"On Time","Late")</f>
        <v>On Time</v>
      </c>
      <c r="O44" s="2">
        <f>VLOOKUP(tdata[[#This Row],[Service_Type]],Table2[#All],4,0)</f>
        <v>10000</v>
      </c>
      <c r="P44" s="2">
        <f>tdata[[#This Row],[price_per_kilo]]*tdata[[#This Row],[Weight_KG]]</f>
        <v>19500</v>
      </c>
      <c r="Q44" s="2" t="str">
        <f>VLOOKUP(tdata[[#This Row],[id_employee]],temployee[#All],2,0)</f>
        <v>Qori Annisa</v>
      </c>
      <c r="R44" s="2" t="str">
        <f>VLOOKUP(tdata[[#This Row],[id_employee]],temployee[#All],4,0)</f>
        <v>crowd source</v>
      </c>
      <c r="S44" s="9" t="str">
        <f>VLOOKUP(tdata[[#This Row],[id_employee]],temployee[#All],5,0)</f>
        <v>rider</v>
      </c>
    </row>
    <row r="45" spans="2:19" x14ac:dyDescent="0.35">
      <c r="B45" s="8" t="s">
        <v>64</v>
      </c>
      <c r="C45" s="2" t="s">
        <v>1314</v>
      </c>
      <c r="D45" s="5">
        <v>45292</v>
      </c>
      <c r="E45" s="5">
        <v>45298</v>
      </c>
      <c r="F45" s="2" t="s">
        <v>15</v>
      </c>
      <c r="G45" s="2" t="s">
        <v>30</v>
      </c>
      <c r="H45" s="2" t="s">
        <v>23</v>
      </c>
      <c r="I45" s="2" t="s">
        <v>13</v>
      </c>
      <c r="J45" s="2">
        <v>8.5500000000000007</v>
      </c>
      <c r="K45" s="2" t="str">
        <f t="shared" si="0"/>
        <v>&gt;5kg</v>
      </c>
      <c r="L45" s="2">
        <f>tdata[[#This Row],[Received_date]]-tdata[[#This Row],[Shipment_Date]]</f>
        <v>6</v>
      </c>
      <c r="M45" s="2">
        <f>VLOOKUP(tdata[[#This Row],[Service_Type]],Table2[#All],2,0)</f>
        <v>5</v>
      </c>
      <c r="N45" s="2" t="str">
        <f>IF(tdata[[#This Row],[Delivery_Days]]&lt;=tdata[[#This Row],[SLA_Days]],"On Time","Late")</f>
        <v>Late</v>
      </c>
      <c r="O45" s="2">
        <f>VLOOKUP(tdata[[#This Row],[Service_Type]],Table2[#All],4,0)</f>
        <v>9000</v>
      </c>
      <c r="P45" s="2">
        <f>tdata[[#This Row],[price_per_kilo]]*tdata[[#This Row],[Weight_KG]]</f>
        <v>76950</v>
      </c>
      <c r="Q45" s="2" t="str">
        <f>VLOOKUP(tdata[[#This Row],[id_employee]],temployee[#All],2,0)</f>
        <v>Rangga Saptonugroho</v>
      </c>
      <c r="R45" s="2" t="str">
        <f>VLOOKUP(tdata[[#This Row],[id_employee]],temployee[#All],4,0)</f>
        <v>crowd source</v>
      </c>
      <c r="S45" s="9" t="str">
        <f>VLOOKUP(tdata[[#This Row],[id_employee]],temployee[#All],5,0)</f>
        <v>driver</v>
      </c>
    </row>
    <row r="46" spans="2:19" x14ac:dyDescent="0.35">
      <c r="B46" s="8" t="s">
        <v>65</v>
      </c>
      <c r="C46" s="2" t="s">
        <v>1315</v>
      </c>
      <c r="D46" s="5">
        <v>45385</v>
      </c>
      <c r="E46" s="5">
        <f>D46+4</f>
        <v>45389</v>
      </c>
      <c r="F46" s="2" t="s">
        <v>20</v>
      </c>
      <c r="G46" s="2" t="s">
        <v>15</v>
      </c>
      <c r="H46" s="2" t="s">
        <v>1224</v>
      </c>
      <c r="I46" s="2" t="s">
        <v>17</v>
      </c>
      <c r="J46" s="2">
        <v>6.12</v>
      </c>
      <c r="K46" s="2" t="str">
        <f t="shared" si="0"/>
        <v>&gt;5kg</v>
      </c>
      <c r="L46" s="2">
        <f>tdata[[#This Row],[Received_date]]-tdata[[#This Row],[Shipment_Date]]</f>
        <v>4</v>
      </c>
      <c r="M46" s="2">
        <f>VLOOKUP(tdata[[#This Row],[Service_Type]],Table2[#All],2,0)</f>
        <v>3</v>
      </c>
      <c r="N46" s="2" t="str">
        <f>IF(tdata[[#This Row],[Delivery_Days]]&lt;=tdata[[#This Row],[SLA_Days]],"On Time","Late")</f>
        <v>Late</v>
      </c>
      <c r="O46" s="2">
        <f>VLOOKUP(tdata[[#This Row],[Service_Type]],Table2[#All],4,0)</f>
        <v>10000</v>
      </c>
      <c r="P46" s="2">
        <f>tdata[[#This Row],[price_per_kilo]]*tdata[[#This Row],[Weight_KG]]</f>
        <v>61200</v>
      </c>
      <c r="Q46" s="2" t="str">
        <f>VLOOKUP(tdata[[#This Row],[id_employee]],temployee[#All],2,0)</f>
        <v>Sinta Dewi</v>
      </c>
      <c r="R46" s="2" t="str">
        <f>VLOOKUP(tdata[[#This Row],[id_employee]],temployee[#All],4,0)</f>
        <v>internal</v>
      </c>
      <c r="S46" s="9" t="str">
        <f>VLOOKUP(tdata[[#This Row],[id_employee]],temployee[#All],5,0)</f>
        <v>rider</v>
      </c>
    </row>
    <row r="47" spans="2:19" x14ac:dyDescent="0.35">
      <c r="B47" s="8" t="s">
        <v>66</v>
      </c>
      <c r="C47" s="2" t="s">
        <v>1316</v>
      </c>
      <c r="D47" s="5">
        <v>45259</v>
      </c>
      <c r="E47" s="5">
        <v>45268</v>
      </c>
      <c r="F47" s="2" t="s">
        <v>22</v>
      </c>
      <c r="G47" s="2" t="s">
        <v>22</v>
      </c>
      <c r="H47" s="2" t="s">
        <v>23</v>
      </c>
      <c r="I47" s="2" t="s">
        <v>13</v>
      </c>
      <c r="J47" s="2">
        <v>2.74</v>
      </c>
      <c r="K47" s="2" t="str">
        <f t="shared" si="0"/>
        <v>&lt; 5kg</v>
      </c>
      <c r="L47" s="2">
        <f>tdata[[#This Row],[Received_date]]-tdata[[#This Row],[Shipment_Date]]</f>
        <v>9</v>
      </c>
      <c r="M47" s="2">
        <f>VLOOKUP(tdata[[#This Row],[Service_Type]],Table2[#All],2,0)</f>
        <v>5</v>
      </c>
      <c r="N47" s="2" t="str">
        <f>IF(tdata[[#This Row],[Delivery_Days]]&lt;=tdata[[#This Row],[SLA_Days]],"On Time","Late")</f>
        <v>Late</v>
      </c>
      <c r="O47" s="2">
        <f>VLOOKUP(tdata[[#This Row],[Service_Type]],Table2[#All],4,0)</f>
        <v>9000</v>
      </c>
      <c r="P47" s="2">
        <f>tdata[[#This Row],[price_per_kilo]]*tdata[[#This Row],[Weight_KG]]</f>
        <v>24660.000000000004</v>
      </c>
      <c r="Q47" s="2" t="str">
        <f>VLOOKUP(tdata[[#This Row],[id_employee]],temployee[#All],2,0)</f>
        <v>Taufik Hidayat</v>
      </c>
      <c r="R47" s="2" t="str">
        <f>VLOOKUP(tdata[[#This Row],[id_employee]],temployee[#All],4,0)</f>
        <v>internal</v>
      </c>
      <c r="S47" s="9" t="str">
        <f>VLOOKUP(tdata[[#This Row],[id_employee]],temployee[#All],5,0)</f>
        <v>driver</v>
      </c>
    </row>
    <row r="48" spans="2:19" x14ac:dyDescent="0.35">
      <c r="B48" s="8" t="s">
        <v>67</v>
      </c>
      <c r="C48" s="2" t="s">
        <v>1317</v>
      </c>
      <c r="D48" s="5">
        <v>45452</v>
      </c>
      <c r="E48" s="5">
        <v>45462</v>
      </c>
      <c r="F48" s="2" t="s">
        <v>12</v>
      </c>
      <c r="G48" s="2" t="s">
        <v>49</v>
      </c>
      <c r="H48" s="2" t="s">
        <v>23</v>
      </c>
      <c r="I48" s="2" t="s">
        <v>17</v>
      </c>
      <c r="J48" s="2">
        <v>2.46</v>
      </c>
      <c r="K48" s="2" t="str">
        <f t="shared" si="0"/>
        <v>&lt; 5kg</v>
      </c>
      <c r="L48" s="2">
        <f>tdata[[#This Row],[Received_date]]-tdata[[#This Row],[Shipment_Date]]</f>
        <v>10</v>
      </c>
      <c r="M48" s="2">
        <f>VLOOKUP(tdata[[#This Row],[Service_Type]],Table2[#All],2,0)</f>
        <v>5</v>
      </c>
      <c r="N48" s="2" t="str">
        <f>IF(tdata[[#This Row],[Delivery_Days]]&lt;=tdata[[#This Row],[SLA_Days]],"On Time","Late")</f>
        <v>Late</v>
      </c>
      <c r="O48" s="2">
        <f>VLOOKUP(tdata[[#This Row],[Service_Type]],Table2[#All],4,0)</f>
        <v>9000</v>
      </c>
      <c r="P48" s="2">
        <f>tdata[[#This Row],[price_per_kilo]]*tdata[[#This Row],[Weight_KG]]</f>
        <v>22140</v>
      </c>
      <c r="Q48" s="2" t="str">
        <f>VLOOKUP(tdata[[#This Row],[id_employee]],temployee[#All],2,0)</f>
        <v>Usman Ali</v>
      </c>
      <c r="R48" s="2" t="str">
        <f>VLOOKUP(tdata[[#This Row],[id_employee]],temployee[#All],4,0)</f>
        <v>crowd source</v>
      </c>
      <c r="S48" s="9" t="str">
        <f>VLOOKUP(tdata[[#This Row],[id_employee]],temployee[#All],5,0)</f>
        <v>rider</v>
      </c>
    </row>
    <row r="49" spans="2:19" x14ac:dyDescent="0.35">
      <c r="B49" s="8" t="s">
        <v>68</v>
      </c>
      <c r="C49" s="2" t="s">
        <v>1318</v>
      </c>
      <c r="D49" s="5">
        <v>45232</v>
      </c>
      <c r="E49" s="5">
        <f>D49+4</f>
        <v>45236</v>
      </c>
      <c r="F49" s="2" t="s">
        <v>30</v>
      </c>
      <c r="G49" s="2" t="s">
        <v>16</v>
      </c>
      <c r="H49" s="2" t="s">
        <v>1224</v>
      </c>
      <c r="I49" s="2" t="s">
        <v>17</v>
      </c>
      <c r="J49" s="2">
        <v>8.2100000000000009</v>
      </c>
      <c r="K49" s="2" t="str">
        <f t="shared" si="0"/>
        <v>&gt;5kg</v>
      </c>
      <c r="L49" s="2">
        <f>tdata[[#This Row],[Received_date]]-tdata[[#This Row],[Shipment_Date]]</f>
        <v>4</v>
      </c>
      <c r="M49" s="2">
        <f>VLOOKUP(tdata[[#This Row],[Service_Type]],Table2[#All],2,0)</f>
        <v>3</v>
      </c>
      <c r="N49" s="2" t="str">
        <f>IF(tdata[[#This Row],[Delivery_Days]]&lt;=tdata[[#This Row],[SLA_Days]],"On Time","Late")</f>
        <v>Late</v>
      </c>
      <c r="O49" s="2">
        <f>VLOOKUP(tdata[[#This Row],[Service_Type]],Table2[#All],4,0)</f>
        <v>10000</v>
      </c>
      <c r="P49" s="2">
        <f>tdata[[#This Row],[price_per_kilo]]*tdata[[#This Row],[Weight_KG]]</f>
        <v>82100.000000000015</v>
      </c>
      <c r="Q49" s="2" t="str">
        <f>VLOOKUP(tdata[[#This Row],[id_employee]],temployee[#All],2,0)</f>
        <v>Vivi Lestari</v>
      </c>
      <c r="R49" s="2" t="str">
        <f>VLOOKUP(tdata[[#This Row],[id_employee]],temployee[#All],4,0)</f>
        <v>internal</v>
      </c>
      <c r="S49" s="9" t="str">
        <f>VLOOKUP(tdata[[#This Row],[id_employee]],temployee[#All],5,0)</f>
        <v>rider</v>
      </c>
    </row>
    <row r="50" spans="2:19" x14ac:dyDescent="0.35">
      <c r="B50" s="8" t="s">
        <v>69</v>
      </c>
      <c r="C50" s="2" t="s">
        <v>1319</v>
      </c>
      <c r="D50" s="5">
        <v>44966</v>
      </c>
      <c r="E50" s="5">
        <v>44969</v>
      </c>
      <c r="F50" s="2" t="s">
        <v>32</v>
      </c>
      <c r="G50" s="2" t="s">
        <v>16</v>
      </c>
      <c r="H50" s="2" t="s">
        <v>1224</v>
      </c>
      <c r="I50" s="2" t="s">
        <v>13</v>
      </c>
      <c r="J50" s="2">
        <v>8.42</v>
      </c>
      <c r="K50" s="2" t="str">
        <f t="shared" si="0"/>
        <v>&gt;5kg</v>
      </c>
      <c r="L50" s="2">
        <f>tdata[[#This Row],[Received_date]]-tdata[[#This Row],[Shipment_Date]]</f>
        <v>3</v>
      </c>
      <c r="M50" s="2">
        <f>VLOOKUP(tdata[[#This Row],[Service_Type]],Table2[#All],2,0)</f>
        <v>3</v>
      </c>
      <c r="N50" s="2" t="str">
        <f>IF(tdata[[#This Row],[Delivery_Days]]&lt;=tdata[[#This Row],[SLA_Days]],"On Time","Late")</f>
        <v>On Time</v>
      </c>
      <c r="O50" s="2">
        <f>VLOOKUP(tdata[[#This Row],[Service_Type]],Table2[#All],4,0)</f>
        <v>10000</v>
      </c>
      <c r="P50" s="2">
        <f>tdata[[#This Row],[price_per_kilo]]*tdata[[#This Row],[Weight_KG]]</f>
        <v>84200</v>
      </c>
      <c r="Q50" s="2" t="str">
        <f>VLOOKUP(tdata[[#This Row],[id_employee]],temployee[#All],2,0)</f>
        <v>Wawan Setiabudi</v>
      </c>
      <c r="R50" s="2" t="str">
        <f>VLOOKUP(tdata[[#This Row],[id_employee]],temployee[#All],4,0)</f>
        <v>internal</v>
      </c>
      <c r="S50" s="9" t="str">
        <f>VLOOKUP(tdata[[#This Row],[id_employee]],temployee[#All],5,0)</f>
        <v>driver</v>
      </c>
    </row>
    <row r="51" spans="2:19" x14ac:dyDescent="0.35">
      <c r="B51" s="8" t="s">
        <v>70</v>
      </c>
      <c r="C51" s="2" t="s">
        <v>1320</v>
      </c>
      <c r="D51" s="5">
        <v>45236</v>
      </c>
      <c r="E51" s="5">
        <f>D51+4</f>
        <v>45240</v>
      </c>
      <c r="F51" s="2" t="s">
        <v>16</v>
      </c>
      <c r="G51" s="2" t="s">
        <v>15</v>
      </c>
      <c r="H51" s="2" t="s">
        <v>23</v>
      </c>
      <c r="I51" s="2" t="s">
        <v>17</v>
      </c>
      <c r="J51" s="2">
        <v>7.14</v>
      </c>
      <c r="K51" s="2" t="str">
        <f t="shared" si="0"/>
        <v>&gt;5kg</v>
      </c>
      <c r="L51" s="2">
        <f>tdata[[#This Row],[Received_date]]-tdata[[#This Row],[Shipment_Date]]</f>
        <v>4</v>
      </c>
      <c r="M51" s="2">
        <f>VLOOKUP(tdata[[#This Row],[Service_Type]],Table2[#All],2,0)</f>
        <v>5</v>
      </c>
      <c r="N51" s="2" t="str">
        <f>IF(tdata[[#This Row],[Delivery_Days]]&lt;=tdata[[#This Row],[SLA_Days]],"On Time","Late")</f>
        <v>On Time</v>
      </c>
      <c r="O51" s="2">
        <f>VLOOKUP(tdata[[#This Row],[Service_Type]],Table2[#All],4,0)</f>
        <v>9000</v>
      </c>
      <c r="P51" s="2">
        <f>tdata[[#This Row],[price_per_kilo]]*tdata[[#This Row],[Weight_KG]]</f>
        <v>64260</v>
      </c>
      <c r="Q51" s="2" t="str">
        <f>VLOOKUP(tdata[[#This Row],[id_employee]],temployee[#All],2,0)</f>
        <v>Xenia Maharani</v>
      </c>
      <c r="R51" s="2" t="str">
        <f>VLOOKUP(tdata[[#This Row],[id_employee]],temployee[#All],4,0)</f>
        <v>crowd source</v>
      </c>
      <c r="S51" s="9" t="str">
        <f>VLOOKUP(tdata[[#This Row],[id_employee]],temployee[#All],5,0)</f>
        <v>rider</v>
      </c>
    </row>
    <row r="52" spans="2:19" x14ac:dyDescent="0.35">
      <c r="B52" s="8" t="s">
        <v>71</v>
      </c>
      <c r="C52" s="2" t="s">
        <v>1321</v>
      </c>
      <c r="D52" s="5">
        <v>45169</v>
      </c>
      <c r="E52" s="5">
        <v>45171</v>
      </c>
      <c r="F52" s="2" t="s">
        <v>26</v>
      </c>
      <c r="G52" s="2" t="s">
        <v>22</v>
      </c>
      <c r="H52" s="2" t="s">
        <v>1224</v>
      </c>
      <c r="I52" s="2" t="s">
        <v>13</v>
      </c>
      <c r="J52" s="2">
        <v>0.87</v>
      </c>
      <c r="K52" s="2" t="str">
        <f t="shared" si="0"/>
        <v>&lt; 5kg</v>
      </c>
      <c r="L52" s="2">
        <f>tdata[[#This Row],[Received_date]]-tdata[[#This Row],[Shipment_Date]]</f>
        <v>2</v>
      </c>
      <c r="M52" s="2">
        <f>VLOOKUP(tdata[[#This Row],[Service_Type]],Table2[#All],2,0)</f>
        <v>3</v>
      </c>
      <c r="N52" s="2" t="str">
        <f>IF(tdata[[#This Row],[Delivery_Days]]&lt;=tdata[[#This Row],[SLA_Days]],"On Time","Late")</f>
        <v>On Time</v>
      </c>
      <c r="O52" s="2">
        <f>VLOOKUP(tdata[[#This Row],[Service_Type]],Table2[#All],4,0)</f>
        <v>10000</v>
      </c>
      <c r="P52" s="2">
        <f>tdata[[#This Row],[price_per_kilo]]*tdata[[#This Row],[Weight_KG]]</f>
        <v>8700</v>
      </c>
      <c r="Q52" s="2" t="str">
        <f>VLOOKUP(tdata[[#This Row],[id_employee]],temployee[#All],2,0)</f>
        <v>Yoga Pradana</v>
      </c>
      <c r="R52" s="2" t="str">
        <f>VLOOKUP(tdata[[#This Row],[id_employee]],temployee[#All],4,0)</f>
        <v>internal</v>
      </c>
      <c r="S52" s="9" t="str">
        <f>VLOOKUP(tdata[[#This Row],[id_employee]],temployee[#All],5,0)</f>
        <v>rider</v>
      </c>
    </row>
    <row r="53" spans="2:19" x14ac:dyDescent="0.35">
      <c r="B53" s="8" t="s">
        <v>72</v>
      </c>
      <c r="C53" s="2" t="s">
        <v>1322</v>
      </c>
      <c r="D53" s="5">
        <v>45450</v>
      </c>
      <c r="E53" s="5">
        <v>45450</v>
      </c>
      <c r="F53" s="2" t="s">
        <v>49</v>
      </c>
      <c r="G53" s="2" t="s">
        <v>16</v>
      </c>
      <c r="H53" s="2" t="s">
        <v>1224</v>
      </c>
      <c r="I53" s="2" t="s">
        <v>13</v>
      </c>
      <c r="J53" s="2">
        <v>3.6</v>
      </c>
      <c r="K53" s="2" t="str">
        <f t="shared" si="0"/>
        <v>&lt; 5kg</v>
      </c>
      <c r="L53" s="2">
        <f>tdata[[#This Row],[Received_date]]-tdata[[#This Row],[Shipment_Date]]</f>
        <v>0</v>
      </c>
      <c r="M53" s="2">
        <f>VLOOKUP(tdata[[#This Row],[Service_Type]],Table2[#All],2,0)</f>
        <v>3</v>
      </c>
      <c r="N53" s="2" t="str">
        <f>IF(tdata[[#This Row],[Delivery_Days]]&lt;=tdata[[#This Row],[SLA_Days]],"On Time","Late")</f>
        <v>On Time</v>
      </c>
      <c r="O53" s="2">
        <f>VLOOKUP(tdata[[#This Row],[Service_Type]],Table2[#All],4,0)</f>
        <v>10000</v>
      </c>
      <c r="P53" s="2">
        <f>tdata[[#This Row],[price_per_kilo]]*tdata[[#This Row],[Weight_KG]]</f>
        <v>36000</v>
      </c>
      <c r="Q53" s="2" t="str">
        <f>VLOOKUP(tdata[[#This Row],[id_employee]],temployee[#All],2,0)</f>
        <v>Zulfikar Ramadhan</v>
      </c>
      <c r="R53" s="2" t="str">
        <f>VLOOKUP(tdata[[#This Row],[id_employee]],temployee[#All],4,0)</f>
        <v>crowd source</v>
      </c>
      <c r="S53" s="9" t="str">
        <f>VLOOKUP(tdata[[#This Row],[id_employee]],temployee[#All],5,0)</f>
        <v>driver</v>
      </c>
    </row>
    <row r="54" spans="2:19" x14ac:dyDescent="0.35">
      <c r="B54" s="8" t="s">
        <v>73</v>
      </c>
      <c r="C54" s="2" t="s">
        <v>1323</v>
      </c>
      <c r="D54" s="5">
        <v>45614</v>
      </c>
      <c r="E54" s="5">
        <v>45615</v>
      </c>
      <c r="F54" s="2" t="s">
        <v>11</v>
      </c>
      <c r="G54" s="2" t="s">
        <v>12</v>
      </c>
      <c r="H54" s="2" t="s">
        <v>1223</v>
      </c>
      <c r="I54" s="2" t="s">
        <v>17</v>
      </c>
      <c r="J54" s="2">
        <v>2.4300000000000002</v>
      </c>
      <c r="K54" s="2" t="str">
        <f t="shared" si="0"/>
        <v>&lt; 5kg</v>
      </c>
      <c r="L54" s="2">
        <f>tdata[[#This Row],[Received_date]]-tdata[[#This Row],[Shipment_Date]]</f>
        <v>1</v>
      </c>
      <c r="M54" s="2">
        <f>VLOOKUP(tdata[[#This Row],[Service_Type]],Table2[#All],2,0)</f>
        <v>1</v>
      </c>
      <c r="N54" s="2" t="str">
        <f>IF(tdata[[#This Row],[Delivery_Days]]&lt;=tdata[[#This Row],[SLA_Days]],"On Time","Late")</f>
        <v>On Time</v>
      </c>
      <c r="O54" s="2">
        <f>VLOOKUP(tdata[[#This Row],[Service_Type]],Table2[#All],4,0)</f>
        <v>12000</v>
      </c>
      <c r="P54" s="2">
        <f>tdata[[#This Row],[price_per_kilo]]*tdata[[#This Row],[Weight_KG]]</f>
        <v>29160.000000000004</v>
      </c>
      <c r="Q54" s="2" t="str">
        <f>VLOOKUP(tdata[[#This Row],[id_employee]],temployee[#All],2,0)</f>
        <v>Aditya Saputra</v>
      </c>
      <c r="R54" s="2" t="str">
        <f>VLOOKUP(tdata[[#This Row],[id_employee]],temployee[#All],4,0)</f>
        <v>internal</v>
      </c>
      <c r="S54" s="9" t="str">
        <f>VLOOKUP(tdata[[#This Row],[id_employee]],temployee[#All],5,0)</f>
        <v>rider</v>
      </c>
    </row>
    <row r="55" spans="2:19" x14ac:dyDescent="0.35">
      <c r="B55" s="8" t="s">
        <v>74</v>
      </c>
      <c r="C55" s="2" t="s">
        <v>1324</v>
      </c>
      <c r="D55" s="5">
        <v>45089</v>
      </c>
      <c r="E55" s="5">
        <f>D55+4</f>
        <v>45093</v>
      </c>
      <c r="F55" s="2" t="s">
        <v>15</v>
      </c>
      <c r="G55" s="2" t="s">
        <v>32</v>
      </c>
      <c r="H55" s="2" t="s">
        <v>1224</v>
      </c>
      <c r="I55" s="2" t="s">
        <v>13</v>
      </c>
      <c r="J55" s="2">
        <v>6.24</v>
      </c>
      <c r="K55" s="2" t="str">
        <f t="shared" si="0"/>
        <v>&gt;5kg</v>
      </c>
      <c r="L55" s="2">
        <f>tdata[[#This Row],[Received_date]]-tdata[[#This Row],[Shipment_Date]]</f>
        <v>4</v>
      </c>
      <c r="M55" s="2">
        <f>VLOOKUP(tdata[[#This Row],[Service_Type]],Table2[#All],2,0)</f>
        <v>3</v>
      </c>
      <c r="N55" s="2" t="str">
        <f>IF(tdata[[#This Row],[Delivery_Days]]&lt;=tdata[[#This Row],[SLA_Days]],"On Time","Late")</f>
        <v>Late</v>
      </c>
      <c r="O55" s="2">
        <f>VLOOKUP(tdata[[#This Row],[Service_Type]],Table2[#All],4,0)</f>
        <v>10000</v>
      </c>
      <c r="P55" s="2">
        <f>tdata[[#This Row],[price_per_kilo]]*tdata[[#This Row],[Weight_KG]]</f>
        <v>62400</v>
      </c>
      <c r="Q55" s="2" t="str">
        <f>VLOOKUP(tdata[[#This Row],[id_employee]],temployee[#All],2,0)</f>
        <v>Bella Oktaviani</v>
      </c>
      <c r="R55" s="2" t="str">
        <f>VLOOKUP(tdata[[#This Row],[id_employee]],temployee[#All],4,0)</f>
        <v>internal</v>
      </c>
      <c r="S55" s="9" t="str">
        <f>VLOOKUP(tdata[[#This Row],[id_employee]],temployee[#All],5,0)</f>
        <v>rider</v>
      </c>
    </row>
    <row r="56" spans="2:19" x14ac:dyDescent="0.35">
      <c r="B56" s="8" t="s">
        <v>75</v>
      </c>
      <c r="C56" s="2" t="s">
        <v>1325</v>
      </c>
      <c r="D56" s="5">
        <v>45523</v>
      </c>
      <c r="E56" s="5">
        <v>45524</v>
      </c>
      <c r="F56" s="2" t="s">
        <v>20</v>
      </c>
      <c r="G56" s="2" t="s">
        <v>26</v>
      </c>
      <c r="H56" s="2" t="s">
        <v>1224</v>
      </c>
      <c r="I56" s="2" t="s">
        <v>17</v>
      </c>
      <c r="J56" s="2">
        <v>6.22</v>
      </c>
      <c r="K56" s="2" t="str">
        <f t="shared" si="0"/>
        <v>&gt;5kg</v>
      </c>
      <c r="L56" s="2">
        <f>tdata[[#This Row],[Received_date]]-tdata[[#This Row],[Shipment_Date]]</f>
        <v>1</v>
      </c>
      <c r="M56" s="2">
        <f>VLOOKUP(tdata[[#This Row],[Service_Type]],Table2[#All],2,0)</f>
        <v>3</v>
      </c>
      <c r="N56" s="2" t="str">
        <f>IF(tdata[[#This Row],[Delivery_Days]]&lt;=tdata[[#This Row],[SLA_Days]],"On Time","Late")</f>
        <v>On Time</v>
      </c>
      <c r="O56" s="2">
        <f>VLOOKUP(tdata[[#This Row],[Service_Type]],Table2[#All],4,0)</f>
        <v>10000</v>
      </c>
      <c r="P56" s="2">
        <f>tdata[[#This Row],[price_per_kilo]]*tdata[[#This Row],[Weight_KG]]</f>
        <v>62200</v>
      </c>
      <c r="Q56" s="2" t="str">
        <f>VLOOKUP(tdata[[#This Row],[id_employee]],temployee[#All],2,0)</f>
        <v>Chandra Wijaya</v>
      </c>
      <c r="R56" s="2" t="str">
        <f>VLOOKUP(tdata[[#This Row],[id_employee]],temployee[#All],4,0)</f>
        <v>crowd source</v>
      </c>
      <c r="S56" s="9" t="str">
        <f>VLOOKUP(tdata[[#This Row],[id_employee]],temployee[#All],5,0)</f>
        <v>driver</v>
      </c>
    </row>
    <row r="57" spans="2:19" x14ac:dyDescent="0.35">
      <c r="B57" s="8" t="s">
        <v>76</v>
      </c>
      <c r="C57" s="2" t="s">
        <v>1326</v>
      </c>
      <c r="D57" s="5">
        <v>45419</v>
      </c>
      <c r="E57" s="5">
        <f>D57+4</f>
        <v>45423</v>
      </c>
      <c r="F57" s="2" t="s">
        <v>22</v>
      </c>
      <c r="G57" s="2" t="s">
        <v>15</v>
      </c>
      <c r="H57" s="2" t="s">
        <v>1224</v>
      </c>
      <c r="I57" s="2" t="s">
        <v>13</v>
      </c>
      <c r="J57" s="2">
        <v>10.220000000000001</v>
      </c>
      <c r="K57" s="2" t="str">
        <f t="shared" si="0"/>
        <v>&gt;5kg</v>
      </c>
      <c r="L57" s="2">
        <f>tdata[[#This Row],[Received_date]]-tdata[[#This Row],[Shipment_Date]]</f>
        <v>4</v>
      </c>
      <c r="M57" s="2">
        <f>VLOOKUP(tdata[[#This Row],[Service_Type]],Table2[#All],2,0)</f>
        <v>3</v>
      </c>
      <c r="N57" s="2" t="str">
        <f>IF(tdata[[#This Row],[Delivery_Days]]&lt;=tdata[[#This Row],[SLA_Days]],"On Time","Late")</f>
        <v>Late</v>
      </c>
      <c r="O57" s="2">
        <f>VLOOKUP(tdata[[#This Row],[Service_Type]],Table2[#All],4,0)</f>
        <v>10000</v>
      </c>
      <c r="P57" s="2">
        <f>tdata[[#This Row],[price_per_kilo]]*tdata[[#This Row],[Weight_KG]]</f>
        <v>102200</v>
      </c>
      <c r="Q57" s="2" t="str">
        <f>VLOOKUP(tdata[[#This Row],[id_employee]],temployee[#All],2,0)</f>
        <v>Dewi Sartika</v>
      </c>
      <c r="R57" s="2" t="str">
        <f>VLOOKUP(tdata[[#This Row],[id_employee]],temployee[#All],4,0)</f>
        <v>internal</v>
      </c>
      <c r="S57" s="9" t="str">
        <f>VLOOKUP(tdata[[#This Row],[id_employee]],temployee[#All],5,0)</f>
        <v>rider</v>
      </c>
    </row>
    <row r="58" spans="2:19" x14ac:dyDescent="0.35">
      <c r="B58" s="8" t="s">
        <v>77</v>
      </c>
      <c r="C58" s="2" t="s">
        <v>1327</v>
      </c>
      <c r="D58" s="5">
        <v>45249</v>
      </c>
      <c r="E58" s="5">
        <v>45259</v>
      </c>
      <c r="F58" s="2" t="s">
        <v>12</v>
      </c>
      <c r="G58" s="2" t="s">
        <v>49</v>
      </c>
      <c r="H58" s="2" t="s">
        <v>23</v>
      </c>
      <c r="I58" s="2" t="s">
        <v>17</v>
      </c>
      <c r="J58" s="2">
        <v>8.8000000000000007</v>
      </c>
      <c r="K58" s="2" t="str">
        <f t="shared" si="0"/>
        <v>&gt;5kg</v>
      </c>
      <c r="L58" s="2">
        <f>tdata[[#This Row],[Received_date]]-tdata[[#This Row],[Shipment_Date]]</f>
        <v>10</v>
      </c>
      <c r="M58" s="2">
        <f>VLOOKUP(tdata[[#This Row],[Service_Type]],Table2[#All],2,0)</f>
        <v>5</v>
      </c>
      <c r="N58" s="2" t="str">
        <f>IF(tdata[[#This Row],[Delivery_Days]]&lt;=tdata[[#This Row],[SLA_Days]],"On Time","Late")</f>
        <v>Late</v>
      </c>
      <c r="O58" s="2">
        <f>VLOOKUP(tdata[[#This Row],[Service_Type]],Table2[#All],4,0)</f>
        <v>9000</v>
      </c>
      <c r="P58" s="2">
        <f>tdata[[#This Row],[price_per_kilo]]*tdata[[#This Row],[Weight_KG]]</f>
        <v>79200</v>
      </c>
      <c r="Q58" s="2" t="str">
        <f>VLOOKUP(tdata[[#This Row],[id_employee]],temployee[#All],2,0)</f>
        <v>Edi Kurniawan</v>
      </c>
      <c r="R58" s="2" t="str">
        <f>VLOOKUP(tdata[[#This Row],[id_employee]],temployee[#All],4,0)</f>
        <v>internal</v>
      </c>
      <c r="S58" s="9" t="str">
        <f>VLOOKUP(tdata[[#This Row],[id_employee]],temployee[#All],5,0)</f>
        <v>driver</v>
      </c>
    </row>
    <row r="59" spans="2:19" x14ac:dyDescent="0.35">
      <c r="B59" s="8" t="s">
        <v>78</v>
      </c>
      <c r="C59" s="2" t="s">
        <v>1328</v>
      </c>
      <c r="D59" s="5">
        <v>45594</v>
      </c>
      <c r="E59" s="5">
        <v>45600</v>
      </c>
      <c r="F59" s="2" t="s">
        <v>30</v>
      </c>
      <c r="G59" s="2" t="s">
        <v>30</v>
      </c>
      <c r="H59" s="2" t="s">
        <v>23</v>
      </c>
      <c r="I59" s="2" t="s">
        <v>13</v>
      </c>
      <c r="J59" s="2">
        <v>9.1300000000000008</v>
      </c>
      <c r="K59" s="2" t="str">
        <f t="shared" si="0"/>
        <v>&gt;5kg</v>
      </c>
      <c r="L59" s="2">
        <f>tdata[[#This Row],[Received_date]]-tdata[[#This Row],[Shipment_Date]]</f>
        <v>6</v>
      </c>
      <c r="M59" s="2">
        <f>VLOOKUP(tdata[[#This Row],[Service_Type]],Table2[#All],2,0)</f>
        <v>5</v>
      </c>
      <c r="N59" s="2" t="str">
        <f>IF(tdata[[#This Row],[Delivery_Days]]&lt;=tdata[[#This Row],[SLA_Days]],"On Time","Late")</f>
        <v>Late</v>
      </c>
      <c r="O59" s="2">
        <f>VLOOKUP(tdata[[#This Row],[Service_Type]],Table2[#All],4,0)</f>
        <v>9000</v>
      </c>
      <c r="P59" s="2">
        <f>tdata[[#This Row],[price_per_kilo]]*tdata[[#This Row],[Weight_KG]]</f>
        <v>82170</v>
      </c>
      <c r="Q59" s="2" t="str">
        <f>VLOOKUP(tdata[[#This Row],[id_employee]],temployee[#All],2,0)</f>
        <v>Farah Nabila</v>
      </c>
      <c r="R59" s="2" t="str">
        <f>VLOOKUP(tdata[[#This Row],[id_employee]],temployee[#All],4,0)</f>
        <v>crowd source</v>
      </c>
      <c r="S59" s="9" t="str">
        <f>VLOOKUP(tdata[[#This Row],[id_employee]],temployee[#All],5,0)</f>
        <v>rider</v>
      </c>
    </row>
    <row r="60" spans="2:19" x14ac:dyDescent="0.35">
      <c r="B60" s="8" t="s">
        <v>79</v>
      </c>
      <c r="C60" s="2" t="s">
        <v>1329</v>
      </c>
      <c r="D60" s="5">
        <v>45107</v>
      </c>
      <c r="E60" s="5">
        <f>D60+4</f>
        <v>45111</v>
      </c>
      <c r="F60" s="2" t="s">
        <v>32</v>
      </c>
      <c r="G60" s="2" t="s">
        <v>11</v>
      </c>
      <c r="H60" s="2" t="s">
        <v>1224</v>
      </c>
      <c r="I60" s="2" t="s">
        <v>13</v>
      </c>
      <c r="J60" s="2">
        <v>6.72</v>
      </c>
      <c r="K60" s="2" t="str">
        <f t="shared" si="0"/>
        <v>&gt;5kg</v>
      </c>
      <c r="L60" s="2">
        <f>tdata[[#This Row],[Received_date]]-tdata[[#This Row],[Shipment_Date]]</f>
        <v>4</v>
      </c>
      <c r="M60" s="2">
        <f>VLOOKUP(tdata[[#This Row],[Service_Type]],Table2[#All],2,0)</f>
        <v>3</v>
      </c>
      <c r="N60" s="2" t="str">
        <f>IF(tdata[[#This Row],[Delivery_Days]]&lt;=tdata[[#This Row],[SLA_Days]],"On Time","Late")</f>
        <v>Late</v>
      </c>
      <c r="O60" s="2">
        <f>VLOOKUP(tdata[[#This Row],[Service_Type]],Table2[#All],4,0)</f>
        <v>10000</v>
      </c>
      <c r="P60" s="2">
        <f>tdata[[#This Row],[price_per_kilo]]*tdata[[#This Row],[Weight_KG]]</f>
        <v>67200</v>
      </c>
      <c r="Q60" s="2" t="str">
        <f>VLOOKUP(tdata[[#This Row],[id_employee]],temployee[#All],2,0)</f>
        <v>Galih Pratomo</v>
      </c>
      <c r="R60" s="2" t="str">
        <f>VLOOKUP(tdata[[#This Row],[id_employee]],temployee[#All],4,0)</f>
        <v>internal</v>
      </c>
      <c r="S60" s="9" t="str">
        <f>VLOOKUP(tdata[[#This Row],[id_employee]],temployee[#All],5,0)</f>
        <v>rider</v>
      </c>
    </row>
    <row r="61" spans="2:19" x14ac:dyDescent="0.35">
      <c r="B61" s="8" t="s">
        <v>80</v>
      </c>
      <c r="C61" s="2" t="s">
        <v>1330</v>
      </c>
      <c r="D61" s="5">
        <v>45049</v>
      </c>
      <c r="E61" s="5">
        <v>45050</v>
      </c>
      <c r="F61" s="2" t="s">
        <v>16</v>
      </c>
      <c r="G61" s="2" t="s">
        <v>16</v>
      </c>
      <c r="H61" s="2" t="s">
        <v>1223</v>
      </c>
      <c r="I61" s="2" t="s">
        <v>13</v>
      </c>
      <c r="J61" s="2">
        <v>10.25</v>
      </c>
      <c r="K61" s="2" t="str">
        <f t="shared" si="0"/>
        <v>&gt;5kg</v>
      </c>
      <c r="L61" s="2">
        <f>tdata[[#This Row],[Received_date]]-tdata[[#This Row],[Shipment_Date]]</f>
        <v>1</v>
      </c>
      <c r="M61" s="2">
        <f>VLOOKUP(tdata[[#This Row],[Service_Type]],Table2[#All],2,0)</f>
        <v>1</v>
      </c>
      <c r="N61" s="2" t="str">
        <f>IF(tdata[[#This Row],[Delivery_Days]]&lt;=tdata[[#This Row],[SLA_Days]],"On Time","Late")</f>
        <v>On Time</v>
      </c>
      <c r="O61" s="2">
        <f>VLOOKUP(tdata[[#This Row],[Service_Type]],Table2[#All],4,0)</f>
        <v>12000</v>
      </c>
      <c r="P61" s="2">
        <f>tdata[[#This Row],[price_per_kilo]]*tdata[[#This Row],[Weight_KG]]</f>
        <v>123000</v>
      </c>
      <c r="Q61" s="2" t="str">
        <f>VLOOKUP(tdata[[#This Row],[id_employee]],temployee[#All],2,0)</f>
        <v>Hadi Purnomo</v>
      </c>
      <c r="R61" s="2" t="str">
        <f>VLOOKUP(tdata[[#This Row],[id_employee]],temployee[#All],4,0)</f>
        <v>crowd source</v>
      </c>
      <c r="S61" s="9" t="str">
        <f>VLOOKUP(tdata[[#This Row],[id_employee]],temployee[#All],5,0)</f>
        <v>driver</v>
      </c>
    </row>
    <row r="62" spans="2:19" x14ac:dyDescent="0.35">
      <c r="B62" s="8" t="s">
        <v>81</v>
      </c>
      <c r="C62" s="2" t="s">
        <v>1331</v>
      </c>
      <c r="D62" s="5">
        <v>45574</v>
      </c>
      <c r="E62" s="5">
        <f>D62+4</f>
        <v>45578</v>
      </c>
      <c r="F62" s="2" t="s">
        <v>26</v>
      </c>
      <c r="G62" s="2" t="s">
        <v>15</v>
      </c>
      <c r="H62" s="2" t="s">
        <v>1224</v>
      </c>
      <c r="I62" s="2" t="s">
        <v>17</v>
      </c>
      <c r="J62" s="2">
        <v>9.0500000000000007</v>
      </c>
      <c r="K62" s="2" t="str">
        <f t="shared" si="0"/>
        <v>&gt;5kg</v>
      </c>
      <c r="L62" s="2">
        <f>tdata[[#This Row],[Received_date]]-tdata[[#This Row],[Shipment_Date]]</f>
        <v>4</v>
      </c>
      <c r="M62" s="2">
        <f>VLOOKUP(tdata[[#This Row],[Service_Type]],Table2[#All],2,0)</f>
        <v>3</v>
      </c>
      <c r="N62" s="2" t="str">
        <f>IF(tdata[[#This Row],[Delivery_Days]]&lt;=tdata[[#This Row],[SLA_Days]],"On Time","Late")</f>
        <v>Late</v>
      </c>
      <c r="O62" s="2">
        <f>VLOOKUP(tdata[[#This Row],[Service_Type]],Table2[#All],4,0)</f>
        <v>10000</v>
      </c>
      <c r="P62" s="2">
        <f>tdata[[#This Row],[price_per_kilo]]*tdata[[#This Row],[Weight_KG]]</f>
        <v>90500</v>
      </c>
      <c r="Q62" s="2" t="str">
        <f>VLOOKUP(tdata[[#This Row],[id_employee]],temployee[#All],2,0)</f>
        <v>Ika Lestari</v>
      </c>
      <c r="R62" s="2" t="str">
        <f>VLOOKUP(tdata[[#This Row],[id_employee]],temployee[#All],4,0)</f>
        <v>internal</v>
      </c>
      <c r="S62" s="9" t="str">
        <f>VLOOKUP(tdata[[#This Row],[id_employee]],temployee[#All],5,0)</f>
        <v>rider</v>
      </c>
    </row>
    <row r="63" spans="2:19" x14ac:dyDescent="0.35">
      <c r="B63" s="8" t="s">
        <v>82</v>
      </c>
      <c r="C63" s="2" t="s">
        <v>1332</v>
      </c>
      <c r="D63" s="5">
        <v>45049</v>
      </c>
      <c r="E63" s="5">
        <v>45050</v>
      </c>
      <c r="F63" s="2" t="s">
        <v>49</v>
      </c>
      <c r="G63" s="2" t="s">
        <v>15</v>
      </c>
      <c r="H63" s="2" t="s">
        <v>23</v>
      </c>
      <c r="I63" s="2" t="s">
        <v>13</v>
      </c>
      <c r="J63" s="2">
        <v>0.73</v>
      </c>
      <c r="K63" s="2" t="str">
        <f t="shared" si="0"/>
        <v>&lt; 5kg</v>
      </c>
      <c r="L63" s="2">
        <f>tdata[[#This Row],[Received_date]]-tdata[[#This Row],[Shipment_Date]]</f>
        <v>1</v>
      </c>
      <c r="M63" s="2">
        <f>VLOOKUP(tdata[[#This Row],[Service_Type]],Table2[#All],2,0)</f>
        <v>5</v>
      </c>
      <c r="N63" s="2" t="str">
        <f>IF(tdata[[#This Row],[Delivery_Days]]&lt;=tdata[[#This Row],[SLA_Days]],"On Time","Late")</f>
        <v>On Time</v>
      </c>
      <c r="O63" s="2">
        <f>VLOOKUP(tdata[[#This Row],[Service_Type]],Table2[#All],4,0)</f>
        <v>9000</v>
      </c>
      <c r="P63" s="2">
        <f>tdata[[#This Row],[price_per_kilo]]*tdata[[#This Row],[Weight_KG]]</f>
        <v>6570</v>
      </c>
      <c r="Q63" s="2" t="str">
        <f>VLOOKUP(tdata[[#This Row],[id_employee]],temployee[#All],2,0)</f>
        <v>Jamil Akbar</v>
      </c>
      <c r="R63" s="2" t="str">
        <f>VLOOKUP(tdata[[#This Row],[id_employee]],temployee[#All],4,0)</f>
        <v>internal</v>
      </c>
      <c r="S63" s="9" t="str">
        <f>VLOOKUP(tdata[[#This Row],[id_employee]],temployee[#All],5,0)</f>
        <v>driver</v>
      </c>
    </row>
    <row r="64" spans="2:19" x14ac:dyDescent="0.35">
      <c r="B64" s="8" t="s">
        <v>83</v>
      </c>
      <c r="C64" s="2" t="s">
        <v>1333</v>
      </c>
      <c r="D64" s="5">
        <v>45172</v>
      </c>
      <c r="E64" s="5">
        <f t="shared" ref="E64:E65" si="4">D64+4</f>
        <v>45176</v>
      </c>
      <c r="F64" s="2" t="s">
        <v>11</v>
      </c>
      <c r="G64" s="2" t="s">
        <v>15</v>
      </c>
      <c r="H64" s="2" t="s">
        <v>1223</v>
      </c>
      <c r="I64" s="2" t="s">
        <v>13</v>
      </c>
      <c r="J64" s="2">
        <v>8.75</v>
      </c>
      <c r="K64" s="2" t="str">
        <f t="shared" si="0"/>
        <v>&gt;5kg</v>
      </c>
      <c r="L64" s="2">
        <f>tdata[[#This Row],[Received_date]]-tdata[[#This Row],[Shipment_Date]]</f>
        <v>4</v>
      </c>
      <c r="M64" s="2">
        <f>VLOOKUP(tdata[[#This Row],[Service_Type]],Table2[#All],2,0)</f>
        <v>1</v>
      </c>
      <c r="N64" s="2" t="str">
        <f>IF(tdata[[#This Row],[Delivery_Days]]&lt;=tdata[[#This Row],[SLA_Days]],"On Time","Late")</f>
        <v>Late</v>
      </c>
      <c r="O64" s="2">
        <f>VLOOKUP(tdata[[#This Row],[Service_Type]],Table2[#All],4,0)</f>
        <v>12000</v>
      </c>
      <c r="P64" s="2">
        <f>tdata[[#This Row],[price_per_kilo]]*tdata[[#This Row],[Weight_KG]]</f>
        <v>105000</v>
      </c>
      <c r="Q64" s="2" t="str">
        <f>VLOOKUP(tdata[[#This Row],[id_employee]],temployee[#All],2,0)</f>
        <v>Kevin Sanjaya</v>
      </c>
      <c r="R64" s="2" t="str">
        <f>VLOOKUP(tdata[[#This Row],[id_employee]],temployee[#All],4,0)</f>
        <v>crowd source</v>
      </c>
      <c r="S64" s="9" t="str">
        <f>VLOOKUP(tdata[[#This Row],[id_employee]],temployee[#All],5,0)</f>
        <v>rider</v>
      </c>
    </row>
    <row r="65" spans="2:19" x14ac:dyDescent="0.35">
      <c r="B65" s="8" t="s">
        <v>84</v>
      </c>
      <c r="C65" s="2" t="s">
        <v>1334</v>
      </c>
      <c r="D65" s="5">
        <v>45018</v>
      </c>
      <c r="E65" s="5">
        <f t="shared" si="4"/>
        <v>45022</v>
      </c>
      <c r="F65" s="2" t="s">
        <v>15</v>
      </c>
      <c r="G65" s="2" t="s">
        <v>16</v>
      </c>
      <c r="H65" s="2" t="s">
        <v>1224</v>
      </c>
      <c r="I65" s="2" t="s">
        <v>13</v>
      </c>
      <c r="J65" s="2">
        <v>8.84</v>
      </c>
      <c r="K65" s="2" t="str">
        <f t="shared" si="0"/>
        <v>&gt;5kg</v>
      </c>
      <c r="L65" s="2">
        <f>tdata[[#This Row],[Received_date]]-tdata[[#This Row],[Shipment_Date]]</f>
        <v>4</v>
      </c>
      <c r="M65" s="2">
        <f>VLOOKUP(tdata[[#This Row],[Service_Type]],Table2[#All],2,0)</f>
        <v>3</v>
      </c>
      <c r="N65" s="2" t="str">
        <f>IF(tdata[[#This Row],[Delivery_Days]]&lt;=tdata[[#This Row],[SLA_Days]],"On Time","Late")</f>
        <v>Late</v>
      </c>
      <c r="O65" s="2">
        <f>VLOOKUP(tdata[[#This Row],[Service_Type]],Table2[#All],4,0)</f>
        <v>10000</v>
      </c>
      <c r="P65" s="2">
        <f>tdata[[#This Row],[price_per_kilo]]*tdata[[#This Row],[Weight_KG]]</f>
        <v>88400</v>
      </c>
      <c r="Q65" s="2" t="str">
        <f>VLOOKUP(tdata[[#This Row],[id_employee]],temployee[#All],2,0)</f>
        <v>Laila Nuraini</v>
      </c>
      <c r="R65" s="2" t="str">
        <f>VLOOKUP(tdata[[#This Row],[id_employee]],temployee[#All],4,0)</f>
        <v>internal</v>
      </c>
      <c r="S65" s="9" t="str">
        <f>VLOOKUP(tdata[[#This Row],[id_employee]],temployee[#All],5,0)</f>
        <v>rider</v>
      </c>
    </row>
    <row r="66" spans="2:19" x14ac:dyDescent="0.35">
      <c r="B66" s="8" t="s">
        <v>85</v>
      </c>
      <c r="C66" s="2" t="s">
        <v>1335</v>
      </c>
      <c r="D66" s="5">
        <v>45583</v>
      </c>
      <c r="E66" s="5">
        <v>45586</v>
      </c>
      <c r="F66" s="2" t="s">
        <v>20</v>
      </c>
      <c r="G66" s="2" t="s">
        <v>16</v>
      </c>
      <c r="H66" s="2" t="s">
        <v>23</v>
      </c>
      <c r="I66" s="2" t="s">
        <v>17</v>
      </c>
      <c r="J66" s="2">
        <v>7.6</v>
      </c>
      <c r="K66" s="2" t="str">
        <f t="shared" si="0"/>
        <v>&gt;5kg</v>
      </c>
      <c r="L66" s="2">
        <f>tdata[[#This Row],[Received_date]]-tdata[[#This Row],[Shipment_Date]]</f>
        <v>3</v>
      </c>
      <c r="M66" s="2">
        <f>VLOOKUP(tdata[[#This Row],[Service_Type]],Table2[#All],2,0)</f>
        <v>5</v>
      </c>
      <c r="N66" s="2" t="str">
        <f>IF(tdata[[#This Row],[Delivery_Days]]&lt;=tdata[[#This Row],[SLA_Days]],"On Time","Late")</f>
        <v>On Time</v>
      </c>
      <c r="O66" s="2">
        <f>VLOOKUP(tdata[[#This Row],[Service_Type]],Table2[#All],4,0)</f>
        <v>9000</v>
      </c>
      <c r="P66" s="2">
        <f>tdata[[#This Row],[price_per_kilo]]*tdata[[#This Row],[Weight_KG]]</f>
        <v>68400</v>
      </c>
      <c r="Q66" s="2" t="str">
        <f>VLOOKUP(tdata[[#This Row],[id_employee]],temployee[#All],2,0)</f>
        <v>Miko Setiawan</v>
      </c>
      <c r="R66" s="2" t="str">
        <f>VLOOKUP(tdata[[#This Row],[id_employee]],temployee[#All],4,0)</f>
        <v>crowd source</v>
      </c>
      <c r="S66" s="9" t="str">
        <f>VLOOKUP(tdata[[#This Row],[id_employee]],temployee[#All],5,0)</f>
        <v>driver</v>
      </c>
    </row>
    <row r="67" spans="2:19" x14ac:dyDescent="0.35">
      <c r="B67" s="8" t="s">
        <v>86</v>
      </c>
      <c r="C67" s="2" t="s">
        <v>1336</v>
      </c>
      <c r="D67" s="5">
        <v>45096</v>
      </c>
      <c r="E67" s="5">
        <v>45096</v>
      </c>
      <c r="F67" s="2" t="s">
        <v>22</v>
      </c>
      <c r="G67" s="2" t="s">
        <v>15</v>
      </c>
      <c r="H67" s="2" t="s">
        <v>1223</v>
      </c>
      <c r="I67" s="2" t="s">
        <v>17</v>
      </c>
      <c r="J67" s="2">
        <v>0.53</v>
      </c>
      <c r="K67" s="2" t="str">
        <f t="shared" si="0"/>
        <v>&lt; 5kg</v>
      </c>
      <c r="L67" s="2">
        <f>tdata[[#This Row],[Received_date]]-tdata[[#This Row],[Shipment_Date]]</f>
        <v>0</v>
      </c>
      <c r="M67" s="2">
        <f>VLOOKUP(tdata[[#This Row],[Service_Type]],Table2[#All],2,0)</f>
        <v>1</v>
      </c>
      <c r="N67" s="2" t="str">
        <f>IF(tdata[[#This Row],[Delivery_Days]]&lt;=tdata[[#This Row],[SLA_Days]],"On Time","Late")</f>
        <v>On Time</v>
      </c>
      <c r="O67" s="2">
        <f>VLOOKUP(tdata[[#This Row],[Service_Type]],Table2[#All],4,0)</f>
        <v>12000</v>
      </c>
      <c r="P67" s="2">
        <f>tdata[[#This Row],[price_per_kilo]]*tdata[[#This Row],[Weight_KG]]</f>
        <v>6360</v>
      </c>
      <c r="Q67" s="2" t="str">
        <f>VLOOKUP(tdata[[#This Row],[id_employee]],temployee[#All],2,0)</f>
        <v>Nisa Aulia</v>
      </c>
      <c r="R67" s="2" t="str">
        <f>VLOOKUP(tdata[[#This Row],[id_employee]],temployee[#All],4,0)</f>
        <v>internal</v>
      </c>
      <c r="S67" s="9" t="str">
        <f>VLOOKUP(tdata[[#This Row],[id_employee]],temployee[#All],5,0)</f>
        <v>rider</v>
      </c>
    </row>
    <row r="68" spans="2:19" x14ac:dyDescent="0.35">
      <c r="B68" s="8" t="s">
        <v>87</v>
      </c>
      <c r="C68" s="2" t="s">
        <v>1337</v>
      </c>
      <c r="D68" s="5">
        <v>45074</v>
      </c>
      <c r="E68" s="5">
        <v>45074</v>
      </c>
      <c r="F68" s="2" t="s">
        <v>12</v>
      </c>
      <c r="G68" s="2" t="s">
        <v>20</v>
      </c>
      <c r="H68" s="2" t="s">
        <v>1224</v>
      </c>
      <c r="I68" s="2" t="s">
        <v>17</v>
      </c>
      <c r="J68" s="2">
        <v>1.81</v>
      </c>
      <c r="K68" s="2" t="str">
        <f t="shared" si="0"/>
        <v>&lt; 5kg</v>
      </c>
      <c r="L68" s="2">
        <f>tdata[[#This Row],[Received_date]]-tdata[[#This Row],[Shipment_Date]]</f>
        <v>0</v>
      </c>
      <c r="M68" s="2">
        <f>VLOOKUP(tdata[[#This Row],[Service_Type]],Table2[#All],2,0)</f>
        <v>3</v>
      </c>
      <c r="N68" s="2" t="str">
        <f>IF(tdata[[#This Row],[Delivery_Days]]&lt;=tdata[[#This Row],[SLA_Days]],"On Time","Late")</f>
        <v>On Time</v>
      </c>
      <c r="O68" s="2">
        <f>VLOOKUP(tdata[[#This Row],[Service_Type]],Table2[#All],4,0)</f>
        <v>10000</v>
      </c>
      <c r="P68" s="2">
        <f>tdata[[#This Row],[price_per_kilo]]*tdata[[#This Row],[Weight_KG]]</f>
        <v>18100</v>
      </c>
      <c r="Q68" s="2" t="str">
        <f>VLOOKUP(tdata[[#This Row],[id_employee]],temployee[#All],2,0)</f>
        <v>Oki Pramono</v>
      </c>
      <c r="R68" s="2" t="str">
        <f>VLOOKUP(tdata[[#This Row],[id_employee]],temployee[#All],4,0)</f>
        <v>internal</v>
      </c>
      <c r="S68" s="9" t="str">
        <f>VLOOKUP(tdata[[#This Row],[id_employee]],temployee[#All],5,0)</f>
        <v>driver</v>
      </c>
    </row>
    <row r="69" spans="2:19" x14ac:dyDescent="0.35">
      <c r="B69" s="8" t="s">
        <v>88</v>
      </c>
      <c r="C69" s="2" t="s">
        <v>1338</v>
      </c>
      <c r="D69" s="5">
        <v>45279</v>
      </c>
      <c r="E69" s="5">
        <v>45280</v>
      </c>
      <c r="F69" s="2" t="s">
        <v>30</v>
      </c>
      <c r="G69" s="2" t="s">
        <v>26</v>
      </c>
      <c r="H69" s="2" t="s">
        <v>1223</v>
      </c>
      <c r="I69" s="2" t="s">
        <v>13</v>
      </c>
      <c r="J69" s="2">
        <v>1.77</v>
      </c>
      <c r="K69" s="2" t="str">
        <f t="shared" ref="K69:K132" si="5">IF(J69&lt;5,"&lt; 5kg", "&gt;5kg")</f>
        <v>&lt; 5kg</v>
      </c>
      <c r="L69" s="2">
        <f>tdata[[#This Row],[Received_date]]-tdata[[#This Row],[Shipment_Date]]</f>
        <v>1</v>
      </c>
      <c r="M69" s="2">
        <f>VLOOKUP(tdata[[#This Row],[Service_Type]],Table2[#All],2,0)</f>
        <v>1</v>
      </c>
      <c r="N69" s="2" t="str">
        <f>IF(tdata[[#This Row],[Delivery_Days]]&lt;=tdata[[#This Row],[SLA_Days]],"On Time","Late")</f>
        <v>On Time</v>
      </c>
      <c r="O69" s="2">
        <f>VLOOKUP(tdata[[#This Row],[Service_Type]],Table2[#All],4,0)</f>
        <v>12000</v>
      </c>
      <c r="P69" s="2">
        <f>tdata[[#This Row],[price_per_kilo]]*tdata[[#This Row],[Weight_KG]]</f>
        <v>21240</v>
      </c>
      <c r="Q69" s="2" t="str">
        <f>VLOOKUP(tdata[[#This Row],[id_employee]],temployee[#All],2,0)</f>
        <v>Putra Mahendra</v>
      </c>
      <c r="R69" s="2" t="str">
        <f>VLOOKUP(tdata[[#This Row],[id_employee]],temployee[#All],4,0)</f>
        <v>crowd source</v>
      </c>
      <c r="S69" s="9" t="str">
        <f>VLOOKUP(tdata[[#This Row],[id_employee]],temployee[#All],5,0)</f>
        <v>rider</v>
      </c>
    </row>
    <row r="70" spans="2:19" x14ac:dyDescent="0.35">
      <c r="B70" s="8" t="s">
        <v>89</v>
      </c>
      <c r="C70" s="2" t="s">
        <v>1339</v>
      </c>
      <c r="D70" s="5">
        <v>45140</v>
      </c>
      <c r="E70" s="5">
        <f>D70+4</f>
        <v>45144</v>
      </c>
      <c r="F70" s="2" t="s">
        <v>32</v>
      </c>
      <c r="G70" s="2" t="s">
        <v>22</v>
      </c>
      <c r="H70" s="2" t="s">
        <v>1223</v>
      </c>
      <c r="I70" s="2" t="s">
        <v>13</v>
      </c>
      <c r="J70" s="2">
        <v>9.5399999999999991</v>
      </c>
      <c r="K70" s="2" t="str">
        <f t="shared" si="5"/>
        <v>&gt;5kg</v>
      </c>
      <c r="L70" s="2">
        <f>tdata[[#This Row],[Received_date]]-tdata[[#This Row],[Shipment_Date]]</f>
        <v>4</v>
      </c>
      <c r="M70" s="2">
        <f>VLOOKUP(tdata[[#This Row],[Service_Type]],Table2[#All],2,0)</f>
        <v>1</v>
      </c>
      <c r="N70" s="2" t="str">
        <f>IF(tdata[[#This Row],[Delivery_Days]]&lt;=tdata[[#This Row],[SLA_Days]],"On Time","Late")</f>
        <v>Late</v>
      </c>
      <c r="O70" s="2">
        <f>VLOOKUP(tdata[[#This Row],[Service_Type]],Table2[#All],4,0)</f>
        <v>12000</v>
      </c>
      <c r="P70" s="2">
        <f>tdata[[#This Row],[price_per_kilo]]*tdata[[#This Row],[Weight_KG]]</f>
        <v>114479.99999999999</v>
      </c>
      <c r="Q70" s="2" t="str">
        <f>VLOOKUP(tdata[[#This Row],[id_employee]],temployee[#All],2,0)</f>
        <v>Qolbi Ramadhani</v>
      </c>
      <c r="R70" s="2" t="str">
        <f>VLOOKUP(tdata[[#This Row],[id_employee]],temployee[#All],4,0)</f>
        <v>internal</v>
      </c>
      <c r="S70" s="9" t="str">
        <f>VLOOKUP(tdata[[#This Row],[id_employee]],temployee[#All],5,0)</f>
        <v>rider</v>
      </c>
    </row>
    <row r="71" spans="2:19" x14ac:dyDescent="0.35">
      <c r="B71" s="8" t="s">
        <v>90</v>
      </c>
      <c r="C71" s="2" t="s">
        <v>1340</v>
      </c>
      <c r="D71" s="5">
        <v>44989</v>
      </c>
      <c r="E71" s="5">
        <v>44997</v>
      </c>
      <c r="F71" s="2" t="s">
        <v>16</v>
      </c>
      <c r="G71" s="2" t="s">
        <v>49</v>
      </c>
      <c r="H71" s="2" t="s">
        <v>1224</v>
      </c>
      <c r="I71" s="2" t="s">
        <v>13</v>
      </c>
      <c r="J71" s="2">
        <v>7.64</v>
      </c>
      <c r="K71" s="2" t="str">
        <f t="shared" si="5"/>
        <v>&gt;5kg</v>
      </c>
      <c r="L71" s="2">
        <f>tdata[[#This Row],[Received_date]]-tdata[[#This Row],[Shipment_Date]]</f>
        <v>8</v>
      </c>
      <c r="M71" s="2">
        <f>VLOOKUP(tdata[[#This Row],[Service_Type]],Table2[#All],2,0)</f>
        <v>3</v>
      </c>
      <c r="N71" s="2" t="str">
        <f>IF(tdata[[#This Row],[Delivery_Days]]&lt;=tdata[[#This Row],[SLA_Days]],"On Time","Late")</f>
        <v>Late</v>
      </c>
      <c r="O71" s="2">
        <f>VLOOKUP(tdata[[#This Row],[Service_Type]],Table2[#All],4,0)</f>
        <v>10000</v>
      </c>
      <c r="P71" s="2">
        <f>tdata[[#This Row],[price_per_kilo]]*tdata[[#This Row],[Weight_KG]]</f>
        <v>76400</v>
      </c>
      <c r="Q71" s="2" t="str">
        <f>VLOOKUP(tdata[[#This Row],[id_employee]],temployee[#All],2,0)</f>
        <v>Reza Firmansyah</v>
      </c>
      <c r="R71" s="2" t="str">
        <f>VLOOKUP(tdata[[#This Row],[id_employee]],temployee[#All],4,0)</f>
        <v>crowd source</v>
      </c>
      <c r="S71" s="9" t="str">
        <f>VLOOKUP(tdata[[#This Row],[id_employee]],temployee[#All],5,0)</f>
        <v>driver</v>
      </c>
    </row>
    <row r="72" spans="2:19" x14ac:dyDescent="0.35">
      <c r="B72" s="8" t="s">
        <v>91</v>
      </c>
      <c r="C72" s="2" t="s">
        <v>1341</v>
      </c>
      <c r="D72" s="5">
        <v>45584</v>
      </c>
      <c r="E72" s="5">
        <v>45585</v>
      </c>
      <c r="F72" s="2" t="s">
        <v>26</v>
      </c>
      <c r="G72" s="2" t="s">
        <v>11</v>
      </c>
      <c r="H72" s="2" t="s">
        <v>1223</v>
      </c>
      <c r="I72" s="2" t="s">
        <v>13</v>
      </c>
      <c r="J72" s="2">
        <v>0.93</v>
      </c>
      <c r="K72" s="2" t="str">
        <f t="shared" si="5"/>
        <v>&lt; 5kg</v>
      </c>
      <c r="L72" s="2">
        <f>tdata[[#This Row],[Received_date]]-tdata[[#This Row],[Shipment_Date]]</f>
        <v>1</v>
      </c>
      <c r="M72" s="2">
        <f>VLOOKUP(tdata[[#This Row],[Service_Type]],Table2[#All],2,0)</f>
        <v>1</v>
      </c>
      <c r="N72" s="2" t="str">
        <f>IF(tdata[[#This Row],[Delivery_Days]]&lt;=tdata[[#This Row],[SLA_Days]],"On Time","Late")</f>
        <v>On Time</v>
      </c>
      <c r="O72" s="2">
        <f>VLOOKUP(tdata[[#This Row],[Service_Type]],Table2[#All],4,0)</f>
        <v>12000</v>
      </c>
      <c r="P72" s="2">
        <f>tdata[[#This Row],[price_per_kilo]]*tdata[[#This Row],[Weight_KG]]</f>
        <v>11160</v>
      </c>
      <c r="Q72" s="2" t="str">
        <f>VLOOKUP(tdata[[#This Row],[id_employee]],temployee[#All],2,0)</f>
        <v>Siska Amelia</v>
      </c>
      <c r="R72" s="2" t="str">
        <f>VLOOKUP(tdata[[#This Row],[id_employee]],temployee[#All],4,0)</f>
        <v>internal</v>
      </c>
      <c r="S72" s="9" t="str">
        <f>VLOOKUP(tdata[[#This Row],[id_employee]],temployee[#All],5,0)</f>
        <v>rider</v>
      </c>
    </row>
    <row r="73" spans="2:19" x14ac:dyDescent="0.35">
      <c r="B73" s="8" t="s">
        <v>92</v>
      </c>
      <c r="C73" s="2" t="s">
        <v>1342</v>
      </c>
      <c r="D73" s="5">
        <v>45572</v>
      </c>
      <c r="E73" s="5">
        <v>45583</v>
      </c>
      <c r="F73" s="2" t="s">
        <v>49</v>
      </c>
      <c r="G73" s="2" t="s">
        <v>30</v>
      </c>
      <c r="H73" s="2" t="s">
        <v>1224</v>
      </c>
      <c r="I73" s="2" t="s">
        <v>17</v>
      </c>
      <c r="J73" s="2">
        <v>1.25</v>
      </c>
      <c r="K73" s="2" t="str">
        <f t="shared" si="5"/>
        <v>&lt; 5kg</v>
      </c>
      <c r="L73" s="2">
        <f>tdata[[#This Row],[Received_date]]-tdata[[#This Row],[Shipment_Date]]</f>
        <v>11</v>
      </c>
      <c r="M73" s="2">
        <f>VLOOKUP(tdata[[#This Row],[Service_Type]],Table2[#All],2,0)</f>
        <v>3</v>
      </c>
      <c r="N73" s="2" t="str">
        <f>IF(tdata[[#This Row],[Delivery_Days]]&lt;=tdata[[#This Row],[SLA_Days]],"On Time","Late")</f>
        <v>Late</v>
      </c>
      <c r="O73" s="2">
        <f>VLOOKUP(tdata[[#This Row],[Service_Type]],Table2[#All],4,0)</f>
        <v>10000</v>
      </c>
      <c r="P73" s="2">
        <f>tdata[[#This Row],[price_per_kilo]]*tdata[[#This Row],[Weight_KG]]</f>
        <v>12500</v>
      </c>
      <c r="Q73" s="2" t="str">
        <f>VLOOKUP(tdata[[#This Row],[id_employee]],temployee[#All],2,0)</f>
        <v>Tri Wibowo</v>
      </c>
      <c r="R73" s="2" t="str">
        <f>VLOOKUP(tdata[[#This Row],[id_employee]],temployee[#All],4,0)</f>
        <v>internal</v>
      </c>
      <c r="S73" s="9" t="str">
        <f>VLOOKUP(tdata[[#This Row],[id_employee]],temployee[#All],5,0)</f>
        <v>driver</v>
      </c>
    </row>
    <row r="74" spans="2:19" x14ac:dyDescent="0.35">
      <c r="B74" s="8" t="s">
        <v>93</v>
      </c>
      <c r="C74" s="2" t="s">
        <v>1343</v>
      </c>
      <c r="D74" s="5">
        <v>45019</v>
      </c>
      <c r="E74" s="5">
        <v>45030</v>
      </c>
      <c r="F74" s="2" t="s">
        <v>11</v>
      </c>
      <c r="G74" s="2" t="s">
        <v>49</v>
      </c>
      <c r="H74" s="2" t="s">
        <v>23</v>
      </c>
      <c r="I74" s="2" t="s">
        <v>13</v>
      </c>
      <c r="J74" s="2">
        <v>1.83</v>
      </c>
      <c r="K74" s="2" t="str">
        <f t="shared" si="5"/>
        <v>&lt; 5kg</v>
      </c>
      <c r="L74" s="2">
        <f>tdata[[#This Row],[Received_date]]-tdata[[#This Row],[Shipment_Date]]</f>
        <v>11</v>
      </c>
      <c r="M74" s="2">
        <f>VLOOKUP(tdata[[#This Row],[Service_Type]],Table2[#All],2,0)</f>
        <v>5</v>
      </c>
      <c r="N74" s="2" t="str">
        <f>IF(tdata[[#This Row],[Delivery_Days]]&lt;=tdata[[#This Row],[SLA_Days]],"On Time","Late")</f>
        <v>Late</v>
      </c>
      <c r="O74" s="2">
        <f>VLOOKUP(tdata[[#This Row],[Service_Type]],Table2[#All],4,0)</f>
        <v>9000</v>
      </c>
      <c r="P74" s="2">
        <f>tdata[[#This Row],[price_per_kilo]]*tdata[[#This Row],[Weight_KG]]</f>
        <v>16470</v>
      </c>
      <c r="Q74" s="2" t="str">
        <f>VLOOKUP(tdata[[#This Row],[id_employee]],temployee[#All],2,0)</f>
        <v>Ubay Prakoso</v>
      </c>
      <c r="R74" s="2" t="str">
        <f>VLOOKUP(tdata[[#This Row],[id_employee]],temployee[#All],4,0)</f>
        <v>crowd source</v>
      </c>
      <c r="S74" s="9" t="str">
        <f>VLOOKUP(tdata[[#This Row],[id_employee]],temployee[#All],5,0)</f>
        <v>rider</v>
      </c>
    </row>
    <row r="75" spans="2:19" x14ac:dyDescent="0.35">
      <c r="B75" s="8" t="s">
        <v>94</v>
      </c>
      <c r="C75" s="2" t="s">
        <v>1344</v>
      </c>
      <c r="D75" s="5">
        <v>45422</v>
      </c>
      <c r="E75" s="5">
        <f>D75+4</f>
        <v>45426</v>
      </c>
      <c r="F75" s="2" t="s">
        <v>15</v>
      </c>
      <c r="G75" s="2" t="s">
        <v>11</v>
      </c>
      <c r="H75" s="2" t="s">
        <v>1223</v>
      </c>
      <c r="I75" s="2" t="s">
        <v>13</v>
      </c>
      <c r="J75" s="2">
        <v>5.81</v>
      </c>
      <c r="K75" s="2" t="str">
        <f t="shared" si="5"/>
        <v>&gt;5kg</v>
      </c>
      <c r="L75" s="2">
        <f>tdata[[#This Row],[Received_date]]-tdata[[#This Row],[Shipment_Date]]</f>
        <v>4</v>
      </c>
      <c r="M75" s="2">
        <f>VLOOKUP(tdata[[#This Row],[Service_Type]],Table2[#All],2,0)</f>
        <v>1</v>
      </c>
      <c r="N75" s="2" t="str">
        <f>IF(tdata[[#This Row],[Delivery_Days]]&lt;=tdata[[#This Row],[SLA_Days]],"On Time","Late")</f>
        <v>Late</v>
      </c>
      <c r="O75" s="2">
        <f>VLOOKUP(tdata[[#This Row],[Service_Type]],Table2[#All],4,0)</f>
        <v>12000</v>
      </c>
      <c r="P75" s="2">
        <f>tdata[[#This Row],[price_per_kilo]]*tdata[[#This Row],[Weight_KG]]</f>
        <v>69720</v>
      </c>
      <c r="Q75" s="2" t="str">
        <f>VLOOKUP(tdata[[#This Row],[id_employee]],temployee[#All],2,0)</f>
        <v>Vania Putri</v>
      </c>
      <c r="R75" s="2" t="str">
        <f>VLOOKUP(tdata[[#This Row],[id_employee]],temployee[#All],4,0)</f>
        <v>internal</v>
      </c>
      <c r="S75" s="9" t="str">
        <f>VLOOKUP(tdata[[#This Row],[id_employee]],temployee[#All],5,0)</f>
        <v>rider</v>
      </c>
    </row>
    <row r="76" spans="2:19" x14ac:dyDescent="0.35">
      <c r="B76" s="8" t="s">
        <v>95</v>
      </c>
      <c r="C76" s="2" t="s">
        <v>1345</v>
      </c>
      <c r="D76" s="5">
        <v>44992</v>
      </c>
      <c r="E76" s="5">
        <v>44997</v>
      </c>
      <c r="F76" s="2" t="s">
        <v>20</v>
      </c>
      <c r="G76" s="2" t="s">
        <v>22</v>
      </c>
      <c r="H76" s="2" t="s">
        <v>1224</v>
      </c>
      <c r="I76" s="2" t="s">
        <v>13</v>
      </c>
      <c r="J76" s="2">
        <v>4.01</v>
      </c>
      <c r="K76" s="2" t="str">
        <f t="shared" si="5"/>
        <v>&lt; 5kg</v>
      </c>
      <c r="L76" s="2">
        <f>tdata[[#This Row],[Received_date]]-tdata[[#This Row],[Shipment_Date]]</f>
        <v>5</v>
      </c>
      <c r="M76" s="2">
        <f>VLOOKUP(tdata[[#This Row],[Service_Type]],Table2[#All],2,0)</f>
        <v>3</v>
      </c>
      <c r="N76" s="2" t="str">
        <f>IF(tdata[[#This Row],[Delivery_Days]]&lt;=tdata[[#This Row],[SLA_Days]],"On Time","Late")</f>
        <v>Late</v>
      </c>
      <c r="O76" s="2">
        <f>VLOOKUP(tdata[[#This Row],[Service_Type]],Table2[#All],4,0)</f>
        <v>10000</v>
      </c>
      <c r="P76" s="2">
        <f>tdata[[#This Row],[price_per_kilo]]*tdata[[#This Row],[Weight_KG]]</f>
        <v>40100</v>
      </c>
      <c r="Q76" s="2" t="str">
        <f>VLOOKUP(tdata[[#This Row],[id_employee]],temployee[#All],2,0)</f>
        <v>Wira Nugraha</v>
      </c>
      <c r="R76" s="2" t="str">
        <f>VLOOKUP(tdata[[#This Row],[id_employee]],temployee[#All],4,0)</f>
        <v>internal</v>
      </c>
      <c r="S76" s="9" t="str">
        <f>VLOOKUP(tdata[[#This Row],[id_employee]],temployee[#All],5,0)</f>
        <v>driver</v>
      </c>
    </row>
    <row r="77" spans="2:19" x14ac:dyDescent="0.35">
      <c r="B77" s="8" t="s">
        <v>96</v>
      </c>
      <c r="C77" s="2" t="s">
        <v>1346</v>
      </c>
      <c r="D77" s="5">
        <v>45322</v>
      </c>
      <c r="E77" s="5">
        <v>45322</v>
      </c>
      <c r="F77" s="2" t="s">
        <v>22</v>
      </c>
      <c r="G77" s="2" t="s">
        <v>15</v>
      </c>
      <c r="H77" s="2" t="s">
        <v>1224</v>
      </c>
      <c r="I77" s="2" t="s">
        <v>13</v>
      </c>
      <c r="J77" s="2">
        <v>4.63</v>
      </c>
      <c r="K77" s="2" t="str">
        <f t="shared" si="5"/>
        <v>&lt; 5kg</v>
      </c>
      <c r="L77" s="2">
        <f>tdata[[#This Row],[Received_date]]-tdata[[#This Row],[Shipment_Date]]</f>
        <v>0</v>
      </c>
      <c r="M77" s="2">
        <f>VLOOKUP(tdata[[#This Row],[Service_Type]],Table2[#All],2,0)</f>
        <v>3</v>
      </c>
      <c r="N77" s="2" t="str">
        <f>IF(tdata[[#This Row],[Delivery_Days]]&lt;=tdata[[#This Row],[SLA_Days]],"On Time","Late")</f>
        <v>On Time</v>
      </c>
      <c r="O77" s="2">
        <f>VLOOKUP(tdata[[#This Row],[Service_Type]],Table2[#All],4,0)</f>
        <v>10000</v>
      </c>
      <c r="P77" s="2">
        <f>tdata[[#This Row],[price_per_kilo]]*tdata[[#This Row],[Weight_KG]]</f>
        <v>46300</v>
      </c>
      <c r="Q77" s="2" t="str">
        <f>VLOOKUP(tdata[[#This Row],[id_employee]],temployee[#All],2,0)</f>
        <v>Xaverius Adi</v>
      </c>
      <c r="R77" s="2" t="str">
        <f>VLOOKUP(tdata[[#This Row],[id_employee]],temployee[#All],4,0)</f>
        <v>crowd source</v>
      </c>
      <c r="S77" s="9" t="str">
        <f>VLOOKUP(tdata[[#This Row],[id_employee]],temployee[#All],5,0)</f>
        <v>driver</v>
      </c>
    </row>
    <row r="78" spans="2:19" x14ac:dyDescent="0.35">
      <c r="B78" s="8" t="s">
        <v>97</v>
      </c>
      <c r="C78" s="2" t="s">
        <v>1347</v>
      </c>
      <c r="D78" s="5">
        <v>44965</v>
      </c>
      <c r="E78" s="5">
        <v>44965</v>
      </c>
      <c r="F78" s="2" t="s">
        <v>12</v>
      </c>
      <c r="G78" s="2" t="s">
        <v>16</v>
      </c>
      <c r="H78" s="2" t="s">
        <v>1223</v>
      </c>
      <c r="I78" s="2" t="s">
        <v>17</v>
      </c>
      <c r="J78" s="2">
        <v>3.37</v>
      </c>
      <c r="K78" s="2" t="str">
        <f t="shared" si="5"/>
        <v>&lt; 5kg</v>
      </c>
      <c r="L78" s="2">
        <f>tdata[[#This Row],[Received_date]]-tdata[[#This Row],[Shipment_Date]]</f>
        <v>0</v>
      </c>
      <c r="M78" s="2">
        <f>VLOOKUP(tdata[[#This Row],[Service_Type]],Table2[#All],2,0)</f>
        <v>1</v>
      </c>
      <c r="N78" s="2" t="str">
        <f>IF(tdata[[#This Row],[Delivery_Days]]&lt;=tdata[[#This Row],[SLA_Days]],"On Time","Late")</f>
        <v>On Time</v>
      </c>
      <c r="O78" s="2">
        <f>VLOOKUP(tdata[[#This Row],[Service_Type]],Table2[#All],4,0)</f>
        <v>12000</v>
      </c>
      <c r="P78" s="2">
        <f>tdata[[#This Row],[price_per_kilo]]*tdata[[#This Row],[Weight_KG]]</f>
        <v>40440</v>
      </c>
      <c r="Q78" s="2" t="str">
        <f>VLOOKUP(tdata[[#This Row],[id_employee]],temployee[#All],2,0)</f>
        <v>Yuliana Kartini</v>
      </c>
      <c r="R78" s="2" t="str">
        <f>VLOOKUP(tdata[[#This Row],[id_employee]],temployee[#All],4,0)</f>
        <v>internal</v>
      </c>
      <c r="S78" s="9" t="str">
        <f>VLOOKUP(tdata[[#This Row],[id_employee]],temployee[#All],5,0)</f>
        <v>rider</v>
      </c>
    </row>
    <row r="79" spans="2:19" x14ac:dyDescent="0.35">
      <c r="B79" s="8" t="s">
        <v>98</v>
      </c>
      <c r="C79" s="2" t="s">
        <v>1348</v>
      </c>
      <c r="D79" s="5">
        <v>45517</v>
      </c>
      <c r="E79" s="5">
        <v>45524</v>
      </c>
      <c r="F79" s="2" t="s">
        <v>30</v>
      </c>
      <c r="G79" s="2" t="s">
        <v>49</v>
      </c>
      <c r="H79" s="2" t="s">
        <v>1223</v>
      </c>
      <c r="I79" s="2" t="s">
        <v>13</v>
      </c>
      <c r="J79" s="2">
        <v>9.93</v>
      </c>
      <c r="K79" s="2" t="str">
        <f t="shared" si="5"/>
        <v>&gt;5kg</v>
      </c>
      <c r="L79" s="2">
        <f>tdata[[#This Row],[Received_date]]-tdata[[#This Row],[Shipment_Date]]</f>
        <v>7</v>
      </c>
      <c r="M79" s="2">
        <f>VLOOKUP(tdata[[#This Row],[Service_Type]],Table2[#All],2,0)</f>
        <v>1</v>
      </c>
      <c r="N79" s="2" t="str">
        <f>IF(tdata[[#This Row],[Delivery_Days]]&lt;=tdata[[#This Row],[SLA_Days]],"On Time","Late")</f>
        <v>Late</v>
      </c>
      <c r="O79" s="2">
        <f>VLOOKUP(tdata[[#This Row],[Service_Type]],Table2[#All],4,0)</f>
        <v>12000</v>
      </c>
      <c r="P79" s="2">
        <f>tdata[[#This Row],[price_per_kilo]]*tdata[[#This Row],[Weight_KG]]</f>
        <v>119160</v>
      </c>
      <c r="Q79" s="2" t="str">
        <f>VLOOKUP(tdata[[#This Row],[id_employee]],temployee[#All],2,0)</f>
        <v>Zaki Alamsyah</v>
      </c>
      <c r="R79" s="2" t="str">
        <f>VLOOKUP(tdata[[#This Row],[id_employee]],temployee[#All],4,0)</f>
        <v>internal</v>
      </c>
      <c r="S79" s="9" t="str">
        <f>VLOOKUP(tdata[[#This Row],[id_employee]],temployee[#All],5,0)</f>
        <v>rider</v>
      </c>
    </row>
    <row r="80" spans="2:19" x14ac:dyDescent="0.35">
      <c r="B80" s="8" t="s">
        <v>99</v>
      </c>
      <c r="C80" s="2" t="s">
        <v>1349</v>
      </c>
      <c r="D80" s="5">
        <v>45190</v>
      </c>
      <c r="E80" s="5">
        <v>45192</v>
      </c>
      <c r="F80" s="2" t="s">
        <v>32</v>
      </c>
      <c r="G80" s="2" t="s">
        <v>49</v>
      </c>
      <c r="H80" s="2" t="s">
        <v>1224</v>
      </c>
      <c r="I80" s="2" t="s">
        <v>17</v>
      </c>
      <c r="J80" s="2">
        <v>4.88</v>
      </c>
      <c r="K80" s="2" t="str">
        <f t="shared" si="5"/>
        <v>&lt; 5kg</v>
      </c>
      <c r="L80" s="2">
        <f>tdata[[#This Row],[Received_date]]-tdata[[#This Row],[Shipment_Date]]</f>
        <v>2</v>
      </c>
      <c r="M80" s="2">
        <f>VLOOKUP(tdata[[#This Row],[Service_Type]],Table2[#All],2,0)</f>
        <v>3</v>
      </c>
      <c r="N80" s="2" t="str">
        <f>IF(tdata[[#This Row],[Delivery_Days]]&lt;=tdata[[#This Row],[SLA_Days]],"On Time","Late")</f>
        <v>On Time</v>
      </c>
      <c r="O80" s="2">
        <f>VLOOKUP(tdata[[#This Row],[Service_Type]],Table2[#All],4,0)</f>
        <v>10000</v>
      </c>
      <c r="P80" s="2">
        <f>tdata[[#This Row],[price_per_kilo]]*tdata[[#This Row],[Weight_KG]]</f>
        <v>48800</v>
      </c>
      <c r="Q80" s="2" t="str">
        <f>VLOOKUP(tdata[[#This Row],[id_employee]],temployee[#All],2,0)</f>
        <v>Arief Setyawan</v>
      </c>
      <c r="R80" s="2" t="str">
        <f>VLOOKUP(tdata[[#This Row],[id_employee]],temployee[#All],4,0)</f>
        <v>crowd source</v>
      </c>
      <c r="S80" s="9" t="str">
        <f>VLOOKUP(tdata[[#This Row],[id_employee]],temployee[#All],5,0)</f>
        <v>driver</v>
      </c>
    </row>
    <row r="81" spans="2:19" x14ac:dyDescent="0.35">
      <c r="B81" s="8" t="s">
        <v>100</v>
      </c>
      <c r="C81" s="2" t="s">
        <v>1350</v>
      </c>
      <c r="D81" s="5">
        <v>45022</v>
      </c>
      <c r="E81" s="5">
        <v>45032</v>
      </c>
      <c r="F81" s="2" t="s">
        <v>16</v>
      </c>
      <c r="G81" s="2" t="s">
        <v>30</v>
      </c>
      <c r="H81" s="2" t="s">
        <v>1224</v>
      </c>
      <c r="I81" s="2" t="s">
        <v>13</v>
      </c>
      <c r="J81" s="2">
        <v>10.1</v>
      </c>
      <c r="K81" s="2" t="str">
        <f t="shared" si="5"/>
        <v>&gt;5kg</v>
      </c>
      <c r="L81" s="2">
        <f>tdata[[#This Row],[Received_date]]-tdata[[#This Row],[Shipment_Date]]</f>
        <v>10</v>
      </c>
      <c r="M81" s="2">
        <f>VLOOKUP(tdata[[#This Row],[Service_Type]],Table2[#All],2,0)</f>
        <v>3</v>
      </c>
      <c r="N81" s="2" t="str">
        <f>IF(tdata[[#This Row],[Delivery_Days]]&lt;=tdata[[#This Row],[SLA_Days]],"On Time","Late")</f>
        <v>Late</v>
      </c>
      <c r="O81" s="2">
        <f>VLOOKUP(tdata[[#This Row],[Service_Type]],Table2[#All],4,0)</f>
        <v>10000</v>
      </c>
      <c r="P81" s="2">
        <f>tdata[[#This Row],[price_per_kilo]]*tdata[[#This Row],[Weight_KG]]</f>
        <v>101000</v>
      </c>
      <c r="Q81" s="2" t="str">
        <f>VLOOKUP(tdata[[#This Row],[id_employee]],temployee[#All],2,0)</f>
        <v>Bunga Cahyani</v>
      </c>
      <c r="R81" s="2" t="str">
        <f>VLOOKUP(tdata[[#This Row],[id_employee]],temployee[#All],4,0)</f>
        <v>internal</v>
      </c>
      <c r="S81" s="9" t="str">
        <f>VLOOKUP(tdata[[#This Row],[id_employee]],temployee[#All],5,0)</f>
        <v>rider</v>
      </c>
    </row>
    <row r="82" spans="2:19" x14ac:dyDescent="0.35">
      <c r="B82" s="8" t="s">
        <v>101</v>
      </c>
      <c r="C82" s="2" t="s">
        <v>1351</v>
      </c>
      <c r="D82" s="5">
        <v>45157</v>
      </c>
      <c r="E82" s="5">
        <v>45158</v>
      </c>
      <c r="F82" s="2" t="s">
        <v>26</v>
      </c>
      <c r="G82" s="2" t="s">
        <v>16</v>
      </c>
      <c r="H82" s="2" t="s">
        <v>1223</v>
      </c>
      <c r="I82" s="2" t="s">
        <v>17</v>
      </c>
      <c r="J82" s="2">
        <v>0.65</v>
      </c>
      <c r="K82" s="2" t="str">
        <f t="shared" si="5"/>
        <v>&lt; 5kg</v>
      </c>
      <c r="L82" s="2">
        <f>tdata[[#This Row],[Received_date]]-tdata[[#This Row],[Shipment_Date]]</f>
        <v>1</v>
      </c>
      <c r="M82" s="2">
        <f>VLOOKUP(tdata[[#This Row],[Service_Type]],Table2[#All],2,0)</f>
        <v>1</v>
      </c>
      <c r="N82" s="2" t="str">
        <f>IF(tdata[[#This Row],[Delivery_Days]]&lt;=tdata[[#This Row],[SLA_Days]],"On Time","Late")</f>
        <v>On Time</v>
      </c>
      <c r="O82" s="2">
        <f>VLOOKUP(tdata[[#This Row],[Service_Type]],Table2[#All],4,0)</f>
        <v>12000</v>
      </c>
      <c r="P82" s="2">
        <f>tdata[[#This Row],[price_per_kilo]]*tdata[[#This Row],[Weight_KG]]</f>
        <v>7800</v>
      </c>
      <c r="Q82" s="2" t="str">
        <f>VLOOKUP(tdata[[#This Row],[id_employee]],temployee[#All],2,0)</f>
        <v>Cahyo Prabowo</v>
      </c>
      <c r="R82" s="2" t="str">
        <f>VLOOKUP(tdata[[#This Row],[id_employee]],temployee[#All],4,0)</f>
        <v>internal</v>
      </c>
      <c r="S82" s="9" t="str">
        <f>VLOOKUP(tdata[[#This Row],[id_employee]],temployee[#All],5,0)</f>
        <v>driver</v>
      </c>
    </row>
    <row r="83" spans="2:19" x14ac:dyDescent="0.35">
      <c r="B83" s="8" t="s">
        <v>102</v>
      </c>
      <c r="C83" s="2" t="s">
        <v>1352</v>
      </c>
      <c r="D83" s="5">
        <v>45642</v>
      </c>
      <c r="E83" s="5">
        <v>45642</v>
      </c>
      <c r="F83" s="2" t="s">
        <v>49</v>
      </c>
      <c r="G83" s="2" t="s">
        <v>16</v>
      </c>
      <c r="H83" s="2" t="s">
        <v>1223</v>
      </c>
      <c r="I83" s="2" t="s">
        <v>13</v>
      </c>
      <c r="J83" s="2">
        <v>1.45</v>
      </c>
      <c r="K83" s="2" t="str">
        <f t="shared" si="5"/>
        <v>&lt; 5kg</v>
      </c>
      <c r="L83" s="2">
        <f>tdata[[#This Row],[Received_date]]-tdata[[#This Row],[Shipment_Date]]</f>
        <v>0</v>
      </c>
      <c r="M83" s="2">
        <f>VLOOKUP(tdata[[#This Row],[Service_Type]],Table2[#All],2,0)</f>
        <v>1</v>
      </c>
      <c r="N83" s="2" t="str">
        <f>IF(tdata[[#This Row],[Delivery_Days]]&lt;=tdata[[#This Row],[SLA_Days]],"On Time","Late")</f>
        <v>On Time</v>
      </c>
      <c r="O83" s="2">
        <f>VLOOKUP(tdata[[#This Row],[Service_Type]],Table2[#All],4,0)</f>
        <v>12000</v>
      </c>
      <c r="P83" s="2">
        <f>tdata[[#This Row],[price_per_kilo]]*tdata[[#This Row],[Weight_KG]]</f>
        <v>17400</v>
      </c>
      <c r="Q83" s="2" t="str">
        <f>VLOOKUP(tdata[[#This Row],[id_employee]],temployee[#All],2,0)</f>
        <v>Diah Permata</v>
      </c>
      <c r="R83" s="2" t="str">
        <f>VLOOKUP(tdata[[#This Row],[id_employee]],temployee[#All],4,0)</f>
        <v>crowd source</v>
      </c>
      <c r="S83" s="9" t="str">
        <f>VLOOKUP(tdata[[#This Row],[id_employee]],temployee[#All],5,0)</f>
        <v>rider</v>
      </c>
    </row>
    <row r="84" spans="2:19" x14ac:dyDescent="0.35">
      <c r="B84" s="8" t="s">
        <v>103</v>
      </c>
      <c r="C84" s="2" t="s">
        <v>1353</v>
      </c>
      <c r="D84" s="5">
        <v>45487</v>
      </c>
      <c r="E84" s="5">
        <v>45495</v>
      </c>
      <c r="F84" s="2" t="s">
        <v>11</v>
      </c>
      <c r="G84" s="2" t="s">
        <v>30</v>
      </c>
      <c r="H84" s="2" t="s">
        <v>1224</v>
      </c>
      <c r="I84" s="2" t="s">
        <v>17</v>
      </c>
      <c r="J84" s="2">
        <v>6.18</v>
      </c>
      <c r="K84" s="2" t="str">
        <f t="shared" si="5"/>
        <v>&gt;5kg</v>
      </c>
      <c r="L84" s="2">
        <f>tdata[[#This Row],[Received_date]]-tdata[[#This Row],[Shipment_Date]]</f>
        <v>8</v>
      </c>
      <c r="M84" s="2">
        <f>VLOOKUP(tdata[[#This Row],[Service_Type]],Table2[#All],2,0)</f>
        <v>3</v>
      </c>
      <c r="N84" s="2" t="str">
        <f>IF(tdata[[#This Row],[Delivery_Days]]&lt;=tdata[[#This Row],[SLA_Days]],"On Time","Late")</f>
        <v>Late</v>
      </c>
      <c r="O84" s="2">
        <f>VLOOKUP(tdata[[#This Row],[Service_Type]],Table2[#All],4,0)</f>
        <v>10000</v>
      </c>
      <c r="P84" s="2">
        <f>tdata[[#This Row],[price_per_kilo]]*tdata[[#This Row],[Weight_KG]]</f>
        <v>61800</v>
      </c>
      <c r="Q84" s="2" t="str">
        <f>VLOOKUP(tdata[[#This Row],[id_employee]],temployee[#All],2,0)</f>
        <v>Evania Putri</v>
      </c>
      <c r="R84" s="2" t="str">
        <f>VLOOKUP(tdata[[#This Row],[id_employee]],temployee[#All],4,0)</f>
        <v>internal</v>
      </c>
      <c r="S84" s="9" t="str">
        <f>VLOOKUP(tdata[[#This Row],[id_employee]],temployee[#All],5,0)</f>
        <v>rider</v>
      </c>
    </row>
    <row r="85" spans="2:19" x14ac:dyDescent="0.35">
      <c r="B85" s="8" t="s">
        <v>104</v>
      </c>
      <c r="C85" s="2" t="s">
        <v>1354</v>
      </c>
      <c r="D85" s="5">
        <v>45316</v>
      </c>
      <c r="E85" s="5">
        <v>45316</v>
      </c>
      <c r="F85" s="2" t="s">
        <v>15</v>
      </c>
      <c r="G85" s="2" t="s">
        <v>26</v>
      </c>
      <c r="H85" s="2" t="s">
        <v>23</v>
      </c>
      <c r="I85" s="2" t="s">
        <v>13</v>
      </c>
      <c r="J85" s="2">
        <v>10.33</v>
      </c>
      <c r="K85" s="2" t="str">
        <f t="shared" si="5"/>
        <v>&gt;5kg</v>
      </c>
      <c r="L85" s="2">
        <f>tdata[[#This Row],[Received_date]]-tdata[[#This Row],[Shipment_Date]]</f>
        <v>0</v>
      </c>
      <c r="M85" s="2">
        <f>VLOOKUP(tdata[[#This Row],[Service_Type]],Table2[#All],2,0)</f>
        <v>5</v>
      </c>
      <c r="N85" s="2" t="str">
        <f>IF(tdata[[#This Row],[Delivery_Days]]&lt;=tdata[[#This Row],[SLA_Days]],"On Time","Late")</f>
        <v>On Time</v>
      </c>
      <c r="O85" s="2">
        <f>VLOOKUP(tdata[[#This Row],[Service_Type]],Table2[#All],4,0)</f>
        <v>9000</v>
      </c>
      <c r="P85" s="2">
        <f>tdata[[#This Row],[price_per_kilo]]*tdata[[#This Row],[Weight_KG]]</f>
        <v>92970</v>
      </c>
      <c r="Q85" s="2" t="str">
        <f>VLOOKUP(tdata[[#This Row],[id_employee]],temployee[#All],2,0)</f>
        <v>Fikri Ramadhan</v>
      </c>
      <c r="R85" s="2" t="str">
        <f>VLOOKUP(tdata[[#This Row],[id_employee]],temployee[#All],4,0)</f>
        <v>crowd source</v>
      </c>
      <c r="S85" s="9" t="str">
        <f>VLOOKUP(tdata[[#This Row],[id_employee]],temployee[#All],5,0)</f>
        <v>driver</v>
      </c>
    </row>
    <row r="86" spans="2:19" x14ac:dyDescent="0.35">
      <c r="B86" s="8" t="s">
        <v>105</v>
      </c>
      <c r="C86" s="2" t="s">
        <v>1355</v>
      </c>
      <c r="D86" s="5">
        <v>45110</v>
      </c>
      <c r="E86" s="5">
        <v>45119</v>
      </c>
      <c r="F86" s="2" t="s">
        <v>20</v>
      </c>
      <c r="G86" s="2" t="s">
        <v>22</v>
      </c>
      <c r="H86" s="2" t="s">
        <v>23</v>
      </c>
      <c r="I86" s="2" t="s">
        <v>13</v>
      </c>
      <c r="J86" s="2">
        <v>3.71</v>
      </c>
      <c r="K86" s="2" t="str">
        <f t="shared" si="5"/>
        <v>&lt; 5kg</v>
      </c>
      <c r="L86" s="2">
        <f>tdata[[#This Row],[Received_date]]-tdata[[#This Row],[Shipment_Date]]</f>
        <v>9</v>
      </c>
      <c r="M86" s="2">
        <f>VLOOKUP(tdata[[#This Row],[Service_Type]],Table2[#All],2,0)</f>
        <v>5</v>
      </c>
      <c r="N86" s="2" t="str">
        <f>IF(tdata[[#This Row],[Delivery_Days]]&lt;=tdata[[#This Row],[SLA_Days]],"On Time","Late")</f>
        <v>Late</v>
      </c>
      <c r="O86" s="2">
        <f>VLOOKUP(tdata[[#This Row],[Service_Type]],Table2[#All],4,0)</f>
        <v>9000</v>
      </c>
      <c r="P86" s="2">
        <f>tdata[[#This Row],[price_per_kilo]]*tdata[[#This Row],[Weight_KG]]</f>
        <v>33390</v>
      </c>
      <c r="Q86" s="2" t="str">
        <f>VLOOKUP(tdata[[#This Row],[id_employee]],temployee[#All],2,0)</f>
        <v>Gilang Ramli</v>
      </c>
      <c r="R86" s="2" t="str">
        <f>VLOOKUP(tdata[[#This Row],[id_employee]],temployee[#All],4,0)</f>
        <v>internal</v>
      </c>
      <c r="S86" s="9" t="str">
        <f>VLOOKUP(tdata[[#This Row],[id_employee]],temployee[#All],5,0)</f>
        <v>rider</v>
      </c>
    </row>
    <row r="87" spans="2:19" x14ac:dyDescent="0.35">
      <c r="B87" s="8" t="s">
        <v>106</v>
      </c>
      <c r="C87" s="2" t="s">
        <v>1356</v>
      </c>
      <c r="D87" s="5">
        <v>45376</v>
      </c>
      <c r="E87" s="5">
        <v>45384</v>
      </c>
      <c r="F87" s="2" t="s">
        <v>22</v>
      </c>
      <c r="G87" s="2" t="s">
        <v>22</v>
      </c>
      <c r="H87" s="2" t="s">
        <v>23</v>
      </c>
      <c r="I87" s="2" t="s">
        <v>13</v>
      </c>
      <c r="J87" s="2">
        <v>6.39</v>
      </c>
      <c r="K87" s="2" t="str">
        <f t="shared" si="5"/>
        <v>&gt;5kg</v>
      </c>
      <c r="L87" s="2">
        <f>tdata[[#This Row],[Received_date]]-tdata[[#This Row],[Shipment_Date]]</f>
        <v>8</v>
      </c>
      <c r="M87" s="2">
        <f>VLOOKUP(tdata[[#This Row],[Service_Type]],Table2[#All],2,0)</f>
        <v>5</v>
      </c>
      <c r="N87" s="2" t="str">
        <f>IF(tdata[[#This Row],[Delivery_Days]]&lt;=tdata[[#This Row],[SLA_Days]],"On Time","Late")</f>
        <v>Late</v>
      </c>
      <c r="O87" s="2">
        <f>VLOOKUP(tdata[[#This Row],[Service_Type]],Table2[#All],4,0)</f>
        <v>9000</v>
      </c>
      <c r="P87" s="2">
        <f>tdata[[#This Row],[price_per_kilo]]*tdata[[#This Row],[Weight_KG]]</f>
        <v>57510</v>
      </c>
      <c r="Q87" s="2" t="str">
        <f>VLOOKUP(tdata[[#This Row],[id_employee]],temployee[#All],2,0)</f>
        <v>Hana Zahra</v>
      </c>
      <c r="R87" s="2" t="str">
        <f>VLOOKUP(tdata[[#This Row],[id_employee]],temployee[#All],4,0)</f>
        <v>internal</v>
      </c>
      <c r="S87" s="9" t="str">
        <f>VLOOKUP(tdata[[#This Row],[id_employee]],temployee[#All],5,0)</f>
        <v>rider</v>
      </c>
    </row>
    <row r="88" spans="2:19" x14ac:dyDescent="0.35">
      <c r="B88" s="8" t="s">
        <v>107</v>
      </c>
      <c r="C88" s="2" t="s">
        <v>1357</v>
      </c>
      <c r="D88" s="5">
        <v>45520</v>
      </c>
      <c r="E88" s="5">
        <v>45521</v>
      </c>
      <c r="F88" s="2" t="s">
        <v>12</v>
      </c>
      <c r="G88" s="2" t="s">
        <v>15</v>
      </c>
      <c r="H88" s="2" t="s">
        <v>1223</v>
      </c>
      <c r="I88" s="2" t="s">
        <v>17</v>
      </c>
      <c r="J88" s="2">
        <v>0.51</v>
      </c>
      <c r="K88" s="2" t="str">
        <f t="shared" si="5"/>
        <v>&lt; 5kg</v>
      </c>
      <c r="L88" s="2">
        <f>tdata[[#This Row],[Received_date]]-tdata[[#This Row],[Shipment_Date]]</f>
        <v>1</v>
      </c>
      <c r="M88" s="2">
        <f>VLOOKUP(tdata[[#This Row],[Service_Type]],Table2[#All],2,0)</f>
        <v>1</v>
      </c>
      <c r="N88" s="2" t="str">
        <f>IF(tdata[[#This Row],[Delivery_Days]]&lt;=tdata[[#This Row],[SLA_Days]],"On Time","Late")</f>
        <v>On Time</v>
      </c>
      <c r="O88" s="2">
        <f>VLOOKUP(tdata[[#This Row],[Service_Type]],Table2[#All],4,0)</f>
        <v>12000</v>
      </c>
      <c r="P88" s="2">
        <f>tdata[[#This Row],[price_per_kilo]]*tdata[[#This Row],[Weight_KG]]</f>
        <v>6120</v>
      </c>
      <c r="Q88" s="2" t="str">
        <f>VLOOKUP(tdata[[#This Row],[id_employee]],temployee[#All],2,0)</f>
        <v>Irfan Maulana</v>
      </c>
      <c r="R88" s="2" t="str">
        <f>VLOOKUP(tdata[[#This Row],[id_employee]],temployee[#All],4,0)</f>
        <v>internal</v>
      </c>
      <c r="S88" s="9" t="str">
        <f>VLOOKUP(tdata[[#This Row],[id_employee]],temployee[#All],5,0)</f>
        <v>driver</v>
      </c>
    </row>
    <row r="89" spans="2:19" x14ac:dyDescent="0.35">
      <c r="B89" s="8" t="s">
        <v>108</v>
      </c>
      <c r="C89" s="2" t="s">
        <v>1358</v>
      </c>
      <c r="D89" s="5">
        <v>45254</v>
      </c>
      <c r="E89" s="5">
        <v>45265</v>
      </c>
      <c r="F89" s="2" t="s">
        <v>30</v>
      </c>
      <c r="G89" s="2" t="s">
        <v>32</v>
      </c>
      <c r="H89" s="2" t="s">
        <v>1223</v>
      </c>
      <c r="I89" s="2" t="s">
        <v>13</v>
      </c>
      <c r="J89" s="2">
        <v>8.31</v>
      </c>
      <c r="K89" s="2" t="str">
        <f t="shared" si="5"/>
        <v>&gt;5kg</v>
      </c>
      <c r="L89" s="2">
        <f>tdata[[#This Row],[Received_date]]-tdata[[#This Row],[Shipment_Date]]</f>
        <v>11</v>
      </c>
      <c r="M89" s="2">
        <f>VLOOKUP(tdata[[#This Row],[Service_Type]],Table2[#All],2,0)</f>
        <v>1</v>
      </c>
      <c r="N89" s="2" t="str">
        <f>IF(tdata[[#This Row],[Delivery_Days]]&lt;=tdata[[#This Row],[SLA_Days]],"On Time","Late")</f>
        <v>Late</v>
      </c>
      <c r="O89" s="2">
        <f>VLOOKUP(tdata[[#This Row],[Service_Type]],Table2[#All],4,0)</f>
        <v>12000</v>
      </c>
      <c r="P89" s="2">
        <f>tdata[[#This Row],[price_per_kilo]]*tdata[[#This Row],[Weight_KG]]</f>
        <v>99720</v>
      </c>
      <c r="Q89" s="2" t="str">
        <f>VLOOKUP(tdata[[#This Row],[id_employee]],temployee[#All],2,0)</f>
        <v>Jihan Salsabila</v>
      </c>
      <c r="R89" s="2" t="str">
        <f>VLOOKUP(tdata[[#This Row],[id_employee]],temployee[#All],4,0)</f>
        <v>crowd source</v>
      </c>
      <c r="S89" s="9" t="str">
        <f>VLOOKUP(tdata[[#This Row],[id_employee]],temployee[#All],5,0)</f>
        <v>rider</v>
      </c>
    </row>
    <row r="90" spans="2:19" x14ac:dyDescent="0.35">
      <c r="B90" s="8" t="s">
        <v>109</v>
      </c>
      <c r="C90" s="2" t="s">
        <v>1359</v>
      </c>
      <c r="D90" s="5">
        <v>45058</v>
      </c>
      <c r="E90" s="5">
        <f>D90+4</f>
        <v>45062</v>
      </c>
      <c r="F90" s="2" t="s">
        <v>32</v>
      </c>
      <c r="G90" s="2" t="s">
        <v>11</v>
      </c>
      <c r="H90" s="2" t="s">
        <v>1224</v>
      </c>
      <c r="I90" s="2" t="s">
        <v>13</v>
      </c>
      <c r="J90" s="2">
        <v>7.74</v>
      </c>
      <c r="K90" s="2" t="str">
        <f t="shared" si="5"/>
        <v>&gt;5kg</v>
      </c>
      <c r="L90" s="2">
        <f>tdata[[#This Row],[Received_date]]-tdata[[#This Row],[Shipment_Date]]</f>
        <v>4</v>
      </c>
      <c r="M90" s="2">
        <f>VLOOKUP(tdata[[#This Row],[Service_Type]],Table2[#All],2,0)</f>
        <v>3</v>
      </c>
      <c r="N90" s="2" t="str">
        <f>IF(tdata[[#This Row],[Delivery_Days]]&lt;=tdata[[#This Row],[SLA_Days]],"On Time","Late")</f>
        <v>Late</v>
      </c>
      <c r="O90" s="2">
        <f>VLOOKUP(tdata[[#This Row],[Service_Type]],Table2[#All],4,0)</f>
        <v>10000</v>
      </c>
      <c r="P90" s="2">
        <f>tdata[[#This Row],[price_per_kilo]]*tdata[[#This Row],[Weight_KG]]</f>
        <v>77400</v>
      </c>
      <c r="Q90" s="2" t="str">
        <f>VLOOKUP(tdata[[#This Row],[id_employee]],temployee[#All],2,0)</f>
        <v>Koko Santoso</v>
      </c>
      <c r="R90" s="2" t="str">
        <f>VLOOKUP(tdata[[#This Row],[id_employee]],temployee[#All],4,0)</f>
        <v>internal</v>
      </c>
      <c r="S90" s="9" t="str">
        <f>VLOOKUP(tdata[[#This Row],[id_employee]],temployee[#All],5,0)</f>
        <v>rider</v>
      </c>
    </row>
    <row r="91" spans="2:19" x14ac:dyDescent="0.35">
      <c r="B91" s="8" t="s">
        <v>110</v>
      </c>
      <c r="C91" s="2" t="s">
        <v>1360</v>
      </c>
      <c r="D91" s="5">
        <v>45431</v>
      </c>
      <c r="E91" s="5">
        <v>45435</v>
      </c>
      <c r="F91" s="2" t="s">
        <v>16</v>
      </c>
      <c r="G91" s="2" t="s">
        <v>20</v>
      </c>
      <c r="H91" s="2" t="s">
        <v>1224</v>
      </c>
      <c r="I91" s="2" t="s">
        <v>13</v>
      </c>
      <c r="J91" s="2">
        <v>6.25</v>
      </c>
      <c r="K91" s="2" t="str">
        <f t="shared" si="5"/>
        <v>&gt;5kg</v>
      </c>
      <c r="L91" s="2">
        <f>tdata[[#This Row],[Received_date]]-tdata[[#This Row],[Shipment_Date]]</f>
        <v>4</v>
      </c>
      <c r="M91" s="2">
        <f>VLOOKUP(tdata[[#This Row],[Service_Type]],Table2[#All],2,0)</f>
        <v>3</v>
      </c>
      <c r="N91" s="2" t="str">
        <f>IF(tdata[[#This Row],[Delivery_Days]]&lt;=tdata[[#This Row],[SLA_Days]],"On Time","Late")</f>
        <v>Late</v>
      </c>
      <c r="O91" s="2">
        <f>VLOOKUP(tdata[[#This Row],[Service_Type]],Table2[#All],4,0)</f>
        <v>10000</v>
      </c>
      <c r="P91" s="2">
        <f>tdata[[#This Row],[price_per_kilo]]*tdata[[#This Row],[Weight_KG]]</f>
        <v>62500</v>
      </c>
      <c r="Q91" s="2" t="str">
        <f>VLOOKUP(tdata[[#This Row],[id_employee]],temployee[#All],2,0)</f>
        <v>Luthfi Hakim</v>
      </c>
      <c r="R91" s="2" t="str">
        <f>VLOOKUP(tdata[[#This Row],[id_employee]],temployee[#All],4,0)</f>
        <v>crowd source</v>
      </c>
      <c r="S91" s="9" t="str">
        <f>VLOOKUP(tdata[[#This Row],[id_employee]],temployee[#All],5,0)</f>
        <v>driver</v>
      </c>
    </row>
    <row r="92" spans="2:19" x14ac:dyDescent="0.35">
      <c r="B92" s="8" t="s">
        <v>111</v>
      </c>
      <c r="C92" s="2" t="s">
        <v>1361</v>
      </c>
      <c r="D92" s="5">
        <v>45101</v>
      </c>
      <c r="E92" s="5">
        <v>45101</v>
      </c>
      <c r="F92" s="2" t="s">
        <v>26</v>
      </c>
      <c r="G92" s="2" t="s">
        <v>11</v>
      </c>
      <c r="H92" s="2" t="s">
        <v>1224</v>
      </c>
      <c r="I92" s="2" t="s">
        <v>13</v>
      </c>
      <c r="J92" s="2">
        <v>1.54</v>
      </c>
      <c r="K92" s="2" t="str">
        <f t="shared" si="5"/>
        <v>&lt; 5kg</v>
      </c>
      <c r="L92" s="2">
        <f>tdata[[#This Row],[Received_date]]-tdata[[#This Row],[Shipment_Date]]</f>
        <v>0</v>
      </c>
      <c r="M92" s="2">
        <f>VLOOKUP(tdata[[#This Row],[Service_Type]],Table2[#All],2,0)</f>
        <v>3</v>
      </c>
      <c r="N92" s="2" t="str">
        <f>IF(tdata[[#This Row],[Delivery_Days]]&lt;=tdata[[#This Row],[SLA_Days]],"On Time","Late")</f>
        <v>On Time</v>
      </c>
      <c r="O92" s="2">
        <f>VLOOKUP(tdata[[#This Row],[Service_Type]],Table2[#All],4,0)</f>
        <v>10000</v>
      </c>
      <c r="P92" s="2">
        <f>tdata[[#This Row],[price_per_kilo]]*tdata[[#This Row],[Weight_KG]]</f>
        <v>15400</v>
      </c>
      <c r="Q92" s="2" t="str">
        <f>VLOOKUP(tdata[[#This Row],[id_employee]],temployee[#All],2,0)</f>
        <v>Melati Anggraini</v>
      </c>
      <c r="R92" s="2" t="str">
        <f>VLOOKUP(tdata[[#This Row],[id_employee]],temployee[#All],4,0)</f>
        <v>internal</v>
      </c>
      <c r="S92" s="9" t="str">
        <f>VLOOKUP(tdata[[#This Row],[id_employee]],temployee[#All],5,0)</f>
        <v>rider</v>
      </c>
    </row>
    <row r="93" spans="2:19" x14ac:dyDescent="0.35">
      <c r="B93" s="8" t="s">
        <v>112</v>
      </c>
      <c r="C93" s="2" t="s">
        <v>1362</v>
      </c>
      <c r="D93" s="5">
        <v>45017</v>
      </c>
      <c r="E93" s="5">
        <v>45023</v>
      </c>
      <c r="F93" s="2" t="s">
        <v>49</v>
      </c>
      <c r="G93" s="2" t="s">
        <v>20</v>
      </c>
      <c r="H93" s="2" t="s">
        <v>23</v>
      </c>
      <c r="I93" s="2" t="s">
        <v>17</v>
      </c>
      <c r="J93" s="2">
        <v>6.76</v>
      </c>
      <c r="K93" s="2" t="str">
        <f t="shared" si="5"/>
        <v>&gt;5kg</v>
      </c>
      <c r="L93" s="2">
        <f>tdata[[#This Row],[Received_date]]-tdata[[#This Row],[Shipment_Date]]</f>
        <v>6</v>
      </c>
      <c r="M93" s="2">
        <f>VLOOKUP(tdata[[#This Row],[Service_Type]],Table2[#All],2,0)</f>
        <v>5</v>
      </c>
      <c r="N93" s="2" t="str">
        <f>IF(tdata[[#This Row],[Delivery_Days]]&lt;=tdata[[#This Row],[SLA_Days]],"On Time","Late")</f>
        <v>Late</v>
      </c>
      <c r="O93" s="2">
        <f>VLOOKUP(tdata[[#This Row],[Service_Type]],Table2[#All],4,0)</f>
        <v>9000</v>
      </c>
      <c r="P93" s="2">
        <f>tdata[[#This Row],[price_per_kilo]]*tdata[[#This Row],[Weight_KG]]</f>
        <v>60840</v>
      </c>
      <c r="Q93" s="2" t="str">
        <f>VLOOKUP(tdata[[#This Row],[id_employee]],temployee[#All],2,0)</f>
        <v>Naufal Rizky</v>
      </c>
      <c r="R93" s="2" t="str">
        <f>VLOOKUP(tdata[[#This Row],[id_employee]],temployee[#All],4,0)</f>
        <v>internal</v>
      </c>
      <c r="S93" s="9" t="str">
        <f>VLOOKUP(tdata[[#This Row],[id_employee]],temployee[#All],5,0)</f>
        <v>driver</v>
      </c>
    </row>
    <row r="94" spans="2:19" x14ac:dyDescent="0.35">
      <c r="B94" s="8" t="s">
        <v>113</v>
      </c>
      <c r="C94" s="2" t="s">
        <v>1363</v>
      </c>
      <c r="D94" s="5">
        <v>45601</v>
      </c>
      <c r="E94" s="5">
        <f>D94+4</f>
        <v>45605</v>
      </c>
      <c r="F94" s="2" t="s">
        <v>11</v>
      </c>
      <c r="G94" s="2" t="s">
        <v>16</v>
      </c>
      <c r="H94" s="2" t="s">
        <v>1224</v>
      </c>
      <c r="I94" s="2" t="s">
        <v>17</v>
      </c>
      <c r="J94" s="2">
        <v>7.69</v>
      </c>
      <c r="K94" s="2" t="str">
        <f t="shared" si="5"/>
        <v>&gt;5kg</v>
      </c>
      <c r="L94" s="2">
        <f>tdata[[#This Row],[Received_date]]-tdata[[#This Row],[Shipment_Date]]</f>
        <v>4</v>
      </c>
      <c r="M94" s="2">
        <f>VLOOKUP(tdata[[#This Row],[Service_Type]],Table2[#All],2,0)</f>
        <v>3</v>
      </c>
      <c r="N94" s="2" t="str">
        <f>IF(tdata[[#This Row],[Delivery_Days]]&lt;=tdata[[#This Row],[SLA_Days]],"On Time","Late")</f>
        <v>Late</v>
      </c>
      <c r="O94" s="2">
        <f>VLOOKUP(tdata[[#This Row],[Service_Type]],Table2[#All],4,0)</f>
        <v>10000</v>
      </c>
      <c r="P94" s="2">
        <f>tdata[[#This Row],[price_per_kilo]]*tdata[[#This Row],[Weight_KG]]</f>
        <v>76900</v>
      </c>
      <c r="Q94" s="2" t="str">
        <f>VLOOKUP(tdata[[#This Row],[id_employee]],temployee[#All],2,0)</f>
        <v>Olin Febriani</v>
      </c>
      <c r="R94" s="2" t="str">
        <f>VLOOKUP(tdata[[#This Row],[id_employee]],temployee[#All],4,0)</f>
        <v>crowd source</v>
      </c>
      <c r="S94" s="9" t="str">
        <f>VLOOKUP(tdata[[#This Row],[id_employee]],temployee[#All],5,0)</f>
        <v>rider</v>
      </c>
    </row>
    <row r="95" spans="2:19" x14ac:dyDescent="0.35">
      <c r="B95" s="8" t="s">
        <v>114</v>
      </c>
      <c r="C95" s="2" t="s">
        <v>1364</v>
      </c>
      <c r="D95" s="5">
        <v>45536</v>
      </c>
      <c r="E95" s="5">
        <v>45536</v>
      </c>
      <c r="F95" s="2" t="s">
        <v>15</v>
      </c>
      <c r="G95" s="2" t="s">
        <v>26</v>
      </c>
      <c r="H95" s="2" t="s">
        <v>1224</v>
      </c>
      <c r="I95" s="2" t="s">
        <v>13</v>
      </c>
      <c r="J95" s="2">
        <v>5.12</v>
      </c>
      <c r="K95" s="2" t="str">
        <f t="shared" si="5"/>
        <v>&gt;5kg</v>
      </c>
      <c r="L95" s="2">
        <f>tdata[[#This Row],[Received_date]]-tdata[[#This Row],[Shipment_Date]]</f>
        <v>0</v>
      </c>
      <c r="M95" s="2">
        <f>VLOOKUP(tdata[[#This Row],[Service_Type]],Table2[#All],2,0)</f>
        <v>3</v>
      </c>
      <c r="N95" s="2" t="str">
        <f>IF(tdata[[#This Row],[Delivery_Days]]&lt;=tdata[[#This Row],[SLA_Days]],"On Time","Late")</f>
        <v>On Time</v>
      </c>
      <c r="O95" s="2">
        <f>VLOOKUP(tdata[[#This Row],[Service_Type]],Table2[#All],4,0)</f>
        <v>10000</v>
      </c>
      <c r="P95" s="2">
        <f>tdata[[#This Row],[price_per_kilo]]*tdata[[#This Row],[Weight_KG]]</f>
        <v>51200</v>
      </c>
      <c r="Q95" s="2" t="str">
        <f>VLOOKUP(tdata[[#This Row],[id_employee]],temployee[#All],2,0)</f>
        <v>Praditya Wicaksono</v>
      </c>
      <c r="R95" s="2" t="str">
        <f>VLOOKUP(tdata[[#This Row],[id_employee]],temployee[#All],4,0)</f>
        <v>internal</v>
      </c>
      <c r="S95" s="9" t="str">
        <f>VLOOKUP(tdata[[#This Row],[id_employee]],temployee[#All],5,0)</f>
        <v>driver</v>
      </c>
    </row>
    <row r="96" spans="2:19" x14ac:dyDescent="0.35">
      <c r="B96" s="8" t="s">
        <v>115</v>
      </c>
      <c r="C96" s="2" t="s">
        <v>1365</v>
      </c>
      <c r="D96" s="5">
        <v>45081</v>
      </c>
      <c r="E96" s="5">
        <f>D96+4</f>
        <v>45085</v>
      </c>
      <c r="F96" s="2" t="s">
        <v>20</v>
      </c>
      <c r="G96" s="2" t="s">
        <v>12</v>
      </c>
      <c r="H96" s="2" t="s">
        <v>23</v>
      </c>
      <c r="I96" s="2" t="s">
        <v>13</v>
      </c>
      <c r="J96" s="2">
        <v>7.46</v>
      </c>
      <c r="K96" s="2" t="str">
        <f t="shared" si="5"/>
        <v>&gt;5kg</v>
      </c>
      <c r="L96" s="2">
        <f>tdata[[#This Row],[Received_date]]-tdata[[#This Row],[Shipment_Date]]</f>
        <v>4</v>
      </c>
      <c r="M96" s="2">
        <f>VLOOKUP(tdata[[#This Row],[Service_Type]],Table2[#All],2,0)</f>
        <v>5</v>
      </c>
      <c r="N96" s="2" t="str">
        <f>IF(tdata[[#This Row],[Delivery_Days]]&lt;=tdata[[#This Row],[SLA_Days]],"On Time","Late")</f>
        <v>On Time</v>
      </c>
      <c r="O96" s="2">
        <f>VLOOKUP(tdata[[#This Row],[Service_Type]],Table2[#All],4,0)</f>
        <v>9000</v>
      </c>
      <c r="P96" s="2">
        <f>tdata[[#This Row],[price_per_kilo]]*tdata[[#This Row],[Weight_KG]]</f>
        <v>67140</v>
      </c>
      <c r="Q96" s="2" t="str">
        <f>VLOOKUP(tdata[[#This Row],[id_employee]],temployee[#All],2,0)</f>
        <v>Qory Azzahra</v>
      </c>
      <c r="R96" s="2" t="str">
        <f>VLOOKUP(tdata[[#This Row],[id_employee]],temployee[#All],4,0)</f>
        <v>internal</v>
      </c>
      <c r="S96" s="9" t="str">
        <f>VLOOKUP(tdata[[#This Row],[id_employee]],temployee[#All],5,0)</f>
        <v>rider</v>
      </c>
    </row>
    <row r="97" spans="2:19" x14ac:dyDescent="0.35">
      <c r="B97" s="8" t="s">
        <v>116</v>
      </c>
      <c r="C97" s="2" t="s">
        <v>1366</v>
      </c>
      <c r="D97" s="5">
        <v>45315</v>
      </c>
      <c r="E97" s="5">
        <v>45315</v>
      </c>
      <c r="F97" s="2" t="s">
        <v>22</v>
      </c>
      <c r="G97" s="2" t="s">
        <v>16</v>
      </c>
      <c r="H97" s="2" t="s">
        <v>23</v>
      </c>
      <c r="I97" s="2" t="s">
        <v>17</v>
      </c>
      <c r="J97" s="2">
        <v>4.3099999999999996</v>
      </c>
      <c r="K97" s="2" t="str">
        <f t="shared" si="5"/>
        <v>&lt; 5kg</v>
      </c>
      <c r="L97" s="2">
        <f>tdata[[#This Row],[Received_date]]-tdata[[#This Row],[Shipment_Date]]</f>
        <v>0</v>
      </c>
      <c r="M97" s="2">
        <f>VLOOKUP(tdata[[#This Row],[Service_Type]],Table2[#All],2,0)</f>
        <v>5</v>
      </c>
      <c r="N97" s="2" t="str">
        <f>IF(tdata[[#This Row],[Delivery_Days]]&lt;=tdata[[#This Row],[SLA_Days]],"On Time","Late")</f>
        <v>On Time</v>
      </c>
      <c r="O97" s="2">
        <f>VLOOKUP(tdata[[#This Row],[Service_Type]],Table2[#All],4,0)</f>
        <v>9000</v>
      </c>
      <c r="P97" s="2">
        <f>tdata[[#This Row],[price_per_kilo]]*tdata[[#This Row],[Weight_KG]]</f>
        <v>38790</v>
      </c>
      <c r="Q97" s="2" t="str">
        <f>VLOOKUP(tdata[[#This Row],[id_employee]],temployee[#All],2,0)</f>
        <v>Rendi Saputra</v>
      </c>
      <c r="R97" s="2" t="str">
        <f>VLOOKUP(tdata[[#This Row],[id_employee]],temployee[#All],4,0)</f>
        <v>crowd source</v>
      </c>
      <c r="S97" s="9" t="str">
        <f>VLOOKUP(tdata[[#This Row],[id_employee]],temployee[#All],5,0)</f>
        <v>driver</v>
      </c>
    </row>
    <row r="98" spans="2:19" x14ac:dyDescent="0.35">
      <c r="B98" s="8" t="s">
        <v>117</v>
      </c>
      <c r="C98" s="2" t="s">
        <v>1367</v>
      </c>
      <c r="D98" s="5">
        <v>45586</v>
      </c>
      <c r="E98" s="5">
        <f>D98+4</f>
        <v>45590</v>
      </c>
      <c r="F98" s="2" t="s">
        <v>12</v>
      </c>
      <c r="G98" s="2" t="s">
        <v>49</v>
      </c>
      <c r="H98" s="2" t="s">
        <v>23</v>
      </c>
      <c r="I98" s="2" t="s">
        <v>13</v>
      </c>
      <c r="J98" s="2">
        <v>9</v>
      </c>
      <c r="K98" s="2" t="str">
        <f t="shared" si="5"/>
        <v>&gt;5kg</v>
      </c>
      <c r="L98" s="2">
        <f>tdata[[#This Row],[Received_date]]-tdata[[#This Row],[Shipment_Date]]</f>
        <v>4</v>
      </c>
      <c r="M98" s="2">
        <f>VLOOKUP(tdata[[#This Row],[Service_Type]],Table2[#All],2,0)</f>
        <v>5</v>
      </c>
      <c r="N98" s="2" t="str">
        <f>IF(tdata[[#This Row],[Delivery_Days]]&lt;=tdata[[#This Row],[SLA_Days]],"On Time","Late")</f>
        <v>On Time</v>
      </c>
      <c r="O98" s="2">
        <f>VLOOKUP(tdata[[#This Row],[Service_Type]],Table2[#All],4,0)</f>
        <v>9000</v>
      </c>
      <c r="P98" s="2">
        <f>tdata[[#This Row],[price_per_kilo]]*tdata[[#This Row],[Weight_KG]]</f>
        <v>81000</v>
      </c>
      <c r="Q98" s="2" t="str">
        <f>VLOOKUP(tdata[[#This Row],[id_employee]],temployee[#All],2,0)</f>
        <v>Salma Nuraini</v>
      </c>
      <c r="R98" s="2" t="str">
        <f>VLOOKUP(tdata[[#This Row],[id_employee]],temployee[#All],4,0)</f>
        <v>internal</v>
      </c>
      <c r="S98" s="9" t="str">
        <f>VLOOKUP(tdata[[#This Row],[id_employee]],temployee[#All],5,0)</f>
        <v>rider</v>
      </c>
    </row>
    <row r="99" spans="2:19" x14ac:dyDescent="0.35">
      <c r="B99" s="8" t="s">
        <v>118</v>
      </c>
      <c r="C99" s="2" t="s">
        <v>1368</v>
      </c>
      <c r="D99" s="5">
        <v>44932</v>
      </c>
      <c r="E99" s="5">
        <v>44933</v>
      </c>
      <c r="F99" s="2" t="s">
        <v>30</v>
      </c>
      <c r="G99" s="2" t="s">
        <v>26</v>
      </c>
      <c r="H99" s="2" t="s">
        <v>1223</v>
      </c>
      <c r="I99" s="2" t="s">
        <v>17</v>
      </c>
      <c r="J99" s="2">
        <v>8.68</v>
      </c>
      <c r="K99" s="2" t="str">
        <f t="shared" si="5"/>
        <v>&gt;5kg</v>
      </c>
      <c r="L99" s="2">
        <f>tdata[[#This Row],[Received_date]]-tdata[[#This Row],[Shipment_Date]]</f>
        <v>1</v>
      </c>
      <c r="M99" s="2">
        <f>VLOOKUP(tdata[[#This Row],[Service_Type]],Table2[#All],2,0)</f>
        <v>1</v>
      </c>
      <c r="N99" s="2" t="str">
        <f>IF(tdata[[#This Row],[Delivery_Days]]&lt;=tdata[[#This Row],[SLA_Days]],"On Time","Late")</f>
        <v>On Time</v>
      </c>
      <c r="O99" s="2">
        <f>VLOOKUP(tdata[[#This Row],[Service_Type]],Table2[#All],4,0)</f>
        <v>12000</v>
      </c>
      <c r="P99" s="2">
        <f>tdata[[#This Row],[price_per_kilo]]*tdata[[#This Row],[Weight_KG]]</f>
        <v>104160</v>
      </c>
      <c r="Q99" s="2" t="str">
        <f>VLOOKUP(tdata[[#This Row],[id_employee]],temployee[#All],2,0)</f>
        <v>Tegar Prakoso</v>
      </c>
      <c r="R99" s="2" t="str">
        <f>VLOOKUP(tdata[[#This Row],[id_employee]],temployee[#All],4,0)</f>
        <v>internal</v>
      </c>
      <c r="S99" s="9" t="str">
        <f>VLOOKUP(tdata[[#This Row],[id_employee]],temployee[#All],5,0)</f>
        <v>driver</v>
      </c>
    </row>
    <row r="100" spans="2:19" x14ac:dyDescent="0.35">
      <c r="B100" s="8" t="s">
        <v>119</v>
      </c>
      <c r="C100" s="2" t="s">
        <v>1369</v>
      </c>
      <c r="D100" s="5">
        <v>45614</v>
      </c>
      <c r="E100" s="5">
        <v>45624</v>
      </c>
      <c r="F100" s="2" t="s">
        <v>32</v>
      </c>
      <c r="G100" s="2" t="s">
        <v>49</v>
      </c>
      <c r="H100" s="2" t="s">
        <v>1224</v>
      </c>
      <c r="I100" s="2" t="s">
        <v>17</v>
      </c>
      <c r="J100" s="2">
        <v>4.2</v>
      </c>
      <c r="K100" s="2" t="str">
        <f t="shared" si="5"/>
        <v>&lt; 5kg</v>
      </c>
      <c r="L100" s="2">
        <f>tdata[[#This Row],[Received_date]]-tdata[[#This Row],[Shipment_Date]]</f>
        <v>10</v>
      </c>
      <c r="M100" s="2">
        <f>VLOOKUP(tdata[[#This Row],[Service_Type]],Table2[#All],2,0)</f>
        <v>3</v>
      </c>
      <c r="N100" s="2" t="str">
        <f>IF(tdata[[#This Row],[Delivery_Days]]&lt;=tdata[[#This Row],[SLA_Days]],"On Time","Late")</f>
        <v>Late</v>
      </c>
      <c r="O100" s="2">
        <f>VLOOKUP(tdata[[#This Row],[Service_Type]],Table2[#All],4,0)</f>
        <v>10000</v>
      </c>
      <c r="P100" s="2">
        <f>tdata[[#This Row],[price_per_kilo]]*tdata[[#This Row],[Weight_KG]]</f>
        <v>42000</v>
      </c>
      <c r="Q100" s="2" t="str">
        <f>VLOOKUP(tdata[[#This Row],[id_employee]],temployee[#All],2,0)</f>
        <v>Ulfa Khairunnisa</v>
      </c>
      <c r="R100" s="2" t="str">
        <f>VLOOKUP(tdata[[#This Row],[id_employee]],temployee[#All],4,0)</f>
        <v>crowd source</v>
      </c>
      <c r="S100" s="9" t="str">
        <f>VLOOKUP(tdata[[#This Row],[id_employee]],temployee[#All],5,0)</f>
        <v>rider</v>
      </c>
    </row>
    <row r="101" spans="2:19" x14ac:dyDescent="0.35">
      <c r="B101" s="8" t="s">
        <v>120</v>
      </c>
      <c r="C101" s="2" t="s">
        <v>1370</v>
      </c>
      <c r="D101" s="5">
        <v>45080</v>
      </c>
      <c r="E101" s="5">
        <f>D101+4</f>
        <v>45084</v>
      </c>
      <c r="F101" s="2" t="s">
        <v>16</v>
      </c>
      <c r="G101" s="2" t="s">
        <v>15</v>
      </c>
      <c r="H101" s="2" t="s">
        <v>1223</v>
      </c>
      <c r="I101" s="2" t="s">
        <v>17</v>
      </c>
      <c r="J101" s="2">
        <v>5.2</v>
      </c>
      <c r="K101" s="2" t="str">
        <f t="shared" si="5"/>
        <v>&gt;5kg</v>
      </c>
      <c r="L101" s="2">
        <f>tdata[[#This Row],[Received_date]]-tdata[[#This Row],[Shipment_Date]]</f>
        <v>4</v>
      </c>
      <c r="M101" s="2">
        <f>VLOOKUP(tdata[[#This Row],[Service_Type]],Table2[#All],2,0)</f>
        <v>1</v>
      </c>
      <c r="N101" s="2" t="str">
        <f>IF(tdata[[#This Row],[Delivery_Days]]&lt;=tdata[[#This Row],[SLA_Days]],"On Time","Late")</f>
        <v>Late</v>
      </c>
      <c r="O101" s="2">
        <f>VLOOKUP(tdata[[#This Row],[Service_Type]],Table2[#All],4,0)</f>
        <v>12000</v>
      </c>
      <c r="P101" s="2">
        <f>tdata[[#This Row],[price_per_kilo]]*tdata[[#This Row],[Weight_KG]]</f>
        <v>62400</v>
      </c>
      <c r="Q101" s="2" t="str">
        <f>VLOOKUP(tdata[[#This Row],[id_employee]],temployee[#All],2,0)</f>
        <v>Vito Mahendra</v>
      </c>
      <c r="R101" s="2" t="str">
        <f>VLOOKUP(tdata[[#This Row],[id_employee]],temployee[#All],4,0)</f>
        <v>internal</v>
      </c>
      <c r="S101" s="9" t="str">
        <f>VLOOKUP(tdata[[#This Row],[id_employee]],temployee[#All],5,0)</f>
        <v>rider</v>
      </c>
    </row>
    <row r="102" spans="2:19" x14ac:dyDescent="0.35">
      <c r="B102" s="8" t="s">
        <v>121</v>
      </c>
      <c r="C102" s="2" t="s">
        <v>1371</v>
      </c>
      <c r="D102" s="5">
        <v>45022</v>
      </c>
      <c r="E102" s="5">
        <v>45029</v>
      </c>
      <c r="F102" s="2" t="s">
        <v>26</v>
      </c>
      <c r="G102" s="2" t="s">
        <v>20</v>
      </c>
      <c r="H102" s="2" t="s">
        <v>1224</v>
      </c>
      <c r="I102" s="2" t="s">
        <v>13</v>
      </c>
      <c r="J102" s="2">
        <v>3.26</v>
      </c>
      <c r="K102" s="2" t="str">
        <f t="shared" si="5"/>
        <v>&lt; 5kg</v>
      </c>
      <c r="L102" s="2">
        <f>tdata[[#This Row],[Received_date]]-tdata[[#This Row],[Shipment_Date]]</f>
        <v>7</v>
      </c>
      <c r="M102" s="2">
        <f>VLOOKUP(tdata[[#This Row],[Service_Type]],Table2[#All],2,0)</f>
        <v>3</v>
      </c>
      <c r="N102" s="2" t="str">
        <f>IF(tdata[[#This Row],[Delivery_Days]]&lt;=tdata[[#This Row],[SLA_Days]],"On Time","Late")</f>
        <v>Late</v>
      </c>
      <c r="O102" s="2">
        <f>VLOOKUP(tdata[[#This Row],[Service_Type]],Table2[#All],4,0)</f>
        <v>10000</v>
      </c>
      <c r="P102" s="2">
        <f>tdata[[#This Row],[price_per_kilo]]*tdata[[#This Row],[Weight_KG]]</f>
        <v>32599.999999999996</v>
      </c>
      <c r="Q102" s="2" t="str">
        <f>VLOOKUP(tdata[[#This Row],[id_employee]],temployee[#All],2,0)</f>
        <v>Winda Sari</v>
      </c>
      <c r="R102" s="2" t="str">
        <f>VLOOKUP(tdata[[#This Row],[id_employee]],temployee[#All],4,0)</f>
        <v>internal</v>
      </c>
      <c r="S102" s="9" t="str">
        <f>VLOOKUP(tdata[[#This Row],[id_employee]],temployee[#All],5,0)</f>
        <v>rider</v>
      </c>
    </row>
    <row r="103" spans="2:19" x14ac:dyDescent="0.35">
      <c r="B103" s="8" t="s">
        <v>122</v>
      </c>
      <c r="C103" s="2" t="s">
        <v>1372</v>
      </c>
      <c r="D103" s="5">
        <v>45517</v>
      </c>
      <c r="E103" s="5">
        <v>45520</v>
      </c>
      <c r="F103" s="2" t="s">
        <v>49</v>
      </c>
      <c r="G103" s="2" t="s">
        <v>26</v>
      </c>
      <c r="H103" s="2" t="s">
        <v>1224</v>
      </c>
      <c r="I103" s="2" t="s">
        <v>17</v>
      </c>
      <c r="J103" s="2">
        <v>10.33</v>
      </c>
      <c r="K103" s="2" t="str">
        <f t="shared" si="5"/>
        <v>&gt;5kg</v>
      </c>
      <c r="L103" s="2">
        <f>tdata[[#This Row],[Received_date]]-tdata[[#This Row],[Shipment_Date]]</f>
        <v>3</v>
      </c>
      <c r="M103" s="2">
        <f>VLOOKUP(tdata[[#This Row],[Service_Type]],Table2[#All],2,0)</f>
        <v>3</v>
      </c>
      <c r="N103" s="2" t="str">
        <f>IF(tdata[[#This Row],[Delivery_Days]]&lt;=tdata[[#This Row],[SLA_Days]],"On Time","Late")</f>
        <v>On Time</v>
      </c>
      <c r="O103" s="2">
        <f>VLOOKUP(tdata[[#This Row],[Service_Type]],Table2[#All],4,0)</f>
        <v>10000</v>
      </c>
      <c r="P103" s="2">
        <f>tdata[[#This Row],[price_per_kilo]]*tdata[[#This Row],[Weight_KG]]</f>
        <v>103300</v>
      </c>
      <c r="Q103" s="2" t="str">
        <f>VLOOKUP(tdata[[#This Row],[id_employee]],temployee[#All],2,0)</f>
        <v>Yusuf Al Ghazali</v>
      </c>
      <c r="R103" s="2" t="str">
        <f>VLOOKUP(tdata[[#This Row],[id_employee]],temployee[#All],4,0)</f>
        <v>crowd source</v>
      </c>
      <c r="S103" s="9" t="str">
        <f>VLOOKUP(tdata[[#This Row],[id_employee]],temployee[#All],5,0)</f>
        <v>driver</v>
      </c>
    </row>
    <row r="104" spans="2:19" x14ac:dyDescent="0.35">
      <c r="B104" s="8" t="s">
        <v>123</v>
      </c>
      <c r="C104" s="2" t="s">
        <v>1273</v>
      </c>
      <c r="D104" s="5">
        <v>45008</v>
      </c>
      <c r="E104" s="5">
        <v>45008</v>
      </c>
      <c r="F104" s="2" t="s">
        <v>11</v>
      </c>
      <c r="G104" s="2" t="s">
        <v>32</v>
      </c>
      <c r="H104" s="2" t="s">
        <v>23</v>
      </c>
      <c r="I104" s="2" t="s">
        <v>17</v>
      </c>
      <c r="J104" s="2">
        <v>0.64</v>
      </c>
      <c r="K104" s="2" t="str">
        <f t="shared" si="5"/>
        <v>&lt; 5kg</v>
      </c>
      <c r="L104" s="2">
        <f>tdata[[#This Row],[Received_date]]-tdata[[#This Row],[Shipment_Date]]</f>
        <v>0</v>
      </c>
      <c r="M104" s="2">
        <f>VLOOKUP(tdata[[#This Row],[Service_Type]],Table2[#All],2,0)</f>
        <v>5</v>
      </c>
      <c r="N104" s="2" t="str">
        <f>IF(tdata[[#This Row],[Delivery_Days]]&lt;=tdata[[#This Row],[SLA_Days]],"On Time","Late")</f>
        <v>On Time</v>
      </c>
      <c r="O104" s="2">
        <f>VLOOKUP(tdata[[#This Row],[Service_Type]],Table2[#All],4,0)</f>
        <v>9000</v>
      </c>
      <c r="P104" s="2">
        <f>tdata[[#This Row],[price_per_kilo]]*tdata[[#This Row],[Weight_KG]]</f>
        <v>5760</v>
      </c>
      <c r="Q104" s="2" t="str">
        <f>VLOOKUP(tdata[[#This Row],[id_employee]],temployee[#All],2,0)</f>
        <v>Andi Pratama</v>
      </c>
      <c r="R104" s="2" t="str">
        <f>VLOOKUP(tdata[[#This Row],[id_employee]],temployee[#All],4,0)</f>
        <v>internal</v>
      </c>
      <c r="S104" s="9" t="str">
        <f>VLOOKUP(tdata[[#This Row],[id_employee]],temployee[#All],5,0)</f>
        <v>rider</v>
      </c>
    </row>
    <row r="105" spans="2:19" x14ac:dyDescent="0.35">
      <c r="B105" s="8" t="s">
        <v>124</v>
      </c>
      <c r="C105" s="2" t="s">
        <v>1274</v>
      </c>
      <c r="D105" s="5">
        <v>45544</v>
      </c>
      <c r="E105" s="5">
        <v>45546</v>
      </c>
      <c r="F105" s="2" t="s">
        <v>15</v>
      </c>
      <c r="G105" s="2" t="s">
        <v>20</v>
      </c>
      <c r="H105" s="2" t="s">
        <v>1223</v>
      </c>
      <c r="I105" s="2" t="s">
        <v>17</v>
      </c>
      <c r="J105" s="2">
        <v>3.15</v>
      </c>
      <c r="K105" s="2" t="str">
        <f t="shared" si="5"/>
        <v>&lt; 5kg</v>
      </c>
      <c r="L105" s="2">
        <f>tdata[[#This Row],[Received_date]]-tdata[[#This Row],[Shipment_Date]]</f>
        <v>2</v>
      </c>
      <c r="M105" s="2">
        <f>VLOOKUP(tdata[[#This Row],[Service_Type]],Table2[#All],2,0)</f>
        <v>1</v>
      </c>
      <c r="N105" s="2" t="str">
        <f>IF(tdata[[#This Row],[Delivery_Days]]&lt;=tdata[[#This Row],[SLA_Days]],"On Time","Late")</f>
        <v>Late</v>
      </c>
      <c r="O105" s="2">
        <f>VLOOKUP(tdata[[#This Row],[Service_Type]],Table2[#All],4,0)</f>
        <v>12000</v>
      </c>
      <c r="P105" s="2">
        <f>tdata[[#This Row],[price_per_kilo]]*tdata[[#This Row],[Weight_KG]]</f>
        <v>37800</v>
      </c>
      <c r="Q105" s="2" t="str">
        <f>VLOOKUP(tdata[[#This Row],[id_employee]],temployee[#All],2,0)</f>
        <v>Budi Santoso</v>
      </c>
      <c r="R105" s="2" t="str">
        <f>VLOOKUP(tdata[[#This Row],[id_employee]],temployee[#All],4,0)</f>
        <v>internal</v>
      </c>
      <c r="S105" s="9" t="str">
        <f>VLOOKUP(tdata[[#This Row],[id_employee]],temployee[#All],5,0)</f>
        <v>driver</v>
      </c>
    </row>
    <row r="106" spans="2:19" x14ac:dyDescent="0.35">
      <c r="B106" s="8" t="s">
        <v>125</v>
      </c>
      <c r="C106" s="2" t="s">
        <v>1275</v>
      </c>
      <c r="D106" s="5">
        <v>45096</v>
      </c>
      <c r="E106" s="5">
        <f>D106+4</f>
        <v>45100</v>
      </c>
      <c r="F106" s="2" t="s">
        <v>20</v>
      </c>
      <c r="G106" s="2" t="s">
        <v>22</v>
      </c>
      <c r="H106" s="2" t="s">
        <v>1224</v>
      </c>
      <c r="I106" s="2" t="s">
        <v>17</v>
      </c>
      <c r="J106" s="2">
        <v>9.0299999999999994</v>
      </c>
      <c r="K106" s="2" t="str">
        <f t="shared" si="5"/>
        <v>&gt;5kg</v>
      </c>
      <c r="L106" s="2">
        <f>tdata[[#This Row],[Received_date]]-tdata[[#This Row],[Shipment_Date]]</f>
        <v>4</v>
      </c>
      <c r="M106" s="2">
        <f>VLOOKUP(tdata[[#This Row],[Service_Type]],Table2[#All],2,0)</f>
        <v>3</v>
      </c>
      <c r="N106" s="2" t="str">
        <f>IF(tdata[[#This Row],[Delivery_Days]]&lt;=tdata[[#This Row],[SLA_Days]],"On Time","Late")</f>
        <v>Late</v>
      </c>
      <c r="O106" s="2">
        <f>VLOOKUP(tdata[[#This Row],[Service_Type]],Table2[#All],4,0)</f>
        <v>10000</v>
      </c>
      <c r="P106" s="2">
        <f>tdata[[#This Row],[price_per_kilo]]*tdata[[#This Row],[Weight_KG]]</f>
        <v>90300</v>
      </c>
      <c r="Q106" s="2" t="str">
        <f>VLOOKUP(tdata[[#This Row],[id_employee]],temployee[#All],2,0)</f>
        <v>Citra Lestari</v>
      </c>
      <c r="R106" s="2" t="str">
        <f>VLOOKUP(tdata[[#This Row],[id_employee]],temployee[#All],4,0)</f>
        <v>crowd source</v>
      </c>
      <c r="S106" s="9" t="str">
        <f>VLOOKUP(tdata[[#This Row],[id_employee]],temployee[#All],5,0)</f>
        <v>rider</v>
      </c>
    </row>
    <row r="107" spans="2:19" x14ac:dyDescent="0.35">
      <c r="B107" s="8" t="s">
        <v>126</v>
      </c>
      <c r="C107" s="2" t="s">
        <v>1276</v>
      </c>
      <c r="D107" s="5">
        <v>45404</v>
      </c>
      <c r="E107" s="5">
        <v>45405</v>
      </c>
      <c r="F107" s="2" t="s">
        <v>22</v>
      </c>
      <c r="G107" s="2" t="s">
        <v>16</v>
      </c>
      <c r="H107" s="2" t="s">
        <v>1223</v>
      </c>
      <c r="I107" s="2" t="s">
        <v>13</v>
      </c>
      <c r="J107" s="2">
        <v>3.59</v>
      </c>
      <c r="K107" s="2" t="str">
        <f t="shared" si="5"/>
        <v>&lt; 5kg</v>
      </c>
      <c r="L107" s="2">
        <f>tdata[[#This Row],[Received_date]]-tdata[[#This Row],[Shipment_Date]]</f>
        <v>1</v>
      </c>
      <c r="M107" s="2">
        <f>VLOOKUP(tdata[[#This Row],[Service_Type]],Table2[#All],2,0)</f>
        <v>1</v>
      </c>
      <c r="N107" s="2" t="str">
        <f>IF(tdata[[#This Row],[Delivery_Days]]&lt;=tdata[[#This Row],[SLA_Days]],"On Time","Late")</f>
        <v>On Time</v>
      </c>
      <c r="O107" s="2">
        <f>VLOOKUP(tdata[[#This Row],[Service_Type]],Table2[#All],4,0)</f>
        <v>12000</v>
      </c>
      <c r="P107" s="2">
        <f>tdata[[#This Row],[price_per_kilo]]*tdata[[#This Row],[Weight_KG]]</f>
        <v>43080</v>
      </c>
      <c r="Q107" s="2" t="str">
        <f>VLOOKUP(tdata[[#This Row],[id_employee]],temployee[#All],2,0)</f>
        <v>Dedi Saputra</v>
      </c>
      <c r="R107" s="2" t="str">
        <f>VLOOKUP(tdata[[#This Row],[id_employee]],temployee[#All],4,0)</f>
        <v>crowd source</v>
      </c>
      <c r="S107" s="9" t="str">
        <f>VLOOKUP(tdata[[#This Row],[id_employee]],temployee[#All],5,0)</f>
        <v>driver</v>
      </c>
    </row>
    <row r="108" spans="2:19" x14ac:dyDescent="0.35">
      <c r="B108" s="8" t="s">
        <v>127</v>
      </c>
      <c r="C108" s="2" t="s">
        <v>1277</v>
      </c>
      <c r="D108" s="5">
        <v>44996</v>
      </c>
      <c r="E108" s="5">
        <v>44996</v>
      </c>
      <c r="F108" s="2" t="s">
        <v>12</v>
      </c>
      <c r="G108" s="2" t="s">
        <v>11</v>
      </c>
      <c r="H108" s="2" t="s">
        <v>1224</v>
      </c>
      <c r="I108" s="2" t="s">
        <v>17</v>
      </c>
      <c r="J108" s="2">
        <v>1.1599999999999999</v>
      </c>
      <c r="K108" s="2" t="str">
        <f t="shared" si="5"/>
        <v>&lt; 5kg</v>
      </c>
      <c r="L108" s="2">
        <f>tdata[[#This Row],[Received_date]]-tdata[[#This Row],[Shipment_Date]]</f>
        <v>0</v>
      </c>
      <c r="M108" s="2">
        <f>VLOOKUP(tdata[[#This Row],[Service_Type]],Table2[#All],2,0)</f>
        <v>3</v>
      </c>
      <c r="N108" s="2" t="str">
        <f>IF(tdata[[#This Row],[Delivery_Days]]&lt;=tdata[[#This Row],[SLA_Days]],"On Time","Late")</f>
        <v>On Time</v>
      </c>
      <c r="O108" s="2">
        <f>VLOOKUP(tdata[[#This Row],[Service_Type]],Table2[#All],4,0)</f>
        <v>10000</v>
      </c>
      <c r="P108" s="2">
        <f>tdata[[#This Row],[price_per_kilo]]*tdata[[#This Row],[Weight_KG]]</f>
        <v>11600</v>
      </c>
      <c r="Q108" s="2" t="str">
        <f>VLOOKUP(tdata[[#This Row],[id_employee]],temployee[#All],2,0)</f>
        <v>Eko Nugroho</v>
      </c>
      <c r="R108" s="2" t="str">
        <f>VLOOKUP(tdata[[#This Row],[id_employee]],temployee[#All],4,0)</f>
        <v>internal</v>
      </c>
      <c r="S108" s="9" t="str">
        <f>VLOOKUP(tdata[[#This Row],[id_employee]],temployee[#All],5,0)</f>
        <v>rider</v>
      </c>
    </row>
    <row r="109" spans="2:19" x14ac:dyDescent="0.35">
      <c r="B109" s="8" t="s">
        <v>128</v>
      </c>
      <c r="C109" s="2" t="s">
        <v>1278</v>
      </c>
      <c r="D109" s="5">
        <v>45332</v>
      </c>
      <c r="E109" s="5">
        <v>45340</v>
      </c>
      <c r="F109" s="2" t="s">
        <v>30</v>
      </c>
      <c r="G109" s="2" t="s">
        <v>20</v>
      </c>
      <c r="H109" s="2" t="s">
        <v>23</v>
      </c>
      <c r="I109" s="2" t="s">
        <v>13</v>
      </c>
      <c r="J109" s="2">
        <v>3.61</v>
      </c>
      <c r="K109" s="2" t="str">
        <f t="shared" si="5"/>
        <v>&lt; 5kg</v>
      </c>
      <c r="L109" s="2">
        <f>tdata[[#This Row],[Received_date]]-tdata[[#This Row],[Shipment_Date]]</f>
        <v>8</v>
      </c>
      <c r="M109" s="2">
        <f>VLOOKUP(tdata[[#This Row],[Service_Type]],Table2[#All],2,0)</f>
        <v>5</v>
      </c>
      <c r="N109" s="2" t="str">
        <f>IF(tdata[[#This Row],[Delivery_Days]]&lt;=tdata[[#This Row],[SLA_Days]],"On Time","Late")</f>
        <v>Late</v>
      </c>
      <c r="O109" s="2">
        <f>VLOOKUP(tdata[[#This Row],[Service_Type]],Table2[#All],4,0)</f>
        <v>9000</v>
      </c>
      <c r="P109" s="2">
        <f>tdata[[#This Row],[price_per_kilo]]*tdata[[#This Row],[Weight_KG]]</f>
        <v>32490</v>
      </c>
      <c r="Q109" s="2" t="str">
        <f>VLOOKUP(tdata[[#This Row],[id_employee]],temployee[#All],2,0)</f>
        <v>Fajar Hidayat</v>
      </c>
      <c r="R109" s="2" t="str">
        <f>VLOOKUP(tdata[[#This Row],[id_employee]],temployee[#All],4,0)</f>
        <v>internal</v>
      </c>
      <c r="S109" s="9" t="str">
        <f>VLOOKUP(tdata[[#This Row],[id_employee]],temployee[#All],5,0)</f>
        <v>driver</v>
      </c>
    </row>
    <row r="110" spans="2:19" x14ac:dyDescent="0.35">
      <c r="B110" s="8" t="s">
        <v>129</v>
      </c>
      <c r="C110" s="2" t="s">
        <v>1279</v>
      </c>
      <c r="D110" s="5">
        <v>45116</v>
      </c>
      <c r="E110" s="5">
        <f>D110+4</f>
        <v>45120</v>
      </c>
      <c r="F110" s="2" t="s">
        <v>32</v>
      </c>
      <c r="G110" s="2" t="s">
        <v>16</v>
      </c>
      <c r="H110" s="2" t="s">
        <v>1224</v>
      </c>
      <c r="I110" s="2" t="s">
        <v>13</v>
      </c>
      <c r="J110" s="2">
        <v>10.4</v>
      </c>
      <c r="K110" s="2" t="str">
        <f t="shared" si="5"/>
        <v>&gt;5kg</v>
      </c>
      <c r="L110" s="2">
        <f>tdata[[#This Row],[Received_date]]-tdata[[#This Row],[Shipment_Date]]</f>
        <v>4</v>
      </c>
      <c r="M110" s="2">
        <f>VLOOKUP(tdata[[#This Row],[Service_Type]],Table2[#All],2,0)</f>
        <v>3</v>
      </c>
      <c r="N110" s="2" t="str">
        <f>IF(tdata[[#This Row],[Delivery_Days]]&lt;=tdata[[#This Row],[SLA_Days]],"On Time","Late")</f>
        <v>Late</v>
      </c>
      <c r="O110" s="2">
        <f>VLOOKUP(tdata[[#This Row],[Service_Type]],Table2[#All],4,0)</f>
        <v>10000</v>
      </c>
      <c r="P110" s="2">
        <f>tdata[[#This Row],[price_per_kilo]]*tdata[[#This Row],[Weight_KG]]</f>
        <v>104000</v>
      </c>
      <c r="Q110" s="2" t="str">
        <f>VLOOKUP(tdata[[#This Row],[id_employee]],temployee[#All],2,0)</f>
        <v>Gita Rahmawati</v>
      </c>
      <c r="R110" s="2" t="str">
        <f>VLOOKUP(tdata[[#This Row],[id_employee]],temployee[#All],4,0)</f>
        <v>crowd source</v>
      </c>
      <c r="S110" s="9" t="str">
        <f>VLOOKUP(tdata[[#This Row],[id_employee]],temployee[#All],5,0)</f>
        <v>rider</v>
      </c>
    </row>
    <row r="111" spans="2:19" x14ac:dyDescent="0.35">
      <c r="B111" s="8" t="s">
        <v>130</v>
      </c>
      <c r="C111" s="2" t="s">
        <v>1280</v>
      </c>
      <c r="D111" s="5">
        <v>45373</v>
      </c>
      <c r="E111" s="5">
        <v>45374</v>
      </c>
      <c r="F111" s="2" t="s">
        <v>16</v>
      </c>
      <c r="G111" s="2" t="s">
        <v>15</v>
      </c>
      <c r="H111" s="2" t="s">
        <v>1223</v>
      </c>
      <c r="I111" s="2" t="s">
        <v>17</v>
      </c>
      <c r="J111" s="2">
        <v>5.74</v>
      </c>
      <c r="K111" s="2" t="str">
        <f t="shared" si="5"/>
        <v>&gt;5kg</v>
      </c>
      <c r="L111" s="2">
        <f>tdata[[#This Row],[Received_date]]-tdata[[#This Row],[Shipment_Date]]</f>
        <v>1</v>
      </c>
      <c r="M111" s="2">
        <f>VLOOKUP(tdata[[#This Row],[Service_Type]],Table2[#All],2,0)</f>
        <v>1</v>
      </c>
      <c r="N111" s="2" t="str">
        <f>IF(tdata[[#This Row],[Delivery_Days]]&lt;=tdata[[#This Row],[SLA_Days]],"On Time","Late")</f>
        <v>On Time</v>
      </c>
      <c r="O111" s="2">
        <f>VLOOKUP(tdata[[#This Row],[Service_Type]],Table2[#All],4,0)</f>
        <v>12000</v>
      </c>
      <c r="P111" s="2">
        <f>tdata[[#This Row],[price_per_kilo]]*tdata[[#This Row],[Weight_KG]]</f>
        <v>68880</v>
      </c>
      <c r="Q111" s="2" t="str">
        <f>VLOOKUP(tdata[[#This Row],[id_employee]],temployee[#All],2,0)</f>
        <v>Hendra Wijaya</v>
      </c>
      <c r="R111" s="2" t="str">
        <f>VLOOKUP(tdata[[#This Row],[id_employee]],temployee[#All],4,0)</f>
        <v>internal</v>
      </c>
      <c r="S111" s="9" t="str">
        <f>VLOOKUP(tdata[[#This Row],[id_employee]],temployee[#All],5,0)</f>
        <v>driver</v>
      </c>
    </row>
    <row r="112" spans="2:19" x14ac:dyDescent="0.35">
      <c r="B112" s="8" t="s">
        <v>131</v>
      </c>
      <c r="C112" s="2" t="s">
        <v>1281</v>
      </c>
      <c r="D112" s="5">
        <v>45300</v>
      </c>
      <c r="E112" s="5">
        <f>D112+4</f>
        <v>45304</v>
      </c>
      <c r="F112" s="2" t="s">
        <v>26</v>
      </c>
      <c r="G112" s="2" t="s">
        <v>30</v>
      </c>
      <c r="H112" s="2" t="s">
        <v>23</v>
      </c>
      <c r="I112" s="2" t="s">
        <v>17</v>
      </c>
      <c r="J112" s="2">
        <v>5.48</v>
      </c>
      <c r="K112" s="2" t="str">
        <f t="shared" si="5"/>
        <v>&gt;5kg</v>
      </c>
      <c r="L112" s="2">
        <f>tdata[[#This Row],[Received_date]]-tdata[[#This Row],[Shipment_Date]]</f>
        <v>4</v>
      </c>
      <c r="M112" s="2">
        <f>VLOOKUP(tdata[[#This Row],[Service_Type]],Table2[#All],2,0)</f>
        <v>5</v>
      </c>
      <c r="N112" s="2" t="str">
        <f>IF(tdata[[#This Row],[Delivery_Days]]&lt;=tdata[[#This Row],[SLA_Days]],"On Time","Late")</f>
        <v>On Time</v>
      </c>
      <c r="O112" s="2">
        <f>VLOOKUP(tdata[[#This Row],[Service_Type]],Table2[#All],4,0)</f>
        <v>9000</v>
      </c>
      <c r="P112" s="2">
        <f>tdata[[#This Row],[price_per_kilo]]*tdata[[#This Row],[Weight_KG]]</f>
        <v>49320.000000000007</v>
      </c>
      <c r="Q112" s="2" t="str">
        <f>VLOOKUP(tdata[[#This Row],[id_employee]],temployee[#All],2,0)</f>
        <v>Indah Permata</v>
      </c>
      <c r="R112" s="2" t="str">
        <f>VLOOKUP(tdata[[#This Row],[id_employee]],temployee[#All],4,0)</f>
        <v>crowd source</v>
      </c>
      <c r="S112" s="9" t="str">
        <f>VLOOKUP(tdata[[#This Row],[id_employee]],temployee[#All],5,0)</f>
        <v>rider</v>
      </c>
    </row>
    <row r="113" spans="2:19" x14ac:dyDescent="0.35">
      <c r="B113" s="8" t="s">
        <v>132</v>
      </c>
      <c r="C113" s="2" t="s">
        <v>1282</v>
      </c>
      <c r="D113" s="5">
        <v>45137</v>
      </c>
      <c r="E113" s="5">
        <v>45147</v>
      </c>
      <c r="F113" s="2" t="s">
        <v>49</v>
      </c>
      <c r="G113" s="2" t="s">
        <v>49</v>
      </c>
      <c r="H113" s="2" t="s">
        <v>1223</v>
      </c>
      <c r="I113" s="2" t="s">
        <v>17</v>
      </c>
      <c r="J113" s="2">
        <v>3.66</v>
      </c>
      <c r="K113" s="2" t="str">
        <f t="shared" si="5"/>
        <v>&lt; 5kg</v>
      </c>
      <c r="L113" s="2">
        <f>tdata[[#This Row],[Received_date]]-tdata[[#This Row],[Shipment_Date]]</f>
        <v>10</v>
      </c>
      <c r="M113" s="2">
        <f>VLOOKUP(tdata[[#This Row],[Service_Type]],Table2[#All],2,0)</f>
        <v>1</v>
      </c>
      <c r="N113" s="2" t="str">
        <f>IF(tdata[[#This Row],[Delivery_Days]]&lt;=tdata[[#This Row],[SLA_Days]],"On Time","Late")</f>
        <v>Late</v>
      </c>
      <c r="O113" s="2">
        <f>VLOOKUP(tdata[[#This Row],[Service_Type]],Table2[#All],4,0)</f>
        <v>12000</v>
      </c>
      <c r="P113" s="2">
        <f>tdata[[#This Row],[price_per_kilo]]*tdata[[#This Row],[Weight_KG]]</f>
        <v>43920</v>
      </c>
      <c r="Q113" s="2" t="str">
        <f>VLOOKUP(tdata[[#This Row],[id_employee]],temployee[#All],2,0)</f>
        <v>Joko Susilo</v>
      </c>
      <c r="R113" s="2" t="str">
        <f>VLOOKUP(tdata[[#This Row],[id_employee]],temployee[#All],4,0)</f>
        <v>internal</v>
      </c>
      <c r="S113" s="9" t="str">
        <f>VLOOKUP(tdata[[#This Row],[id_employee]],temployee[#All],5,0)</f>
        <v>driver</v>
      </c>
    </row>
    <row r="114" spans="2:19" x14ac:dyDescent="0.35">
      <c r="B114" s="8" t="s">
        <v>133</v>
      </c>
      <c r="C114" s="2" t="s">
        <v>1283</v>
      </c>
      <c r="D114" s="5">
        <v>45375</v>
      </c>
      <c r="E114" s="5">
        <v>45380</v>
      </c>
      <c r="F114" s="2" t="s">
        <v>11</v>
      </c>
      <c r="G114" s="2" t="s">
        <v>12</v>
      </c>
      <c r="H114" s="2" t="s">
        <v>23</v>
      </c>
      <c r="I114" s="2" t="s">
        <v>17</v>
      </c>
      <c r="J114" s="2">
        <v>5.0199999999999996</v>
      </c>
      <c r="K114" s="2" t="str">
        <f t="shared" si="5"/>
        <v>&gt;5kg</v>
      </c>
      <c r="L114" s="2">
        <f>tdata[[#This Row],[Received_date]]-tdata[[#This Row],[Shipment_Date]]</f>
        <v>5</v>
      </c>
      <c r="M114" s="2">
        <f>VLOOKUP(tdata[[#This Row],[Service_Type]],Table2[#All],2,0)</f>
        <v>5</v>
      </c>
      <c r="N114" s="2" t="str">
        <f>IF(tdata[[#This Row],[Delivery_Days]]&lt;=tdata[[#This Row],[SLA_Days]],"On Time","Late")</f>
        <v>On Time</v>
      </c>
      <c r="O114" s="2">
        <f>VLOOKUP(tdata[[#This Row],[Service_Type]],Table2[#All],4,0)</f>
        <v>9000</v>
      </c>
      <c r="P114" s="2">
        <f>tdata[[#This Row],[price_per_kilo]]*tdata[[#This Row],[Weight_KG]]</f>
        <v>45179.999999999993</v>
      </c>
      <c r="Q114" s="2" t="str">
        <f>VLOOKUP(tdata[[#This Row],[id_employee]],temployee[#All],2,0)</f>
        <v>Kurniawan Putra</v>
      </c>
      <c r="R114" s="2" t="str">
        <f>VLOOKUP(tdata[[#This Row],[id_employee]],temployee[#All],4,0)</f>
        <v>crowd source</v>
      </c>
      <c r="S114" s="9" t="str">
        <f>VLOOKUP(tdata[[#This Row],[id_employee]],temployee[#All],5,0)</f>
        <v>driver</v>
      </c>
    </row>
    <row r="115" spans="2:19" x14ac:dyDescent="0.35">
      <c r="B115" s="8" t="s">
        <v>134</v>
      </c>
      <c r="C115" s="2" t="s">
        <v>1284</v>
      </c>
      <c r="D115" s="5">
        <v>45039</v>
      </c>
      <c r="E115" s="5">
        <v>45040</v>
      </c>
      <c r="F115" s="2" t="s">
        <v>15</v>
      </c>
      <c r="G115" s="2" t="s">
        <v>32</v>
      </c>
      <c r="H115" s="2" t="s">
        <v>23</v>
      </c>
      <c r="I115" s="2" t="s">
        <v>17</v>
      </c>
      <c r="J115" s="2">
        <v>3.75</v>
      </c>
      <c r="K115" s="2" t="str">
        <f t="shared" si="5"/>
        <v>&lt; 5kg</v>
      </c>
      <c r="L115" s="2">
        <f>tdata[[#This Row],[Received_date]]-tdata[[#This Row],[Shipment_Date]]</f>
        <v>1</v>
      </c>
      <c r="M115" s="2">
        <f>VLOOKUP(tdata[[#This Row],[Service_Type]],Table2[#All],2,0)</f>
        <v>5</v>
      </c>
      <c r="N115" s="2" t="str">
        <f>IF(tdata[[#This Row],[Delivery_Days]]&lt;=tdata[[#This Row],[SLA_Days]],"On Time","Late")</f>
        <v>On Time</v>
      </c>
      <c r="O115" s="2">
        <f>VLOOKUP(tdata[[#This Row],[Service_Type]],Table2[#All],4,0)</f>
        <v>9000</v>
      </c>
      <c r="P115" s="2">
        <f>tdata[[#This Row],[price_per_kilo]]*tdata[[#This Row],[Weight_KG]]</f>
        <v>33750</v>
      </c>
      <c r="Q115" s="2" t="str">
        <f>VLOOKUP(tdata[[#This Row],[id_employee]],temployee[#All],2,0)</f>
        <v>Lina Marlina</v>
      </c>
      <c r="R115" s="2" t="str">
        <f>VLOOKUP(tdata[[#This Row],[id_employee]],temployee[#All],4,0)</f>
        <v>internal</v>
      </c>
      <c r="S115" s="9" t="str">
        <f>VLOOKUP(tdata[[#This Row],[id_employee]],temployee[#All],5,0)</f>
        <v>rider</v>
      </c>
    </row>
    <row r="116" spans="2:19" x14ac:dyDescent="0.35">
      <c r="B116" s="8" t="s">
        <v>135</v>
      </c>
      <c r="C116" s="2" t="s">
        <v>1285</v>
      </c>
      <c r="D116" s="5">
        <v>45450</v>
      </c>
      <c r="E116" s="5">
        <v>45453</v>
      </c>
      <c r="F116" s="2" t="s">
        <v>20</v>
      </c>
      <c r="G116" s="2" t="s">
        <v>32</v>
      </c>
      <c r="H116" s="2" t="s">
        <v>1224</v>
      </c>
      <c r="I116" s="2" t="s">
        <v>17</v>
      </c>
      <c r="J116" s="2">
        <v>4.8499999999999996</v>
      </c>
      <c r="K116" s="2" t="str">
        <f t="shared" si="5"/>
        <v>&lt; 5kg</v>
      </c>
      <c r="L116" s="2">
        <f>tdata[[#This Row],[Received_date]]-tdata[[#This Row],[Shipment_Date]]</f>
        <v>3</v>
      </c>
      <c r="M116" s="2">
        <f>VLOOKUP(tdata[[#This Row],[Service_Type]],Table2[#All],2,0)</f>
        <v>3</v>
      </c>
      <c r="N116" s="2" t="str">
        <f>IF(tdata[[#This Row],[Delivery_Days]]&lt;=tdata[[#This Row],[SLA_Days]],"On Time","Late")</f>
        <v>On Time</v>
      </c>
      <c r="O116" s="2">
        <f>VLOOKUP(tdata[[#This Row],[Service_Type]],Table2[#All],4,0)</f>
        <v>10000</v>
      </c>
      <c r="P116" s="2">
        <f>tdata[[#This Row],[price_per_kilo]]*tdata[[#This Row],[Weight_KG]]</f>
        <v>48500</v>
      </c>
      <c r="Q116" s="2" t="str">
        <f>VLOOKUP(tdata[[#This Row],[id_employee]],temployee[#All],2,0)</f>
        <v>Rizky Ananda</v>
      </c>
      <c r="R116" s="2" t="str">
        <f>VLOOKUP(tdata[[#This Row],[id_employee]],temployee[#All],4,0)</f>
        <v>crowd source</v>
      </c>
      <c r="S116" s="9" t="str">
        <f>VLOOKUP(tdata[[#This Row],[id_employee]],temployee[#All],5,0)</f>
        <v>rider</v>
      </c>
    </row>
    <row r="117" spans="2:19" x14ac:dyDescent="0.35">
      <c r="B117" s="8" t="s">
        <v>136</v>
      </c>
      <c r="C117" s="2" t="s">
        <v>1286</v>
      </c>
      <c r="D117" s="5">
        <v>45141</v>
      </c>
      <c r="E117" s="5">
        <v>45144</v>
      </c>
      <c r="F117" s="2" t="s">
        <v>22</v>
      </c>
      <c r="G117" s="2" t="s">
        <v>26</v>
      </c>
      <c r="H117" s="2" t="s">
        <v>23</v>
      </c>
      <c r="I117" s="2" t="s">
        <v>17</v>
      </c>
      <c r="J117" s="2">
        <v>7.18</v>
      </c>
      <c r="K117" s="2" t="str">
        <f t="shared" si="5"/>
        <v>&gt;5kg</v>
      </c>
      <c r="L117" s="2">
        <f>tdata[[#This Row],[Received_date]]-tdata[[#This Row],[Shipment_Date]]</f>
        <v>3</v>
      </c>
      <c r="M117" s="2">
        <f>VLOOKUP(tdata[[#This Row],[Service_Type]],Table2[#All],2,0)</f>
        <v>5</v>
      </c>
      <c r="N117" s="2" t="str">
        <f>IF(tdata[[#This Row],[Delivery_Days]]&lt;=tdata[[#This Row],[SLA_Days]],"On Time","Late")</f>
        <v>On Time</v>
      </c>
      <c r="O117" s="2">
        <f>VLOOKUP(tdata[[#This Row],[Service_Type]],Table2[#All],4,0)</f>
        <v>9000</v>
      </c>
      <c r="P117" s="2">
        <f>tdata[[#This Row],[price_per_kilo]]*tdata[[#This Row],[Weight_KG]]</f>
        <v>64620</v>
      </c>
      <c r="Q117" s="2" t="str">
        <f>VLOOKUP(tdata[[#This Row],[id_employee]],temployee[#All],2,0)</f>
        <v>Nanda Prakoso</v>
      </c>
      <c r="R117" s="2" t="str">
        <f>VLOOKUP(tdata[[#This Row],[id_employee]],temployee[#All],4,0)</f>
        <v>internal</v>
      </c>
      <c r="S117" s="9" t="str">
        <f>VLOOKUP(tdata[[#This Row],[id_employee]],temployee[#All],5,0)</f>
        <v>driver</v>
      </c>
    </row>
    <row r="118" spans="2:19" x14ac:dyDescent="0.35">
      <c r="B118" s="8" t="s">
        <v>137</v>
      </c>
      <c r="C118" s="2" t="s">
        <v>1287</v>
      </c>
      <c r="D118" s="5">
        <v>45377</v>
      </c>
      <c r="E118" s="5">
        <v>45387</v>
      </c>
      <c r="F118" s="2" t="s">
        <v>12</v>
      </c>
      <c r="G118" s="2" t="s">
        <v>32</v>
      </c>
      <c r="H118" s="2" t="s">
        <v>23</v>
      </c>
      <c r="I118" s="2" t="s">
        <v>13</v>
      </c>
      <c r="J118" s="2">
        <v>9.58</v>
      </c>
      <c r="K118" s="2" t="str">
        <f t="shared" si="5"/>
        <v>&gt;5kg</v>
      </c>
      <c r="L118" s="2">
        <f>tdata[[#This Row],[Received_date]]-tdata[[#This Row],[Shipment_Date]]</f>
        <v>10</v>
      </c>
      <c r="M118" s="2">
        <f>VLOOKUP(tdata[[#This Row],[Service_Type]],Table2[#All],2,0)</f>
        <v>5</v>
      </c>
      <c r="N118" s="2" t="str">
        <f>IF(tdata[[#This Row],[Delivery_Days]]&lt;=tdata[[#This Row],[SLA_Days]],"On Time","Late")</f>
        <v>Late</v>
      </c>
      <c r="O118" s="2">
        <f>VLOOKUP(tdata[[#This Row],[Service_Type]],Table2[#All],4,0)</f>
        <v>9000</v>
      </c>
      <c r="P118" s="2">
        <f>tdata[[#This Row],[price_per_kilo]]*tdata[[#This Row],[Weight_KG]]</f>
        <v>86220</v>
      </c>
      <c r="Q118" s="2" t="str">
        <f>VLOOKUP(tdata[[#This Row],[id_employee]],temployee[#All],2,0)</f>
        <v>Oktavian Yusuf</v>
      </c>
      <c r="R118" s="2" t="str">
        <f>VLOOKUP(tdata[[#This Row],[id_employee]],temployee[#All],4,0)</f>
        <v>crowd source</v>
      </c>
      <c r="S118" s="9" t="str">
        <f>VLOOKUP(tdata[[#This Row],[id_employee]],temployee[#All],5,0)</f>
        <v>driver</v>
      </c>
    </row>
    <row r="119" spans="2:19" x14ac:dyDescent="0.35">
      <c r="B119" s="8" t="s">
        <v>138</v>
      </c>
      <c r="C119" s="2" t="s">
        <v>1288</v>
      </c>
      <c r="D119" s="5">
        <v>45508</v>
      </c>
      <c r="E119" s="5">
        <v>45508</v>
      </c>
      <c r="F119" s="2" t="s">
        <v>30</v>
      </c>
      <c r="G119" s="2" t="s">
        <v>49</v>
      </c>
      <c r="H119" s="2" t="s">
        <v>23</v>
      </c>
      <c r="I119" s="2" t="s">
        <v>13</v>
      </c>
      <c r="J119" s="2">
        <v>4.8499999999999996</v>
      </c>
      <c r="K119" s="2" t="str">
        <f t="shared" si="5"/>
        <v>&lt; 5kg</v>
      </c>
      <c r="L119" s="2">
        <f>tdata[[#This Row],[Received_date]]-tdata[[#This Row],[Shipment_Date]]</f>
        <v>0</v>
      </c>
      <c r="M119" s="2">
        <f>VLOOKUP(tdata[[#This Row],[Service_Type]],Table2[#All],2,0)</f>
        <v>5</v>
      </c>
      <c r="N119" s="2" t="str">
        <f>IF(tdata[[#This Row],[Delivery_Days]]&lt;=tdata[[#This Row],[SLA_Days]],"On Time","Late")</f>
        <v>On Time</v>
      </c>
      <c r="O119" s="2">
        <f>VLOOKUP(tdata[[#This Row],[Service_Type]],Table2[#All],4,0)</f>
        <v>9000</v>
      </c>
      <c r="P119" s="2">
        <f>tdata[[#This Row],[price_per_kilo]]*tdata[[#This Row],[Weight_KG]]</f>
        <v>43650</v>
      </c>
      <c r="Q119" s="2" t="str">
        <f>VLOOKUP(tdata[[#This Row],[id_employee]],temployee[#All],2,0)</f>
        <v>Putri Ayu Lestari</v>
      </c>
      <c r="R119" s="2" t="str">
        <f>VLOOKUP(tdata[[#This Row],[id_employee]],temployee[#All],4,0)</f>
        <v>internal</v>
      </c>
      <c r="S119" s="9" t="str">
        <f>VLOOKUP(tdata[[#This Row],[id_employee]],temployee[#All],5,0)</f>
        <v>rider</v>
      </c>
    </row>
    <row r="120" spans="2:19" x14ac:dyDescent="0.35">
      <c r="B120" s="8" t="s">
        <v>139</v>
      </c>
      <c r="C120" s="2" t="s">
        <v>1289</v>
      </c>
      <c r="D120" s="5">
        <v>45500</v>
      </c>
      <c r="E120" s="5">
        <v>45503</v>
      </c>
      <c r="F120" s="2" t="s">
        <v>32</v>
      </c>
      <c r="G120" s="2" t="s">
        <v>11</v>
      </c>
      <c r="H120" s="2" t="s">
        <v>1224</v>
      </c>
      <c r="I120" s="2" t="s">
        <v>17</v>
      </c>
      <c r="J120" s="2">
        <v>1.1499999999999999</v>
      </c>
      <c r="K120" s="2" t="str">
        <f t="shared" si="5"/>
        <v>&lt; 5kg</v>
      </c>
      <c r="L120" s="2">
        <f>tdata[[#This Row],[Received_date]]-tdata[[#This Row],[Shipment_Date]]</f>
        <v>3</v>
      </c>
      <c r="M120" s="2">
        <f>VLOOKUP(tdata[[#This Row],[Service_Type]],Table2[#All],2,0)</f>
        <v>3</v>
      </c>
      <c r="N120" s="2" t="str">
        <f>IF(tdata[[#This Row],[Delivery_Days]]&lt;=tdata[[#This Row],[SLA_Days]],"On Time","Late")</f>
        <v>On Time</v>
      </c>
      <c r="O120" s="2">
        <f>VLOOKUP(tdata[[#This Row],[Service_Type]],Table2[#All],4,0)</f>
        <v>10000</v>
      </c>
      <c r="P120" s="2">
        <f>tdata[[#This Row],[price_per_kilo]]*tdata[[#This Row],[Weight_KG]]</f>
        <v>11500</v>
      </c>
      <c r="Q120" s="2" t="str">
        <f>VLOOKUP(tdata[[#This Row],[id_employee]],temployee[#All],2,0)</f>
        <v>Rafi Maulana</v>
      </c>
      <c r="R120" s="2" t="str">
        <f>VLOOKUP(tdata[[#This Row],[id_employee]],temployee[#All],4,0)</f>
        <v>internal</v>
      </c>
      <c r="S120" s="9" t="str">
        <f>VLOOKUP(tdata[[#This Row],[id_employee]],temployee[#All],5,0)</f>
        <v>rider</v>
      </c>
    </row>
    <row r="121" spans="2:19" x14ac:dyDescent="0.35">
      <c r="B121" s="8" t="s">
        <v>140</v>
      </c>
      <c r="C121" s="2" t="s">
        <v>1290</v>
      </c>
      <c r="D121" s="5">
        <v>45276</v>
      </c>
      <c r="E121" s="5">
        <v>45287</v>
      </c>
      <c r="F121" s="2" t="s">
        <v>16</v>
      </c>
      <c r="G121" s="2" t="s">
        <v>12</v>
      </c>
      <c r="H121" s="2" t="s">
        <v>1224</v>
      </c>
      <c r="I121" s="2" t="s">
        <v>17</v>
      </c>
      <c r="J121" s="2">
        <v>1.62</v>
      </c>
      <c r="K121" s="2" t="str">
        <f t="shared" si="5"/>
        <v>&lt; 5kg</v>
      </c>
      <c r="L121" s="2">
        <f>tdata[[#This Row],[Received_date]]-tdata[[#This Row],[Shipment_Date]]</f>
        <v>11</v>
      </c>
      <c r="M121" s="2">
        <f>VLOOKUP(tdata[[#This Row],[Service_Type]],Table2[#All],2,0)</f>
        <v>3</v>
      </c>
      <c r="N121" s="2" t="str">
        <f>IF(tdata[[#This Row],[Delivery_Days]]&lt;=tdata[[#This Row],[SLA_Days]],"On Time","Late")</f>
        <v>Late</v>
      </c>
      <c r="O121" s="2">
        <f>VLOOKUP(tdata[[#This Row],[Service_Type]],Table2[#All],4,0)</f>
        <v>10000</v>
      </c>
      <c r="P121" s="2">
        <f>tdata[[#This Row],[price_per_kilo]]*tdata[[#This Row],[Weight_KG]]</f>
        <v>16200.000000000002</v>
      </c>
      <c r="Q121" s="2" t="str">
        <f>VLOOKUP(tdata[[#This Row],[id_employee]],temployee[#All],2,0)</f>
        <v>Sari Puspita</v>
      </c>
      <c r="R121" s="2" t="str">
        <f>VLOOKUP(tdata[[#This Row],[id_employee]],temployee[#All],4,0)</f>
        <v>crowd source</v>
      </c>
      <c r="S121" s="9" t="str">
        <f>VLOOKUP(tdata[[#This Row],[id_employee]],temployee[#All],5,0)</f>
        <v>rider</v>
      </c>
    </row>
    <row r="122" spans="2:19" x14ac:dyDescent="0.35">
      <c r="B122" s="8" t="s">
        <v>141</v>
      </c>
      <c r="C122" s="2" t="s">
        <v>1291</v>
      </c>
      <c r="D122" s="5">
        <v>45366</v>
      </c>
      <c r="E122" s="5">
        <v>45366</v>
      </c>
      <c r="F122" s="2" t="s">
        <v>26</v>
      </c>
      <c r="G122" s="2" t="s">
        <v>11</v>
      </c>
      <c r="H122" s="2" t="s">
        <v>1224</v>
      </c>
      <c r="I122" s="2" t="s">
        <v>13</v>
      </c>
      <c r="J122" s="2">
        <v>0.98</v>
      </c>
      <c r="K122" s="2" t="str">
        <f t="shared" si="5"/>
        <v>&lt; 5kg</v>
      </c>
      <c r="L122" s="2">
        <f>tdata[[#This Row],[Received_date]]-tdata[[#This Row],[Shipment_Date]]</f>
        <v>0</v>
      </c>
      <c r="M122" s="2">
        <f>VLOOKUP(tdata[[#This Row],[Service_Type]],Table2[#All],2,0)</f>
        <v>3</v>
      </c>
      <c r="N122" s="2" t="str">
        <f>IF(tdata[[#This Row],[Delivery_Days]]&lt;=tdata[[#This Row],[SLA_Days]],"On Time","Late")</f>
        <v>On Time</v>
      </c>
      <c r="O122" s="2">
        <f>VLOOKUP(tdata[[#This Row],[Service_Type]],Table2[#All],4,0)</f>
        <v>10000</v>
      </c>
      <c r="P122" s="2">
        <f>tdata[[#This Row],[price_per_kilo]]*tdata[[#This Row],[Weight_KG]]</f>
        <v>9800</v>
      </c>
      <c r="Q122" s="2" t="str">
        <f>VLOOKUP(tdata[[#This Row],[id_employee]],temployee[#All],2,0)</f>
        <v>Teguh Wibowo</v>
      </c>
      <c r="R122" s="2" t="str">
        <f>VLOOKUP(tdata[[#This Row],[id_employee]],temployee[#All],4,0)</f>
        <v>internal</v>
      </c>
      <c r="S122" s="9" t="str">
        <f>VLOOKUP(tdata[[#This Row],[id_employee]],temployee[#All],5,0)</f>
        <v>driver</v>
      </c>
    </row>
    <row r="123" spans="2:19" x14ac:dyDescent="0.35">
      <c r="B123" s="8" t="s">
        <v>142</v>
      </c>
      <c r="C123" s="2" t="s">
        <v>1292</v>
      </c>
      <c r="D123" s="5">
        <v>44969</v>
      </c>
      <c r="E123" s="5">
        <v>44969</v>
      </c>
      <c r="F123" s="2" t="s">
        <v>49</v>
      </c>
      <c r="G123" s="2" t="s">
        <v>11</v>
      </c>
      <c r="H123" s="2" t="s">
        <v>1223</v>
      </c>
      <c r="I123" s="2" t="s">
        <v>13</v>
      </c>
      <c r="J123" s="2">
        <v>1.19</v>
      </c>
      <c r="K123" s="2" t="str">
        <f t="shared" si="5"/>
        <v>&lt; 5kg</v>
      </c>
      <c r="L123" s="2">
        <f>tdata[[#This Row],[Received_date]]-tdata[[#This Row],[Shipment_Date]]</f>
        <v>0</v>
      </c>
      <c r="M123" s="2">
        <f>VLOOKUP(tdata[[#This Row],[Service_Type]],Table2[#All],2,0)</f>
        <v>1</v>
      </c>
      <c r="N123" s="2" t="str">
        <f>IF(tdata[[#This Row],[Delivery_Days]]&lt;=tdata[[#This Row],[SLA_Days]],"On Time","Late")</f>
        <v>On Time</v>
      </c>
      <c r="O123" s="2">
        <f>VLOOKUP(tdata[[#This Row],[Service_Type]],Table2[#All],4,0)</f>
        <v>12000</v>
      </c>
      <c r="P123" s="2">
        <f>tdata[[#This Row],[price_per_kilo]]*tdata[[#This Row],[Weight_KG]]</f>
        <v>14280</v>
      </c>
      <c r="Q123" s="2" t="str">
        <f>VLOOKUP(tdata[[#This Row],[id_employee]],temployee[#All],2,0)</f>
        <v>Umi Kalsum</v>
      </c>
      <c r="R123" s="2" t="str">
        <f>VLOOKUP(tdata[[#This Row],[id_employee]],temployee[#All],4,0)</f>
        <v>crowd source</v>
      </c>
      <c r="S123" s="9" t="str">
        <f>VLOOKUP(tdata[[#This Row],[id_employee]],temployee[#All],5,0)</f>
        <v>rider</v>
      </c>
    </row>
    <row r="124" spans="2:19" x14ac:dyDescent="0.35">
      <c r="B124" s="8" t="s">
        <v>143</v>
      </c>
      <c r="C124" s="2" t="s">
        <v>1293</v>
      </c>
      <c r="D124" s="5">
        <v>45201</v>
      </c>
      <c r="E124" s="5">
        <v>45203</v>
      </c>
      <c r="F124" s="2" t="s">
        <v>11</v>
      </c>
      <c r="G124" s="2" t="s">
        <v>12</v>
      </c>
      <c r="H124" s="2" t="s">
        <v>23</v>
      </c>
      <c r="I124" s="2" t="s">
        <v>13</v>
      </c>
      <c r="J124" s="2">
        <v>1.89</v>
      </c>
      <c r="K124" s="2" t="str">
        <f t="shared" si="5"/>
        <v>&lt; 5kg</v>
      </c>
      <c r="L124" s="2">
        <f>tdata[[#This Row],[Received_date]]-tdata[[#This Row],[Shipment_Date]]</f>
        <v>2</v>
      </c>
      <c r="M124" s="2">
        <f>VLOOKUP(tdata[[#This Row],[Service_Type]],Table2[#All],2,0)</f>
        <v>5</v>
      </c>
      <c r="N124" s="2" t="str">
        <f>IF(tdata[[#This Row],[Delivery_Days]]&lt;=tdata[[#This Row],[SLA_Days]],"On Time","Late")</f>
        <v>On Time</v>
      </c>
      <c r="O124" s="2">
        <f>VLOOKUP(tdata[[#This Row],[Service_Type]],Table2[#All],4,0)</f>
        <v>9000</v>
      </c>
      <c r="P124" s="2">
        <f>tdata[[#This Row],[price_per_kilo]]*tdata[[#This Row],[Weight_KG]]</f>
        <v>17010</v>
      </c>
      <c r="Q124" s="2" t="str">
        <f>VLOOKUP(tdata[[#This Row],[id_employee]],temployee[#All],2,0)</f>
        <v>Vina Oktaviani</v>
      </c>
      <c r="R124" s="2" t="str">
        <f>VLOOKUP(tdata[[#This Row],[id_employee]],temployee[#All],4,0)</f>
        <v>internal</v>
      </c>
      <c r="S124" s="9" t="str">
        <f>VLOOKUP(tdata[[#This Row],[id_employee]],temployee[#All],5,0)</f>
        <v>rider</v>
      </c>
    </row>
    <row r="125" spans="2:19" x14ac:dyDescent="0.35">
      <c r="B125" s="8" t="s">
        <v>144</v>
      </c>
      <c r="C125" s="2" t="s">
        <v>1294</v>
      </c>
      <c r="D125" s="5">
        <v>45528</v>
      </c>
      <c r="E125" s="5">
        <v>45539</v>
      </c>
      <c r="F125" s="2" t="s">
        <v>15</v>
      </c>
      <c r="G125" s="2" t="s">
        <v>20</v>
      </c>
      <c r="H125" s="2" t="s">
        <v>1224</v>
      </c>
      <c r="I125" s="2" t="s">
        <v>13</v>
      </c>
      <c r="J125" s="2">
        <v>3.51</v>
      </c>
      <c r="K125" s="2" t="str">
        <f t="shared" si="5"/>
        <v>&lt; 5kg</v>
      </c>
      <c r="L125" s="2">
        <f>tdata[[#This Row],[Received_date]]-tdata[[#This Row],[Shipment_Date]]</f>
        <v>11</v>
      </c>
      <c r="M125" s="2">
        <f>VLOOKUP(tdata[[#This Row],[Service_Type]],Table2[#All],2,0)</f>
        <v>3</v>
      </c>
      <c r="N125" s="2" t="str">
        <f>IF(tdata[[#This Row],[Delivery_Days]]&lt;=tdata[[#This Row],[SLA_Days]],"On Time","Late")</f>
        <v>Late</v>
      </c>
      <c r="O125" s="2">
        <f>VLOOKUP(tdata[[#This Row],[Service_Type]],Table2[#All],4,0)</f>
        <v>10000</v>
      </c>
      <c r="P125" s="2">
        <f>tdata[[#This Row],[price_per_kilo]]*tdata[[#This Row],[Weight_KG]]</f>
        <v>35100</v>
      </c>
      <c r="Q125" s="2" t="str">
        <f>VLOOKUP(tdata[[#This Row],[id_employee]],temployee[#All],2,0)</f>
        <v>Wahyu Setiawan</v>
      </c>
      <c r="R125" s="2" t="str">
        <f>VLOOKUP(tdata[[#This Row],[id_employee]],temployee[#All],4,0)</f>
        <v>crowd source</v>
      </c>
      <c r="S125" s="9" t="str">
        <f>VLOOKUP(tdata[[#This Row],[id_employee]],temployee[#All],5,0)</f>
        <v>driver</v>
      </c>
    </row>
    <row r="126" spans="2:19" x14ac:dyDescent="0.35">
      <c r="B126" s="8" t="s">
        <v>145</v>
      </c>
      <c r="C126" s="2" t="s">
        <v>1295</v>
      </c>
      <c r="D126" s="5">
        <v>45123</v>
      </c>
      <c r="E126" s="5">
        <v>45133</v>
      </c>
      <c r="F126" s="2" t="s">
        <v>20</v>
      </c>
      <c r="G126" s="2" t="s">
        <v>22</v>
      </c>
      <c r="H126" s="2" t="s">
        <v>1224</v>
      </c>
      <c r="I126" s="2" t="s">
        <v>13</v>
      </c>
      <c r="J126" s="2">
        <v>6.75</v>
      </c>
      <c r="K126" s="2" t="str">
        <f t="shared" si="5"/>
        <v>&gt;5kg</v>
      </c>
      <c r="L126" s="2">
        <f>tdata[[#This Row],[Received_date]]-tdata[[#This Row],[Shipment_Date]]</f>
        <v>10</v>
      </c>
      <c r="M126" s="2">
        <f>VLOOKUP(tdata[[#This Row],[Service_Type]],Table2[#All],2,0)</f>
        <v>3</v>
      </c>
      <c r="N126" s="2" t="str">
        <f>IF(tdata[[#This Row],[Delivery_Days]]&lt;=tdata[[#This Row],[SLA_Days]],"On Time","Late")</f>
        <v>Late</v>
      </c>
      <c r="O126" s="2">
        <f>VLOOKUP(tdata[[#This Row],[Service_Type]],Table2[#All],4,0)</f>
        <v>10000</v>
      </c>
      <c r="P126" s="2">
        <f>tdata[[#This Row],[price_per_kilo]]*tdata[[#This Row],[Weight_KG]]</f>
        <v>67500</v>
      </c>
      <c r="Q126" s="2" t="str">
        <f>VLOOKUP(tdata[[#This Row],[id_employee]],temployee[#All],2,0)</f>
        <v>Yogi Firmansyah</v>
      </c>
      <c r="R126" s="2" t="str">
        <f>VLOOKUP(tdata[[#This Row],[id_employee]],temployee[#All],4,0)</f>
        <v>internal</v>
      </c>
      <c r="S126" s="9" t="str">
        <f>VLOOKUP(tdata[[#This Row],[id_employee]],temployee[#All],5,0)</f>
        <v>driver</v>
      </c>
    </row>
    <row r="127" spans="2:19" x14ac:dyDescent="0.35">
      <c r="B127" s="8" t="s">
        <v>146</v>
      </c>
      <c r="C127" s="2" t="s">
        <v>1296</v>
      </c>
      <c r="D127" s="5">
        <v>45582</v>
      </c>
      <c r="E127" s="5">
        <v>45582</v>
      </c>
      <c r="F127" s="2" t="s">
        <v>22</v>
      </c>
      <c r="G127" s="2" t="s">
        <v>20</v>
      </c>
      <c r="H127" s="2" t="s">
        <v>1224</v>
      </c>
      <c r="I127" s="2" t="s">
        <v>17</v>
      </c>
      <c r="J127" s="2">
        <v>2.23</v>
      </c>
      <c r="K127" s="2" t="str">
        <f t="shared" si="5"/>
        <v>&lt; 5kg</v>
      </c>
      <c r="L127" s="2">
        <f>tdata[[#This Row],[Received_date]]-tdata[[#This Row],[Shipment_Date]]</f>
        <v>0</v>
      </c>
      <c r="M127" s="2">
        <f>VLOOKUP(tdata[[#This Row],[Service_Type]],Table2[#All],2,0)</f>
        <v>3</v>
      </c>
      <c r="N127" s="2" t="str">
        <f>IF(tdata[[#This Row],[Delivery_Days]]&lt;=tdata[[#This Row],[SLA_Days]],"On Time","Late")</f>
        <v>On Time</v>
      </c>
      <c r="O127" s="2">
        <f>VLOOKUP(tdata[[#This Row],[Service_Type]],Table2[#All],4,0)</f>
        <v>10000</v>
      </c>
      <c r="P127" s="2">
        <f>tdata[[#This Row],[price_per_kilo]]*tdata[[#This Row],[Weight_KG]]</f>
        <v>22300</v>
      </c>
      <c r="Q127" s="2" t="str">
        <f>VLOOKUP(tdata[[#This Row],[id_employee]],temployee[#All],2,0)</f>
        <v>Zainal Abidin</v>
      </c>
      <c r="R127" s="2" t="str">
        <f>VLOOKUP(tdata[[#This Row],[id_employee]],temployee[#All],4,0)</f>
        <v>crowd source</v>
      </c>
      <c r="S127" s="9" t="str">
        <f>VLOOKUP(tdata[[#This Row],[id_employee]],temployee[#All],5,0)</f>
        <v>driver</v>
      </c>
    </row>
    <row r="128" spans="2:19" x14ac:dyDescent="0.35">
      <c r="B128" s="8" t="s">
        <v>147</v>
      </c>
      <c r="C128" s="2" t="s">
        <v>1297</v>
      </c>
      <c r="D128" s="5">
        <v>45514</v>
      </c>
      <c r="E128" s="5">
        <v>45525</v>
      </c>
      <c r="F128" s="2" t="s">
        <v>12</v>
      </c>
      <c r="G128" s="2" t="s">
        <v>12</v>
      </c>
      <c r="H128" s="2" t="s">
        <v>1224</v>
      </c>
      <c r="I128" s="2" t="s">
        <v>13</v>
      </c>
      <c r="J128" s="2">
        <v>0.66</v>
      </c>
      <c r="K128" s="2" t="str">
        <f t="shared" si="5"/>
        <v>&lt; 5kg</v>
      </c>
      <c r="L128" s="2">
        <f>tdata[[#This Row],[Received_date]]-tdata[[#This Row],[Shipment_Date]]</f>
        <v>11</v>
      </c>
      <c r="M128" s="2">
        <f>VLOOKUP(tdata[[#This Row],[Service_Type]],Table2[#All],2,0)</f>
        <v>3</v>
      </c>
      <c r="N128" s="2" t="str">
        <f>IF(tdata[[#This Row],[Delivery_Days]]&lt;=tdata[[#This Row],[SLA_Days]],"On Time","Late")</f>
        <v>Late</v>
      </c>
      <c r="O128" s="2">
        <f>VLOOKUP(tdata[[#This Row],[Service_Type]],Table2[#All],4,0)</f>
        <v>10000</v>
      </c>
      <c r="P128" s="2">
        <f>tdata[[#This Row],[price_per_kilo]]*tdata[[#This Row],[Weight_KG]]</f>
        <v>6600</v>
      </c>
      <c r="Q128" s="2" t="str">
        <f>VLOOKUP(tdata[[#This Row],[id_employee]],temployee[#All],2,0)</f>
        <v>Ahmad Fauzi</v>
      </c>
      <c r="R128" s="2" t="str">
        <f>VLOOKUP(tdata[[#This Row],[id_employee]],temployee[#All],4,0)</f>
        <v>internal</v>
      </c>
      <c r="S128" s="9" t="str">
        <f>VLOOKUP(tdata[[#This Row],[id_employee]],temployee[#All],5,0)</f>
        <v>rider</v>
      </c>
    </row>
    <row r="129" spans="2:19" x14ac:dyDescent="0.35">
      <c r="B129" s="8" t="s">
        <v>148</v>
      </c>
      <c r="C129" s="2" t="s">
        <v>1298</v>
      </c>
      <c r="D129" s="5">
        <v>45179</v>
      </c>
      <c r="E129" s="5">
        <v>45186</v>
      </c>
      <c r="F129" s="2" t="s">
        <v>30</v>
      </c>
      <c r="G129" s="2" t="s">
        <v>26</v>
      </c>
      <c r="H129" s="2" t="s">
        <v>1224</v>
      </c>
      <c r="I129" s="2" t="s">
        <v>13</v>
      </c>
      <c r="J129" s="2">
        <v>1.74</v>
      </c>
      <c r="K129" s="2" t="str">
        <f t="shared" si="5"/>
        <v>&lt; 5kg</v>
      </c>
      <c r="L129" s="2">
        <f>tdata[[#This Row],[Received_date]]-tdata[[#This Row],[Shipment_Date]]</f>
        <v>7</v>
      </c>
      <c r="M129" s="2">
        <f>VLOOKUP(tdata[[#This Row],[Service_Type]],Table2[#All],2,0)</f>
        <v>3</v>
      </c>
      <c r="N129" s="2" t="str">
        <f>IF(tdata[[#This Row],[Delivery_Days]]&lt;=tdata[[#This Row],[SLA_Days]],"On Time","Late")</f>
        <v>Late</v>
      </c>
      <c r="O129" s="2">
        <f>VLOOKUP(tdata[[#This Row],[Service_Type]],Table2[#All],4,0)</f>
        <v>10000</v>
      </c>
      <c r="P129" s="2">
        <f>tdata[[#This Row],[price_per_kilo]]*tdata[[#This Row],[Weight_KG]]</f>
        <v>17400</v>
      </c>
      <c r="Q129" s="2" t="str">
        <f>VLOOKUP(tdata[[#This Row],[id_employee]],temployee[#All],2,0)</f>
        <v>Bayu Ramadhan</v>
      </c>
      <c r="R129" s="2" t="str">
        <f>VLOOKUP(tdata[[#This Row],[id_employee]],temployee[#All],4,0)</f>
        <v>crowd source</v>
      </c>
      <c r="S129" s="9" t="str">
        <f>VLOOKUP(tdata[[#This Row],[id_employee]],temployee[#All],5,0)</f>
        <v>rider</v>
      </c>
    </row>
    <row r="130" spans="2:19" x14ac:dyDescent="0.35">
      <c r="B130" s="8" t="s">
        <v>149</v>
      </c>
      <c r="C130" s="2" t="s">
        <v>1299</v>
      </c>
      <c r="D130" s="5">
        <v>45236</v>
      </c>
      <c r="E130" s="5">
        <v>45236</v>
      </c>
      <c r="F130" s="2" t="s">
        <v>32</v>
      </c>
      <c r="G130" s="2" t="s">
        <v>15</v>
      </c>
      <c r="H130" s="2" t="s">
        <v>23</v>
      </c>
      <c r="I130" s="2" t="s">
        <v>13</v>
      </c>
      <c r="J130" s="2">
        <v>1.1599999999999999</v>
      </c>
      <c r="K130" s="2" t="str">
        <f t="shared" si="5"/>
        <v>&lt; 5kg</v>
      </c>
      <c r="L130" s="2">
        <f>tdata[[#This Row],[Received_date]]-tdata[[#This Row],[Shipment_Date]]</f>
        <v>0</v>
      </c>
      <c r="M130" s="2">
        <f>VLOOKUP(tdata[[#This Row],[Service_Type]],Table2[#All],2,0)</f>
        <v>5</v>
      </c>
      <c r="N130" s="2" t="str">
        <f>IF(tdata[[#This Row],[Delivery_Days]]&lt;=tdata[[#This Row],[SLA_Days]],"On Time","Late")</f>
        <v>On Time</v>
      </c>
      <c r="O130" s="2">
        <f>VLOOKUP(tdata[[#This Row],[Service_Type]],Table2[#All],4,0)</f>
        <v>9000</v>
      </c>
      <c r="P130" s="2">
        <f>tdata[[#This Row],[price_per_kilo]]*tdata[[#This Row],[Weight_KG]]</f>
        <v>10440</v>
      </c>
      <c r="Q130" s="2" t="str">
        <f>VLOOKUP(tdata[[#This Row],[id_employee]],temployee[#All],2,0)</f>
        <v>Cindy Oktavia</v>
      </c>
      <c r="R130" s="2" t="str">
        <f>VLOOKUP(tdata[[#This Row],[id_employee]],temployee[#All],4,0)</f>
        <v>internal</v>
      </c>
      <c r="S130" s="9" t="str">
        <f>VLOOKUP(tdata[[#This Row],[id_employee]],temployee[#All],5,0)</f>
        <v>rider</v>
      </c>
    </row>
    <row r="131" spans="2:19" x14ac:dyDescent="0.35">
      <c r="B131" s="8" t="s">
        <v>150</v>
      </c>
      <c r="C131" s="2" t="s">
        <v>1300</v>
      </c>
      <c r="D131" s="5">
        <v>45532</v>
      </c>
      <c r="E131" s="5">
        <v>45532</v>
      </c>
      <c r="F131" s="2" t="s">
        <v>16</v>
      </c>
      <c r="G131" s="2" t="s">
        <v>16</v>
      </c>
      <c r="H131" s="2" t="s">
        <v>1224</v>
      </c>
      <c r="I131" s="2" t="s">
        <v>17</v>
      </c>
      <c r="J131" s="2">
        <v>5.95</v>
      </c>
      <c r="K131" s="2" t="str">
        <f t="shared" si="5"/>
        <v>&gt;5kg</v>
      </c>
      <c r="L131" s="2">
        <f>tdata[[#This Row],[Received_date]]-tdata[[#This Row],[Shipment_Date]]</f>
        <v>0</v>
      </c>
      <c r="M131" s="2">
        <f>VLOOKUP(tdata[[#This Row],[Service_Type]],Table2[#All],2,0)</f>
        <v>3</v>
      </c>
      <c r="N131" s="2" t="str">
        <f>IF(tdata[[#This Row],[Delivery_Days]]&lt;=tdata[[#This Row],[SLA_Days]],"On Time","Late")</f>
        <v>On Time</v>
      </c>
      <c r="O131" s="2">
        <f>VLOOKUP(tdata[[#This Row],[Service_Type]],Table2[#All],4,0)</f>
        <v>10000</v>
      </c>
      <c r="P131" s="2">
        <f>tdata[[#This Row],[price_per_kilo]]*tdata[[#This Row],[Weight_KG]]</f>
        <v>59500</v>
      </c>
      <c r="Q131" s="2" t="str">
        <f>VLOOKUP(tdata[[#This Row],[id_employee]],temployee[#All],2,0)</f>
        <v>Dian Pramudya</v>
      </c>
      <c r="R131" s="2" t="str">
        <f>VLOOKUP(tdata[[#This Row],[id_employee]],temployee[#All],4,0)</f>
        <v>crowd source</v>
      </c>
      <c r="S131" s="9" t="str">
        <f>VLOOKUP(tdata[[#This Row],[id_employee]],temployee[#All],5,0)</f>
        <v>driver</v>
      </c>
    </row>
    <row r="132" spans="2:19" x14ac:dyDescent="0.35">
      <c r="B132" s="8" t="s">
        <v>151</v>
      </c>
      <c r="C132" s="2" t="s">
        <v>1301</v>
      </c>
      <c r="D132" s="5">
        <v>45387</v>
      </c>
      <c r="E132" s="5">
        <v>45387</v>
      </c>
      <c r="F132" s="2" t="s">
        <v>26</v>
      </c>
      <c r="G132" s="2" t="s">
        <v>16</v>
      </c>
      <c r="H132" s="2" t="s">
        <v>1223</v>
      </c>
      <c r="I132" s="2" t="s">
        <v>13</v>
      </c>
      <c r="J132" s="2">
        <v>2.72</v>
      </c>
      <c r="K132" s="2" t="str">
        <f t="shared" si="5"/>
        <v>&lt; 5kg</v>
      </c>
      <c r="L132" s="2">
        <f>tdata[[#This Row],[Received_date]]-tdata[[#This Row],[Shipment_Date]]</f>
        <v>0</v>
      </c>
      <c r="M132" s="2">
        <f>VLOOKUP(tdata[[#This Row],[Service_Type]],Table2[#All],2,0)</f>
        <v>1</v>
      </c>
      <c r="N132" s="2" t="str">
        <f>IF(tdata[[#This Row],[Delivery_Days]]&lt;=tdata[[#This Row],[SLA_Days]],"On Time","Late")</f>
        <v>On Time</v>
      </c>
      <c r="O132" s="2">
        <f>VLOOKUP(tdata[[#This Row],[Service_Type]],Table2[#All],4,0)</f>
        <v>12000</v>
      </c>
      <c r="P132" s="2">
        <f>tdata[[#This Row],[price_per_kilo]]*tdata[[#This Row],[Weight_KG]]</f>
        <v>32640.000000000004</v>
      </c>
      <c r="Q132" s="2" t="str">
        <f>VLOOKUP(tdata[[#This Row],[id_employee]],temployee[#All],2,0)</f>
        <v>Erwin Kurniawan</v>
      </c>
      <c r="R132" s="2" t="str">
        <f>VLOOKUP(tdata[[#This Row],[id_employee]],temployee[#All],4,0)</f>
        <v>internal</v>
      </c>
      <c r="S132" s="9" t="str">
        <f>VLOOKUP(tdata[[#This Row],[id_employee]],temployee[#All],5,0)</f>
        <v>driver</v>
      </c>
    </row>
    <row r="133" spans="2:19" x14ac:dyDescent="0.35">
      <c r="B133" s="8" t="s">
        <v>152</v>
      </c>
      <c r="C133" s="2" t="s">
        <v>1302</v>
      </c>
      <c r="D133" s="5">
        <v>45112</v>
      </c>
      <c r="E133" s="5">
        <v>45115</v>
      </c>
      <c r="F133" s="2" t="s">
        <v>49</v>
      </c>
      <c r="G133" s="2" t="s">
        <v>20</v>
      </c>
      <c r="H133" s="2" t="s">
        <v>1223</v>
      </c>
      <c r="I133" s="2" t="s">
        <v>17</v>
      </c>
      <c r="J133" s="2">
        <v>2.66</v>
      </c>
      <c r="K133" s="2" t="str">
        <f t="shared" ref="K133:K196" si="6">IF(J133&lt;5,"&lt; 5kg", "&gt;5kg")</f>
        <v>&lt; 5kg</v>
      </c>
      <c r="L133" s="2">
        <f>tdata[[#This Row],[Received_date]]-tdata[[#This Row],[Shipment_Date]]</f>
        <v>3</v>
      </c>
      <c r="M133" s="2">
        <f>VLOOKUP(tdata[[#This Row],[Service_Type]],Table2[#All],2,0)</f>
        <v>1</v>
      </c>
      <c r="N133" s="2" t="str">
        <f>IF(tdata[[#This Row],[Delivery_Days]]&lt;=tdata[[#This Row],[SLA_Days]],"On Time","Late")</f>
        <v>Late</v>
      </c>
      <c r="O133" s="2">
        <f>VLOOKUP(tdata[[#This Row],[Service_Type]],Table2[#All],4,0)</f>
        <v>12000</v>
      </c>
      <c r="P133" s="2">
        <f>tdata[[#This Row],[price_per_kilo]]*tdata[[#This Row],[Weight_KG]]</f>
        <v>31920</v>
      </c>
      <c r="Q133" s="2" t="str">
        <f>VLOOKUP(tdata[[#This Row],[id_employee]],temployee[#All],2,0)</f>
        <v>Fitri Handayani</v>
      </c>
      <c r="R133" s="2" t="str">
        <f>VLOOKUP(tdata[[#This Row],[id_employee]],temployee[#All],4,0)</f>
        <v>crowd source</v>
      </c>
      <c r="S133" s="9" t="str">
        <f>VLOOKUP(tdata[[#This Row],[id_employee]],temployee[#All],5,0)</f>
        <v>rider</v>
      </c>
    </row>
    <row r="134" spans="2:19" x14ac:dyDescent="0.35">
      <c r="B134" s="8" t="s">
        <v>153</v>
      </c>
      <c r="C134" s="2" t="s">
        <v>1303</v>
      </c>
      <c r="D134" s="5">
        <v>45121</v>
      </c>
      <c r="E134" s="5">
        <v>45126</v>
      </c>
      <c r="F134" s="2" t="s">
        <v>11</v>
      </c>
      <c r="G134" s="2" t="s">
        <v>22</v>
      </c>
      <c r="H134" s="2" t="s">
        <v>1223</v>
      </c>
      <c r="I134" s="2" t="s">
        <v>13</v>
      </c>
      <c r="J134" s="2">
        <v>6.79</v>
      </c>
      <c r="K134" s="2" t="str">
        <f t="shared" si="6"/>
        <v>&gt;5kg</v>
      </c>
      <c r="L134" s="2">
        <f>tdata[[#This Row],[Received_date]]-tdata[[#This Row],[Shipment_Date]]</f>
        <v>5</v>
      </c>
      <c r="M134" s="2">
        <f>VLOOKUP(tdata[[#This Row],[Service_Type]],Table2[#All],2,0)</f>
        <v>1</v>
      </c>
      <c r="N134" s="2" t="str">
        <f>IF(tdata[[#This Row],[Delivery_Days]]&lt;=tdata[[#This Row],[SLA_Days]],"On Time","Late")</f>
        <v>Late</v>
      </c>
      <c r="O134" s="2">
        <f>VLOOKUP(tdata[[#This Row],[Service_Type]],Table2[#All],4,0)</f>
        <v>12000</v>
      </c>
      <c r="P134" s="2">
        <f>tdata[[#This Row],[price_per_kilo]]*tdata[[#This Row],[Weight_KG]]</f>
        <v>81480</v>
      </c>
      <c r="Q134" s="2" t="str">
        <f>VLOOKUP(tdata[[#This Row],[id_employee]],temployee[#All],2,0)</f>
        <v>Gilang Saputra</v>
      </c>
      <c r="R134" s="2" t="str">
        <f>VLOOKUP(tdata[[#This Row],[id_employee]],temployee[#All],4,0)</f>
        <v>internal</v>
      </c>
      <c r="S134" s="9" t="str">
        <f>VLOOKUP(tdata[[#This Row],[id_employee]],temployee[#All],5,0)</f>
        <v>rider</v>
      </c>
    </row>
    <row r="135" spans="2:19" x14ac:dyDescent="0.35">
      <c r="B135" s="8" t="s">
        <v>154</v>
      </c>
      <c r="C135" s="2" t="s">
        <v>1304</v>
      </c>
      <c r="D135" s="5">
        <v>45011</v>
      </c>
      <c r="E135" s="5">
        <v>45020</v>
      </c>
      <c r="F135" s="2" t="s">
        <v>15</v>
      </c>
      <c r="G135" s="2" t="s">
        <v>12</v>
      </c>
      <c r="H135" s="2" t="s">
        <v>23</v>
      </c>
      <c r="I135" s="2" t="s">
        <v>17</v>
      </c>
      <c r="J135" s="2">
        <v>7.74</v>
      </c>
      <c r="K135" s="2" t="str">
        <f t="shared" si="6"/>
        <v>&gt;5kg</v>
      </c>
      <c r="L135" s="2">
        <f>tdata[[#This Row],[Received_date]]-tdata[[#This Row],[Shipment_Date]]</f>
        <v>9</v>
      </c>
      <c r="M135" s="2">
        <f>VLOOKUP(tdata[[#This Row],[Service_Type]],Table2[#All],2,0)</f>
        <v>5</v>
      </c>
      <c r="N135" s="2" t="str">
        <f>IF(tdata[[#This Row],[Delivery_Days]]&lt;=tdata[[#This Row],[SLA_Days]],"On Time","Late")</f>
        <v>Late</v>
      </c>
      <c r="O135" s="2">
        <f>VLOOKUP(tdata[[#This Row],[Service_Type]],Table2[#All],4,0)</f>
        <v>9000</v>
      </c>
      <c r="P135" s="2">
        <f>tdata[[#This Row],[price_per_kilo]]*tdata[[#This Row],[Weight_KG]]</f>
        <v>69660</v>
      </c>
      <c r="Q135" s="2" t="str">
        <f>VLOOKUP(tdata[[#This Row],[id_employee]],temployee[#All],2,0)</f>
        <v>Hariyanto</v>
      </c>
      <c r="R135" s="2" t="str">
        <f>VLOOKUP(tdata[[#This Row],[id_employee]],temployee[#All],4,0)</f>
        <v>crowd source</v>
      </c>
      <c r="S135" s="9" t="str">
        <f>VLOOKUP(tdata[[#This Row],[id_employee]],temployee[#All],5,0)</f>
        <v>driver</v>
      </c>
    </row>
    <row r="136" spans="2:19" x14ac:dyDescent="0.35">
      <c r="B136" s="8" t="s">
        <v>155</v>
      </c>
      <c r="C136" s="2" t="s">
        <v>1305</v>
      </c>
      <c r="D136" s="5">
        <v>45320</v>
      </c>
      <c r="E136" s="5">
        <v>45330</v>
      </c>
      <c r="F136" s="2" t="s">
        <v>20</v>
      </c>
      <c r="G136" s="2" t="s">
        <v>12</v>
      </c>
      <c r="H136" s="2" t="s">
        <v>1223</v>
      </c>
      <c r="I136" s="2" t="s">
        <v>17</v>
      </c>
      <c r="J136" s="2">
        <v>8.32</v>
      </c>
      <c r="K136" s="2" t="str">
        <f t="shared" si="6"/>
        <v>&gt;5kg</v>
      </c>
      <c r="L136" s="2">
        <f>tdata[[#This Row],[Received_date]]-tdata[[#This Row],[Shipment_Date]]</f>
        <v>10</v>
      </c>
      <c r="M136" s="2">
        <f>VLOOKUP(tdata[[#This Row],[Service_Type]],Table2[#All],2,0)</f>
        <v>1</v>
      </c>
      <c r="N136" s="2" t="str">
        <f>IF(tdata[[#This Row],[Delivery_Days]]&lt;=tdata[[#This Row],[SLA_Days]],"On Time","Late")</f>
        <v>Late</v>
      </c>
      <c r="O136" s="2">
        <f>VLOOKUP(tdata[[#This Row],[Service_Type]],Table2[#All],4,0)</f>
        <v>12000</v>
      </c>
      <c r="P136" s="2">
        <f>tdata[[#This Row],[price_per_kilo]]*tdata[[#This Row],[Weight_KG]]</f>
        <v>99840</v>
      </c>
      <c r="Q136" s="2" t="str">
        <f>VLOOKUP(tdata[[#This Row],[id_employee]],temployee[#All],2,0)</f>
        <v>Intan Maharani</v>
      </c>
      <c r="R136" s="2" t="str">
        <f>VLOOKUP(tdata[[#This Row],[id_employee]],temployee[#All],4,0)</f>
        <v>internal</v>
      </c>
      <c r="S136" s="9" t="str">
        <f>VLOOKUP(tdata[[#This Row],[id_employee]],temployee[#All],5,0)</f>
        <v>rider</v>
      </c>
    </row>
    <row r="137" spans="2:19" x14ac:dyDescent="0.35">
      <c r="B137" s="8" t="s">
        <v>156</v>
      </c>
      <c r="C137" s="2" t="s">
        <v>1306</v>
      </c>
      <c r="D137" s="5">
        <v>45262</v>
      </c>
      <c r="E137" s="5">
        <v>45264</v>
      </c>
      <c r="F137" s="2" t="s">
        <v>22</v>
      </c>
      <c r="G137" s="2" t="s">
        <v>22</v>
      </c>
      <c r="H137" s="2" t="s">
        <v>23</v>
      </c>
      <c r="I137" s="2" t="s">
        <v>17</v>
      </c>
      <c r="J137" s="2">
        <v>6.01</v>
      </c>
      <c r="K137" s="2" t="str">
        <f t="shared" si="6"/>
        <v>&gt;5kg</v>
      </c>
      <c r="L137" s="2">
        <f>tdata[[#This Row],[Received_date]]-tdata[[#This Row],[Shipment_Date]]</f>
        <v>2</v>
      </c>
      <c r="M137" s="2">
        <f>VLOOKUP(tdata[[#This Row],[Service_Type]],Table2[#All],2,0)</f>
        <v>5</v>
      </c>
      <c r="N137" s="2" t="str">
        <f>IF(tdata[[#This Row],[Delivery_Days]]&lt;=tdata[[#This Row],[SLA_Days]],"On Time","Late")</f>
        <v>On Time</v>
      </c>
      <c r="O137" s="2">
        <f>VLOOKUP(tdata[[#This Row],[Service_Type]],Table2[#All],4,0)</f>
        <v>9000</v>
      </c>
      <c r="P137" s="2">
        <f>tdata[[#This Row],[price_per_kilo]]*tdata[[#This Row],[Weight_KG]]</f>
        <v>54090</v>
      </c>
      <c r="Q137" s="2" t="str">
        <f>VLOOKUP(tdata[[#This Row],[id_employee]],temployee[#All],2,0)</f>
        <v>Jefri Alamsyah</v>
      </c>
      <c r="R137" s="2" t="str">
        <f>VLOOKUP(tdata[[#This Row],[id_employee]],temployee[#All],4,0)</f>
        <v>internal</v>
      </c>
      <c r="S137" s="9" t="str">
        <f>VLOOKUP(tdata[[#This Row],[id_employee]],temployee[#All],5,0)</f>
        <v>driver</v>
      </c>
    </row>
    <row r="138" spans="2:19" x14ac:dyDescent="0.35">
      <c r="B138" s="8" t="s">
        <v>157</v>
      </c>
      <c r="C138" s="2" t="s">
        <v>1307</v>
      </c>
      <c r="D138" s="5">
        <v>44939</v>
      </c>
      <c r="E138" s="5">
        <f>D138+4</f>
        <v>44943</v>
      </c>
      <c r="F138" s="2" t="s">
        <v>12</v>
      </c>
      <c r="G138" s="2" t="s">
        <v>11</v>
      </c>
      <c r="H138" s="2" t="s">
        <v>1224</v>
      </c>
      <c r="I138" s="2" t="s">
        <v>13</v>
      </c>
      <c r="J138" s="2">
        <v>8.3699999999999992</v>
      </c>
      <c r="K138" s="2" t="str">
        <f t="shared" si="6"/>
        <v>&gt;5kg</v>
      </c>
      <c r="L138" s="2">
        <f>tdata[[#This Row],[Received_date]]-tdata[[#This Row],[Shipment_Date]]</f>
        <v>4</v>
      </c>
      <c r="M138" s="2">
        <f>VLOOKUP(tdata[[#This Row],[Service_Type]],Table2[#All],2,0)</f>
        <v>3</v>
      </c>
      <c r="N138" s="2" t="str">
        <f>IF(tdata[[#This Row],[Delivery_Days]]&lt;=tdata[[#This Row],[SLA_Days]],"On Time","Late")</f>
        <v>Late</v>
      </c>
      <c r="O138" s="2">
        <f>VLOOKUP(tdata[[#This Row],[Service_Type]],Table2[#All],4,0)</f>
        <v>10000</v>
      </c>
      <c r="P138" s="2">
        <f>tdata[[#This Row],[price_per_kilo]]*tdata[[#This Row],[Weight_KG]]</f>
        <v>83699.999999999985</v>
      </c>
      <c r="Q138" s="2" t="str">
        <f>VLOOKUP(tdata[[#This Row],[id_employee]],temployee[#All],2,0)</f>
        <v>Kartika Sari</v>
      </c>
      <c r="R138" s="2" t="str">
        <f>VLOOKUP(tdata[[#This Row],[id_employee]],temployee[#All],4,0)</f>
        <v>crowd source</v>
      </c>
      <c r="S138" s="9" t="str">
        <f>VLOOKUP(tdata[[#This Row],[id_employee]],temployee[#All],5,0)</f>
        <v>rider</v>
      </c>
    </row>
    <row r="139" spans="2:19" x14ac:dyDescent="0.35">
      <c r="B139" s="8" t="s">
        <v>158</v>
      </c>
      <c r="C139" s="2" t="s">
        <v>1308</v>
      </c>
      <c r="D139" s="5">
        <v>44998</v>
      </c>
      <c r="E139" s="5">
        <v>45006</v>
      </c>
      <c r="F139" s="2" t="s">
        <v>30</v>
      </c>
      <c r="G139" s="2" t="s">
        <v>22</v>
      </c>
      <c r="H139" s="2" t="s">
        <v>1224</v>
      </c>
      <c r="I139" s="2" t="s">
        <v>17</v>
      </c>
      <c r="J139" s="2">
        <v>8.2799999999999994</v>
      </c>
      <c r="K139" s="2" t="str">
        <f t="shared" si="6"/>
        <v>&gt;5kg</v>
      </c>
      <c r="L139" s="2">
        <f>tdata[[#This Row],[Received_date]]-tdata[[#This Row],[Shipment_Date]]</f>
        <v>8</v>
      </c>
      <c r="M139" s="2">
        <f>VLOOKUP(tdata[[#This Row],[Service_Type]],Table2[#All],2,0)</f>
        <v>3</v>
      </c>
      <c r="N139" s="2" t="str">
        <f>IF(tdata[[#This Row],[Delivery_Days]]&lt;=tdata[[#This Row],[SLA_Days]],"On Time","Late")</f>
        <v>Late</v>
      </c>
      <c r="O139" s="2">
        <f>VLOOKUP(tdata[[#This Row],[Service_Type]],Table2[#All],4,0)</f>
        <v>10000</v>
      </c>
      <c r="P139" s="2">
        <f>tdata[[#This Row],[price_per_kilo]]*tdata[[#This Row],[Weight_KG]]</f>
        <v>82800</v>
      </c>
      <c r="Q139" s="2" t="str">
        <f>VLOOKUP(tdata[[#This Row],[id_employee]],temployee[#All],2,0)</f>
        <v>Lukman Hakim</v>
      </c>
      <c r="R139" s="2" t="str">
        <f>VLOOKUP(tdata[[#This Row],[id_employee]],temployee[#All],4,0)</f>
        <v>internal</v>
      </c>
      <c r="S139" s="9" t="str">
        <f>VLOOKUP(tdata[[#This Row],[id_employee]],temployee[#All],5,0)</f>
        <v>driver</v>
      </c>
    </row>
    <row r="140" spans="2:19" x14ac:dyDescent="0.35">
      <c r="B140" s="8" t="s">
        <v>159</v>
      </c>
      <c r="C140" s="2" t="s">
        <v>1309</v>
      </c>
      <c r="D140" s="5">
        <v>45218</v>
      </c>
      <c r="E140" s="5">
        <f>D140+4</f>
        <v>45222</v>
      </c>
      <c r="F140" s="2" t="s">
        <v>32</v>
      </c>
      <c r="G140" s="2" t="s">
        <v>30</v>
      </c>
      <c r="H140" s="2" t="s">
        <v>1224</v>
      </c>
      <c r="I140" s="2" t="s">
        <v>13</v>
      </c>
      <c r="J140" s="2">
        <v>9.06</v>
      </c>
      <c r="K140" s="2" t="str">
        <f t="shared" si="6"/>
        <v>&gt;5kg</v>
      </c>
      <c r="L140" s="2">
        <f>tdata[[#This Row],[Received_date]]-tdata[[#This Row],[Shipment_Date]]</f>
        <v>4</v>
      </c>
      <c r="M140" s="2">
        <f>VLOOKUP(tdata[[#This Row],[Service_Type]],Table2[#All],2,0)</f>
        <v>3</v>
      </c>
      <c r="N140" s="2" t="str">
        <f>IF(tdata[[#This Row],[Delivery_Days]]&lt;=tdata[[#This Row],[SLA_Days]],"On Time","Late")</f>
        <v>Late</v>
      </c>
      <c r="O140" s="2">
        <f>VLOOKUP(tdata[[#This Row],[Service_Type]],Table2[#All],4,0)</f>
        <v>10000</v>
      </c>
      <c r="P140" s="2">
        <f>tdata[[#This Row],[price_per_kilo]]*tdata[[#This Row],[Weight_KG]]</f>
        <v>90600</v>
      </c>
      <c r="Q140" s="2" t="str">
        <f>VLOOKUP(tdata[[#This Row],[id_employee]],temployee[#All],2,0)</f>
        <v>Mega Puspitasari</v>
      </c>
      <c r="R140" s="2" t="str">
        <f>VLOOKUP(tdata[[#This Row],[id_employee]],temployee[#All],4,0)</f>
        <v>internal</v>
      </c>
      <c r="S140" s="9" t="str">
        <f>VLOOKUP(tdata[[#This Row],[id_employee]],temployee[#All],5,0)</f>
        <v>rider</v>
      </c>
    </row>
    <row r="141" spans="2:19" x14ac:dyDescent="0.35">
      <c r="B141" s="8" t="s">
        <v>160</v>
      </c>
      <c r="C141" s="2" t="s">
        <v>1310</v>
      </c>
      <c r="D141" s="5">
        <v>45079</v>
      </c>
      <c r="E141" s="5">
        <v>45079</v>
      </c>
      <c r="F141" s="2" t="s">
        <v>16</v>
      </c>
      <c r="G141" s="2" t="s">
        <v>12</v>
      </c>
      <c r="H141" s="2" t="s">
        <v>23</v>
      </c>
      <c r="I141" s="2" t="s">
        <v>17</v>
      </c>
      <c r="J141" s="2">
        <v>8.31</v>
      </c>
      <c r="K141" s="2" t="str">
        <f t="shared" si="6"/>
        <v>&gt;5kg</v>
      </c>
      <c r="L141" s="2">
        <f>tdata[[#This Row],[Received_date]]-tdata[[#This Row],[Shipment_Date]]</f>
        <v>0</v>
      </c>
      <c r="M141" s="2">
        <f>VLOOKUP(tdata[[#This Row],[Service_Type]],Table2[#All],2,0)</f>
        <v>5</v>
      </c>
      <c r="N141" s="2" t="str">
        <f>IF(tdata[[#This Row],[Delivery_Days]]&lt;=tdata[[#This Row],[SLA_Days]],"On Time","Late")</f>
        <v>On Time</v>
      </c>
      <c r="O141" s="2">
        <f>VLOOKUP(tdata[[#This Row],[Service_Type]],Table2[#All],4,0)</f>
        <v>9000</v>
      </c>
      <c r="P141" s="2">
        <f>tdata[[#This Row],[price_per_kilo]]*tdata[[#This Row],[Weight_KG]]</f>
        <v>74790</v>
      </c>
      <c r="Q141" s="2" t="str">
        <f>VLOOKUP(tdata[[#This Row],[id_employee]],temployee[#All],2,0)</f>
        <v>Niko Prasetyo</v>
      </c>
      <c r="R141" s="2" t="str">
        <f>VLOOKUP(tdata[[#This Row],[id_employee]],temployee[#All],4,0)</f>
        <v>crowd source</v>
      </c>
      <c r="S141" s="9" t="str">
        <f>VLOOKUP(tdata[[#This Row],[id_employee]],temployee[#All],5,0)</f>
        <v>driver</v>
      </c>
    </row>
    <row r="142" spans="2:19" x14ac:dyDescent="0.35">
      <c r="B142" s="8" t="s">
        <v>161</v>
      </c>
      <c r="C142" s="2" t="s">
        <v>1311</v>
      </c>
      <c r="D142" s="5">
        <v>45253</v>
      </c>
      <c r="E142" s="5">
        <v>45253</v>
      </c>
      <c r="F142" s="2" t="s">
        <v>26</v>
      </c>
      <c r="G142" s="2" t="s">
        <v>15</v>
      </c>
      <c r="H142" s="2" t="s">
        <v>1223</v>
      </c>
      <c r="I142" s="2" t="s">
        <v>17</v>
      </c>
      <c r="J142" s="2">
        <v>3.34</v>
      </c>
      <c r="K142" s="2" t="str">
        <f t="shared" si="6"/>
        <v>&lt; 5kg</v>
      </c>
      <c r="L142" s="2">
        <f>tdata[[#This Row],[Received_date]]-tdata[[#This Row],[Shipment_Date]]</f>
        <v>0</v>
      </c>
      <c r="M142" s="2">
        <f>VLOOKUP(tdata[[#This Row],[Service_Type]],Table2[#All],2,0)</f>
        <v>1</v>
      </c>
      <c r="N142" s="2" t="str">
        <f>IF(tdata[[#This Row],[Delivery_Days]]&lt;=tdata[[#This Row],[SLA_Days]],"On Time","Late")</f>
        <v>On Time</v>
      </c>
      <c r="O142" s="2">
        <f>VLOOKUP(tdata[[#This Row],[Service_Type]],Table2[#All],4,0)</f>
        <v>12000</v>
      </c>
      <c r="P142" s="2">
        <f>tdata[[#This Row],[price_per_kilo]]*tdata[[#This Row],[Weight_KG]]</f>
        <v>40080</v>
      </c>
      <c r="Q142" s="2" t="str">
        <f>VLOOKUP(tdata[[#This Row],[id_employee]],temployee[#All],2,0)</f>
        <v>Olivia Putri</v>
      </c>
      <c r="R142" s="2" t="str">
        <f>VLOOKUP(tdata[[#This Row],[id_employee]],temployee[#All],4,0)</f>
        <v>internal</v>
      </c>
      <c r="S142" s="9" t="str">
        <f>VLOOKUP(tdata[[#This Row],[id_employee]],temployee[#All],5,0)</f>
        <v>rider</v>
      </c>
    </row>
    <row r="143" spans="2:19" x14ac:dyDescent="0.35">
      <c r="B143" s="8" t="s">
        <v>162</v>
      </c>
      <c r="C143" s="2" t="s">
        <v>1312</v>
      </c>
      <c r="D143" s="5">
        <v>45103</v>
      </c>
      <c r="E143" s="5">
        <v>45103</v>
      </c>
      <c r="F143" s="2" t="s">
        <v>49</v>
      </c>
      <c r="G143" s="2" t="s">
        <v>15</v>
      </c>
      <c r="H143" s="2" t="s">
        <v>1223</v>
      </c>
      <c r="I143" s="2" t="s">
        <v>17</v>
      </c>
      <c r="J143" s="2">
        <v>3.91</v>
      </c>
      <c r="K143" s="2" t="str">
        <f t="shared" si="6"/>
        <v>&lt; 5kg</v>
      </c>
      <c r="L143" s="2">
        <f>tdata[[#This Row],[Received_date]]-tdata[[#This Row],[Shipment_Date]]</f>
        <v>0</v>
      </c>
      <c r="M143" s="2">
        <f>VLOOKUP(tdata[[#This Row],[Service_Type]],Table2[#All],2,0)</f>
        <v>1</v>
      </c>
      <c r="N143" s="2" t="str">
        <f>IF(tdata[[#This Row],[Delivery_Days]]&lt;=tdata[[#This Row],[SLA_Days]],"On Time","Late")</f>
        <v>On Time</v>
      </c>
      <c r="O143" s="2">
        <f>VLOOKUP(tdata[[#This Row],[Service_Type]],Table2[#All],4,0)</f>
        <v>12000</v>
      </c>
      <c r="P143" s="2">
        <f>tdata[[#This Row],[price_per_kilo]]*tdata[[#This Row],[Weight_KG]]</f>
        <v>46920</v>
      </c>
      <c r="Q143" s="2" t="str">
        <f>VLOOKUP(tdata[[#This Row],[id_employee]],temployee[#All],2,0)</f>
        <v>Prasetyo Utomo</v>
      </c>
      <c r="R143" s="2" t="str">
        <f>VLOOKUP(tdata[[#This Row],[id_employee]],temployee[#All],4,0)</f>
        <v>internal</v>
      </c>
      <c r="S143" s="9" t="str">
        <f>VLOOKUP(tdata[[#This Row],[id_employee]],temployee[#All],5,0)</f>
        <v>driver</v>
      </c>
    </row>
    <row r="144" spans="2:19" x14ac:dyDescent="0.35">
      <c r="B144" s="8" t="s">
        <v>163</v>
      </c>
      <c r="C144" s="2" t="s">
        <v>1313</v>
      </c>
      <c r="D144" s="5">
        <v>45390</v>
      </c>
      <c r="E144" s="5">
        <v>45396</v>
      </c>
      <c r="F144" s="2" t="s">
        <v>11</v>
      </c>
      <c r="G144" s="2" t="s">
        <v>22</v>
      </c>
      <c r="H144" s="2" t="s">
        <v>1223</v>
      </c>
      <c r="I144" s="2" t="s">
        <v>17</v>
      </c>
      <c r="J144" s="2">
        <v>3.26</v>
      </c>
      <c r="K144" s="2" t="str">
        <f t="shared" si="6"/>
        <v>&lt; 5kg</v>
      </c>
      <c r="L144" s="2">
        <f>tdata[[#This Row],[Received_date]]-tdata[[#This Row],[Shipment_Date]]</f>
        <v>6</v>
      </c>
      <c r="M144" s="2">
        <f>VLOOKUP(tdata[[#This Row],[Service_Type]],Table2[#All],2,0)</f>
        <v>1</v>
      </c>
      <c r="N144" s="2" t="str">
        <f>IF(tdata[[#This Row],[Delivery_Days]]&lt;=tdata[[#This Row],[SLA_Days]],"On Time","Late")</f>
        <v>Late</v>
      </c>
      <c r="O144" s="2">
        <f>VLOOKUP(tdata[[#This Row],[Service_Type]],Table2[#All],4,0)</f>
        <v>12000</v>
      </c>
      <c r="P144" s="2">
        <f>tdata[[#This Row],[price_per_kilo]]*tdata[[#This Row],[Weight_KG]]</f>
        <v>39120</v>
      </c>
      <c r="Q144" s="2" t="str">
        <f>VLOOKUP(tdata[[#This Row],[id_employee]],temployee[#All],2,0)</f>
        <v>Qori Annisa</v>
      </c>
      <c r="R144" s="2" t="str">
        <f>VLOOKUP(tdata[[#This Row],[id_employee]],temployee[#All],4,0)</f>
        <v>crowd source</v>
      </c>
      <c r="S144" s="9" t="str">
        <f>VLOOKUP(tdata[[#This Row],[id_employee]],temployee[#All],5,0)</f>
        <v>rider</v>
      </c>
    </row>
    <row r="145" spans="2:19" x14ac:dyDescent="0.35">
      <c r="B145" s="8" t="s">
        <v>164</v>
      </c>
      <c r="C145" s="2" t="s">
        <v>1314</v>
      </c>
      <c r="D145" s="5">
        <v>44983</v>
      </c>
      <c r="E145" s="5">
        <v>44983</v>
      </c>
      <c r="F145" s="2" t="s">
        <v>15</v>
      </c>
      <c r="G145" s="2" t="s">
        <v>16</v>
      </c>
      <c r="H145" s="2" t="s">
        <v>1224</v>
      </c>
      <c r="I145" s="2" t="s">
        <v>17</v>
      </c>
      <c r="J145" s="2">
        <v>5.25</v>
      </c>
      <c r="K145" s="2" t="str">
        <f t="shared" si="6"/>
        <v>&gt;5kg</v>
      </c>
      <c r="L145" s="2">
        <f>tdata[[#This Row],[Received_date]]-tdata[[#This Row],[Shipment_Date]]</f>
        <v>0</v>
      </c>
      <c r="M145" s="2">
        <f>VLOOKUP(tdata[[#This Row],[Service_Type]],Table2[#All],2,0)</f>
        <v>3</v>
      </c>
      <c r="N145" s="2" t="str">
        <f>IF(tdata[[#This Row],[Delivery_Days]]&lt;=tdata[[#This Row],[SLA_Days]],"On Time","Late")</f>
        <v>On Time</v>
      </c>
      <c r="O145" s="2">
        <f>VLOOKUP(tdata[[#This Row],[Service_Type]],Table2[#All],4,0)</f>
        <v>10000</v>
      </c>
      <c r="P145" s="2">
        <f>tdata[[#This Row],[price_per_kilo]]*tdata[[#This Row],[Weight_KG]]</f>
        <v>52500</v>
      </c>
      <c r="Q145" s="2" t="str">
        <f>VLOOKUP(tdata[[#This Row],[id_employee]],temployee[#All],2,0)</f>
        <v>Rangga Saptonugroho</v>
      </c>
      <c r="R145" s="2" t="str">
        <f>VLOOKUP(tdata[[#This Row],[id_employee]],temployee[#All],4,0)</f>
        <v>crowd source</v>
      </c>
      <c r="S145" s="9" t="str">
        <f>VLOOKUP(tdata[[#This Row],[id_employee]],temployee[#All],5,0)</f>
        <v>driver</v>
      </c>
    </row>
    <row r="146" spans="2:19" x14ac:dyDescent="0.35">
      <c r="B146" s="8" t="s">
        <v>165</v>
      </c>
      <c r="C146" s="2" t="s">
        <v>1315</v>
      </c>
      <c r="D146" s="5">
        <v>45008</v>
      </c>
      <c r="E146" s="5">
        <v>45018</v>
      </c>
      <c r="F146" s="2" t="s">
        <v>20</v>
      </c>
      <c r="G146" s="2" t="s">
        <v>26</v>
      </c>
      <c r="H146" s="2" t="s">
        <v>1224</v>
      </c>
      <c r="I146" s="2" t="s">
        <v>17</v>
      </c>
      <c r="J146" s="2">
        <v>8.67</v>
      </c>
      <c r="K146" s="2" t="str">
        <f t="shared" si="6"/>
        <v>&gt;5kg</v>
      </c>
      <c r="L146" s="2">
        <f>tdata[[#This Row],[Received_date]]-tdata[[#This Row],[Shipment_Date]]</f>
        <v>10</v>
      </c>
      <c r="M146" s="2">
        <f>VLOOKUP(tdata[[#This Row],[Service_Type]],Table2[#All],2,0)</f>
        <v>3</v>
      </c>
      <c r="N146" s="2" t="str">
        <f>IF(tdata[[#This Row],[Delivery_Days]]&lt;=tdata[[#This Row],[SLA_Days]],"On Time","Late")</f>
        <v>Late</v>
      </c>
      <c r="O146" s="2">
        <f>VLOOKUP(tdata[[#This Row],[Service_Type]],Table2[#All],4,0)</f>
        <v>10000</v>
      </c>
      <c r="P146" s="2">
        <f>tdata[[#This Row],[price_per_kilo]]*tdata[[#This Row],[Weight_KG]]</f>
        <v>86700</v>
      </c>
      <c r="Q146" s="2" t="str">
        <f>VLOOKUP(tdata[[#This Row],[id_employee]],temployee[#All],2,0)</f>
        <v>Sinta Dewi</v>
      </c>
      <c r="R146" s="2" t="str">
        <f>VLOOKUP(tdata[[#This Row],[id_employee]],temployee[#All],4,0)</f>
        <v>internal</v>
      </c>
      <c r="S146" s="9" t="str">
        <f>VLOOKUP(tdata[[#This Row],[id_employee]],temployee[#All],5,0)</f>
        <v>rider</v>
      </c>
    </row>
    <row r="147" spans="2:19" x14ac:dyDescent="0.35">
      <c r="B147" s="8" t="s">
        <v>166</v>
      </c>
      <c r="C147" s="2" t="s">
        <v>1316</v>
      </c>
      <c r="D147" s="5">
        <v>45107</v>
      </c>
      <c r="E147" s="5">
        <v>45117</v>
      </c>
      <c r="F147" s="2" t="s">
        <v>22</v>
      </c>
      <c r="G147" s="2" t="s">
        <v>12</v>
      </c>
      <c r="H147" s="2" t="s">
        <v>1224</v>
      </c>
      <c r="I147" s="2" t="s">
        <v>17</v>
      </c>
      <c r="J147" s="2">
        <v>0.61</v>
      </c>
      <c r="K147" s="2" t="str">
        <f t="shared" si="6"/>
        <v>&lt; 5kg</v>
      </c>
      <c r="L147" s="2">
        <f>tdata[[#This Row],[Received_date]]-tdata[[#This Row],[Shipment_Date]]</f>
        <v>10</v>
      </c>
      <c r="M147" s="2">
        <f>VLOOKUP(tdata[[#This Row],[Service_Type]],Table2[#All],2,0)</f>
        <v>3</v>
      </c>
      <c r="N147" s="2" t="str">
        <f>IF(tdata[[#This Row],[Delivery_Days]]&lt;=tdata[[#This Row],[SLA_Days]],"On Time","Late")</f>
        <v>Late</v>
      </c>
      <c r="O147" s="2">
        <f>VLOOKUP(tdata[[#This Row],[Service_Type]],Table2[#All],4,0)</f>
        <v>10000</v>
      </c>
      <c r="P147" s="2">
        <f>tdata[[#This Row],[price_per_kilo]]*tdata[[#This Row],[Weight_KG]]</f>
        <v>6100</v>
      </c>
      <c r="Q147" s="2" t="str">
        <f>VLOOKUP(tdata[[#This Row],[id_employee]],temployee[#All],2,0)</f>
        <v>Taufik Hidayat</v>
      </c>
      <c r="R147" s="2" t="str">
        <f>VLOOKUP(tdata[[#This Row],[id_employee]],temployee[#All],4,0)</f>
        <v>internal</v>
      </c>
      <c r="S147" s="9" t="str">
        <f>VLOOKUP(tdata[[#This Row],[id_employee]],temployee[#All],5,0)</f>
        <v>driver</v>
      </c>
    </row>
    <row r="148" spans="2:19" x14ac:dyDescent="0.35">
      <c r="B148" s="8" t="s">
        <v>167</v>
      </c>
      <c r="C148" s="2" t="s">
        <v>1317</v>
      </c>
      <c r="D148" s="5">
        <v>44958</v>
      </c>
      <c r="E148" s="5">
        <v>44967</v>
      </c>
      <c r="F148" s="2" t="s">
        <v>12</v>
      </c>
      <c r="G148" s="2" t="s">
        <v>30</v>
      </c>
      <c r="H148" s="2" t="s">
        <v>1224</v>
      </c>
      <c r="I148" s="2" t="s">
        <v>13</v>
      </c>
      <c r="J148" s="2">
        <v>5.74</v>
      </c>
      <c r="K148" s="2" t="str">
        <f t="shared" si="6"/>
        <v>&gt;5kg</v>
      </c>
      <c r="L148" s="2">
        <f>tdata[[#This Row],[Received_date]]-tdata[[#This Row],[Shipment_Date]]</f>
        <v>9</v>
      </c>
      <c r="M148" s="2">
        <f>VLOOKUP(tdata[[#This Row],[Service_Type]],Table2[#All],2,0)</f>
        <v>3</v>
      </c>
      <c r="N148" s="2" t="str">
        <f>IF(tdata[[#This Row],[Delivery_Days]]&lt;=tdata[[#This Row],[SLA_Days]],"On Time","Late")</f>
        <v>Late</v>
      </c>
      <c r="O148" s="2">
        <f>VLOOKUP(tdata[[#This Row],[Service_Type]],Table2[#All],4,0)</f>
        <v>10000</v>
      </c>
      <c r="P148" s="2">
        <f>tdata[[#This Row],[price_per_kilo]]*tdata[[#This Row],[Weight_KG]]</f>
        <v>57400</v>
      </c>
      <c r="Q148" s="2" t="str">
        <f>VLOOKUP(tdata[[#This Row],[id_employee]],temployee[#All],2,0)</f>
        <v>Usman Ali</v>
      </c>
      <c r="R148" s="2" t="str">
        <f>VLOOKUP(tdata[[#This Row],[id_employee]],temployee[#All],4,0)</f>
        <v>crowd source</v>
      </c>
      <c r="S148" s="9" t="str">
        <f>VLOOKUP(tdata[[#This Row],[id_employee]],temployee[#All],5,0)</f>
        <v>rider</v>
      </c>
    </row>
    <row r="149" spans="2:19" x14ac:dyDescent="0.35">
      <c r="B149" s="8" t="s">
        <v>168</v>
      </c>
      <c r="C149" s="2" t="s">
        <v>1318</v>
      </c>
      <c r="D149" s="5">
        <v>45407</v>
      </c>
      <c r="E149" s="5">
        <f>D149+4</f>
        <v>45411</v>
      </c>
      <c r="F149" s="2" t="s">
        <v>30</v>
      </c>
      <c r="G149" s="2" t="s">
        <v>15</v>
      </c>
      <c r="H149" s="2" t="s">
        <v>1224</v>
      </c>
      <c r="I149" s="2" t="s">
        <v>13</v>
      </c>
      <c r="J149" s="2">
        <v>8.07</v>
      </c>
      <c r="K149" s="2" t="str">
        <f t="shared" si="6"/>
        <v>&gt;5kg</v>
      </c>
      <c r="L149" s="2">
        <f>tdata[[#This Row],[Received_date]]-tdata[[#This Row],[Shipment_Date]]</f>
        <v>4</v>
      </c>
      <c r="M149" s="2">
        <f>VLOOKUP(tdata[[#This Row],[Service_Type]],Table2[#All],2,0)</f>
        <v>3</v>
      </c>
      <c r="N149" s="2" t="str">
        <f>IF(tdata[[#This Row],[Delivery_Days]]&lt;=tdata[[#This Row],[SLA_Days]],"On Time","Late")</f>
        <v>Late</v>
      </c>
      <c r="O149" s="2">
        <f>VLOOKUP(tdata[[#This Row],[Service_Type]],Table2[#All],4,0)</f>
        <v>10000</v>
      </c>
      <c r="P149" s="2">
        <f>tdata[[#This Row],[price_per_kilo]]*tdata[[#This Row],[Weight_KG]]</f>
        <v>80700</v>
      </c>
      <c r="Q149" s="2" t="str">
        <f>VLOOKUP(tdata[[#This Row],[id_employee]],temployee[#All],2,0)</f>
        <v>Vivi Lestari</v>
      </c>
      <c r="R149" s="2" t="str">
        <f>VLOOKUP(tdata[[#This Row],[id_employee]],temployee[#All],4,0)</f>
        <v>internal</v>
      </c>
      <c r="S149" s="9" t="str">
        <f>VLOOKUP(tdata[[#This Row],[id_employee]],temployee[#All],5,0)</f>
        <v>rider</v>
      </c>
    </row>
    <row r="150" spans="2:19" x14ac:dyDescent="0.35">
      <c r="B150" s="8" t="s">
        <v>169</v>
      </c>
      <c r="C150" s="2" t="s">
        <v>1319</v>
      </c>
      <c r="D150" s="5">
        <v>45623</v>
      </c>
      <c r="E150" s="5">
        <v>45626</v>
      </c>
      <c r="F150" s="2" t="s">
        <v>32</v>
      </c>
      <c r="G150" s="2" t="s">
        <v>20</v>
      </c>
      <c r="H150" s="2" t="s">
        <v>1224</v>
      </c>
      <c r="I150" s="2" t="s">
        <v>17</v>
      </c>
      <c r="J150" s="2">
        <v>5.69</v>
      </c>
      <c r="K150" s="2" t="str">
        <f t="shared" si="6"/>
        <v>&gt;5kg</v>
      </c>
      <c r="L150" s="2">
        <f>tdata[[#This Row],[Received_date]]-tdata[[#This Row],[Shipment_Date]]</f>
        <v>3</v>
      </c>
      <c r="M150" s="2">
        <f>VLOOKUP(tdata[[#This Row],[Service_Type]],Table2[#All],2,0)</f>
        <v>3</v>
      </c>
      <c r="N150" s="2" t="str">
        <f>IF(tdata[[#This Row],[Delivery_Days]]&lt;=tdata[[#This Row],[SLA_Days]],"On Time","Late")</f>
        <v>On Time</v>
      </c>
      <c r="O150" s="2">
        <f>VLOOKUP(tdata[[#This Row],[Service_Type]],Table2[#All],4,0)</f>
        <v>10000</v>
      </c>
      <c r="P150" s="2">
        <f>tdata[[#This Row],[price_per_kilo]]*tdata[[#This Row],[Weight_KG]]</f>
        <v>56900.000000000007</v>
      </c>
      <c r="Q150" s="2" t="str">
        <f>VLOOKUP(tdata[[#This Row],[id_employee]],temployee[#All],2,0)</f>
        <v>Wawan Setiabudi</v>
      </c>
      <c r="R150" s="2" t="str">
        <f>VLOOKUP(tdata[[#This Row],[id_employee]],temployee[#All],4,0)</f>
        <v>internal</v>
      </c>
      <c r="S150" s="9" t="str">
        <f>VLOOKUP(tdata[[#This Row],[id_employee]],temployee[#All],5,0)</f>
        <v>driver</v>
      </c>
    </row>
    <row r="151" spans="2:19" x14ac:dyDescent="0.35">
      <c r="B151" s="8" t="s">
        <v>170</v>
      </c>
      <c r="C151" s="2" t="s">
        <v>1320</v>
      </c>
      <c r="D151" s="5">
        <v>44976</v>
      </c>
      <c r="E151" s="5">
        <v>44986</v>
      </c>
      <c r="F151" s="2" t="s">
        <v>16</v>
      </c>
      <c r="G151" s="2" t="s">
        <v>32</v>
      </c>
      <c r="H151" s="2" t="s">
        <v>1224</v>
      </c>
      <c r="I151" s="2" t="s">
        <v>17</v>
      </c>
      <c r="J151" s="2">
        <v>6.72</v>
      </c>
      <c r="K151" s="2" t="str">
        <f t="shared" si="6"/>
        <v>&gt;5kg</v>
      </c>
      <c r="L151" s="2">
        <f>tdata[[#This Row],[Received_date]]-tdata[[#This Row],[Shipment_Date]]</f>
        <v>10</v>
      </c>
      <c r="M151" s="2">
        <f>VLOOKUP(tdata[[#This Row],[Service_Type]],Table2[#All],2,0)</f>
        <v>3</v>
      </c>
      <c r="N151" s="2" t="str">
        <f>IF(tdata[[#This Row],[Delivery_Days]]&lt;=tdata[[#This Row],[SLA_Days]],"On Time","Late")</f>
        <v>Late</v>
      </c>
      <c r="O151" s="2">
        <f>VLOOKUP(tdata[[#This Row],[Service_Type]],Table2[#All],4,0)</f>
        <v>10000</v>
      </c>
      <c r="P151" s="2">
        <f>tdata[[#This Row],[price_per_kilo]]*tdata[[#This Row],[Weight_KG]]</f>
        <v>67200</v>
      </c>
      <c r="Q151" s="2" t="str">
        <f>VLOOKUP(tdata[[#This Row],[id_employee]],temployee[#All],2,0)</f>
        <v>Xenia Maharani</v>
      </c>
      <c r="R151" s="2" t="str">
        <f>VLOOKUP(tdata[[#This Row],[id_employee]],temployee[#All],4,0)</f>
        <v>crowd source</v>
      </c>
      <c r="S151" s="9" t="str">
        <f>VLOOKUP(tdata[[#This Row],[id_employee]],temployee[#All],5,0)</f>
        <v>rider</v>
      </c>
    </row>
    <row r="152" spans="2:19" x14ac:dyDescent="0.35">
      <c r="B152" s="8" t="s">
        <v>171</v>
      </c>
      <c r="C152" s="2" t="s">
        <v>1321</v>
      </c>
      <c r="D152" s="5">
        <v>45625</v>
      </c>
      <c r="E152" s="5">
        <v>45634</v>
      </c>
      <c r="F152" s="2" t="s">
        <v>26</v>
      </c>
      <c r="G152" s="2" t="s">
        <v>20</v>
      </c>
      <c r="H152" s="2" t="s">
        <v>23</v>
      </c>
      <c r="I152" s="2" t="s">
        <v>13</v>
      </c>
      <c r="J152" s="2">
        <v>4.97</v>
      </c>
      <c r="K152" s="2" t="str">
        <f t="shared" si="6"/>
        <v>&lt; 5kg</v>
      </c>
      <c r="L152" s="2">
        <f>tdata[[#This Row],[Received_date]]-tdata[[#This Row],[Shipment_Date]]</f>
        <v>9</v>
      </c>
      <c r="M152" s="2">
        <f>VLOOKUP(tdata[[#This Row],[Service_Type]],Table2[#All],2,0)</f>
        <v>5</v>
      </c>
      <c r="N152" s="2" t="str">
        <f>IF(tdata[[#This Row],[Delivery_Days]]&lt;=tdata[[#This Row],[SLA_Days]],"On Time","Late")</f>
        <v>Late</v>
      </c>
      <c r="O152" s="2">
        <f>VLOOKUP(tdata[[#This Row],[Service_Type]],Table2[#All],4,0)</f>
        <v>9000</v>
      </c>
      <c r="P152" s="2">
        <f>tdata[[#This Row],[price_per_kilo]]*tdata[[#This Row],[Weight_KG]]</f>
        <v>44730</v>
      </c>
      <c r="Q152" s="2" t="str">
        <f>VLOOKUP(tdata[[#This Row],[id_employee]],temployee[#All],2,0)</f>
        <v>Yoga Pradana</v>
      </c>
      <c r="R152" s="2" t="str">
        <f>VLOOKUP(tdata[[#This Row],[id_employee]],temployee[#All],4,0)</f>
        <v>internal</v>
      </c>
      <c r="S152" s="9" t="str">
        <f>VLOOKUP(tdata[[#This Row],[id_employee]],temployee[#All],5,0)</f>
        <v>rider</v>
      </c>
    </row>
    <row r="153" spans="2:19" x14ac:dyDescent="0.35">
      <c r="B153" s="8" t="s">
        <v>172</v>
      </c>
      <c r="C153" s="2" t="s">
        <v>1322</v>
      </c>
      <c r="D153" s="5">
        <v>45143</v>
      </c>
      <c r="E153" s="5">
        <v>45153</v>
      </c>
      <c r="F153" s="2" t="s">
        <v>49</v>
      </c>
      <c r="G153" s="2" t="s">
        <v>26</v>
      </c>
      <c r="H153" s="2" t="s">
        <v>23</v>
      </c>
      <c r="I153" s="2" t="s">
        <v>17</v>
      </c>
      <c r="J153" s="2">
        <v>1.99</v>
      </c>
      <c r="K153" s="2" t="str">
        <f t="shared" si="6"/>
        <v>&lt; 5kg</v>
      </c>
      <c r="L153" s="2">
        <f>tdata[[#This Row],[Received_date]]-tdata[[#This Row],[Shipment_Date]]</f>
        <v>10</v>
      </c>
      <c r="M153" s="2">
        <f>VLOOKUP(tdata[[#This Row],[Service_Type]],Table2[#All],2,0)</f>
        <v>5</v>
      </c>
      <c r="N153" s="2" t="str">
        <f>IF(tdata[[#This Row],[Delivery_Days]]&lt;=tdata[[#This Row],[SLA_Days]],"On Time","Late")</f>
        <v>Late</v>
      </c>
      <c r="O153" s="2">
        <f>VLOOKUP(tdata[[#This Row],[Service_Type]],Table2[#All],4,0)</f>
        <v>9000</v>
      </c>
      <c r="P153" s="2">
        <f>tdata[[#This Row],[price_per_kilo]]*tdata[[#This Row],[Weight_KG]]</f>
        <v>17910</v>
      </c>
      <c r="Q153" s="2" t="str">
        <f>VLOOKUP(tdata[[#This Row],[id_employee]],temployee[#All],2,0)</f>
        <v>Zulfikar Ramadhan</v>
      </c>
      <c r="R153" s="2" t="str">
        <f>VLOOKUP(tdata[[#This Row],[id_employee]],temployee[#All],4,0)</f>
        <v>crowd source</v>
      </c>
      <c r="S153" s="9" t="str">
        <f>VLOOKUP(tdata[[#This Row],[id_employee]],temployee[#All],5,0)</f>
        <v>driver</v>
      </c>
    </row>
    <row r="154" spans="2:19" x14ac:dyDescent="0.35">
      <c r="B154" s="8" t="s">
        <v>173</v>
      </c>
      <c r="C154" s="2" t="s">
        <v>1323</v>
      </c>
      <c r="D154" s="5">
        <v>45070</v>
      </c>
      <c r="E154" s="5">
        <v>45072</v>
      </c>
      <c r="F154" s="2" t="s">
        <v>11</v>
      </c>
      <c r="G154" s="2" t="s">
        <v>22</v>
      </c>
      <c r="H154" s="2" t="s">
        <v>1224</v>
      </c>
      <c r="I154" s="2" t="s">
        <v>17</v>
      </c>
      <c r="J154" s="2">
        <v>2.33</v>
      </c>
      <c r="K154" s="2" t="str">
        <f t="shared" si="6"/>
        <v>&lt; 5kg</v>
      </c>
      <c r="L154" s="2">
        <f>tdata[[#This Row],[Received_date]]-tdata[[#This Row],[Shipment_Date]]</f>
        <v>2</v>
      </c>
      <c r="M154" s="2">
        <f>VLOOKUP(tdata[[#This Row],[Service_Type]],Table2[#All],2,0)</f>
        <v>3</v>
      </c>
      <c r="N154" s="2" t="str">
        <f>IF(tdata[[#This Row],[Delivery_Days]]&lt;=tdata[[#This Row],[SLA_Days]],"On Time","Late")</f>
        <v>On Time</v>
      </c>
      <c r="O154" s="2">
        <f>VLOOKUP(tdata[[#This Row],[Service_Type]],Table2[#All],4,0)</f>
        <v>10000</v>
      </c>
      <c r="P154" s="2">
        <f>tdata[[#This Row],[price_per_kilo]]*tdata[[#This Row],[Weight_KG]]</f>
        <v>23300</v>
      </c>
      <c r="Q154" s="2" t="str">
        <f>VLOOKUP(tdata[[#This Row],[id_employee]],temployee[#All],2,0)</f>
        <v>Aditya Saputra</v>
      </c>
      <c r="R154" s="2" t="str">
        <f>VLOOKUP(tdata[[#This Row],[id_employee]],temployee[#All],4,0)</f>
        <v>internal</v>
      </c>
      <c r="S154" s="9" t="str">
        <f>VLOOKUP(tdata[[#This Row],[id_employee]],temployee[#All],5,0)</f>
        <v>rider</v>
      </c>
    </row>
    <row r="155" spans="2:19" x14ac:dyDescent="0.35">
      <c r="B155" s="8" t="s">
        <v>174</v>
      </c>
      <c r="C155" s="2" t="s">
        <v>1324</v>
      </c>
      <c r="D155" s="5">
        <v>44999</v>
      </c>
      <c r="E155" s="5">
        <v>45001</v>
      </c>
      <c r="F155" s="2" t="s">
        <v>15</v>
      </c>
      <c r="G155" s="2" t="s">
        <v>16</v>
      </c>
      <c r="H155" s="2" t="s">
        <v>1224</v>
      </c>
      <c r="I155" s="2" t="s">
        <v>17</v>
      </c>
      <c r="J155" s="2">
        <v>4.87</v>
      </c>
      <c r="K155" s="2" t="str">
        <f t="shared" si="6"/>
        <v>&lt; 5kg</v>
      </c>
      <c r="L155" s="2">
        <f>tdata[[#This Row],[Received_date]]-tdata[[#This Row],[Shipment_Date]]</f>
        <v>2</v>
      </c>
      <c r="M155" s="2">
        <f>VLOOKUP(tdata[[#This Row],[Service_Type]],Table2[#All],2,0)</f>
        <v>3</v>
      </c>
      <c r="N155" s="2" t="str">
        <f>IF(tdata[[#This Row],[Delivery_Days]]&lt;=tdata[[#This Row],[SLA_Days]],"On Time","Late")</f>
        <v>On Time</v>
      </c>
      <c r="O155" s="2">
        <f>VLOOKUP(tdata[[#This Row],[Service_Type]],Table2[#All],4,0)</f>
        <v>10000</v>
      </c>
      <c r="P155" s="2">
        <f>tdata[[#This Row],[price_per_kilo]]*tdata[[#This Row],[Weight_KG]]</f>
        <v>48700</v>
      </c>
      <c r="Q155" s="2" t="str">
        <f>VLOOKUP(tdata[[#This Row],[id_employee]],temployee[#All],2,0)</f>
        <v>Bella Oktaviani</v>
      </c>
      <c r="R155" s="2" t="str">
        <f>VLOOKUP(tdata[[#This Row],[id_employee]],temployee[#All],4,0)</f>
        <v>internal</v>
      </c>
      <c r="S155" s="9" t="str">
        <f>VLOOKUP(tdata[[#This Row],[id_employee]],temployee[#All],5,0)</f>
        <v>rider</v>
      </c>
    </row>
    <row r="156" spans="2:19" x14ac:dyDescent="0.35">
      <c r="B156" s="8" t="s">
        <v>175</v>
      </c>
      <c r="C156" s="2" t="s">
        <v>1325</v>
      </c>
      <c r="D156" s="5">
        <v>45137</v>
      </c>
      <c r="E156" s="5">
        <v>45140</v>
      </c>
      <c r="F156" s="2" t="s">
        <v>20</v>
      </c>
      <c r="G156" s="2" t="s">
        <v>26</v>
      </c>
      <c r="H156" s="2" t="s">
        <v>1224</v>
      </c>
      <c r="I156" s="2" t="s">
        <v>13</v>
      </c>
      <c r="J156" s="2">
        <v>4.3899999999999997</v>
      </c>
      <c r="K156" s="2" t="str">
        <f t="shared" si="6"/>
        <v>&lt; 5kg</v>
      </c>
      <c r="L156" s="2">
        <f>tdata[[#This Row],[Received_date]]-tdata[[#This Row],[Shipment_Date]]</f>
        <v>3</v>
      </c>
      <c r="M156" s="2">
        <f>VLOOKUP(tdata[[#This Row],[Service_Type]],Table2[#All],2,0)</f>
        <v>3</v>
      </c>
      <c r="N156" s="2" t="str">
        <f>IF(tdata[[#This Row],[Delivery_Days]]&lt;=tdata[[#This Row],[SLA_Days]],"On Time","Late")</f>
        <v>On Time</v>
      </c>
      <c r="O156" s="2">
        <f>VLOOKUP(tdata[[#This Row],[Service_Type]],Table2[#All],4,0)</f>
        <v>10000</v>
      </c>
      <c r="P156" s="2">
        <f>tdata[[#This Row],[price_per_kilo]]*tdata[[#This Row],[Weight_KG]]</f>
        <v>43900</v>
      </c>
      <c r="Q156" s="2" t="str">
        <f>VLOOKUP(tdata[[#This Row],[id_employee]],temployee[#All],2,0)</f>
        <v>Chandra Wijaya</v>
      </c>
      <c r="R156" s="2" t="str">
        <f>VLOOKUP(tdata[[#This Row],[id_employee]],temployee[#All],4,0)</f>
        <v>crowd source</v>
      </c>
      <c r="S156" s="9" t="str">
        <f>VLOOKUP(tdata[[#This Row],[id_employee]],temployee[#All],5,0)</f>
        <v>driver</v>
      </c>
    </row>
    <row r="157" spans="2:19" x14ac:dyDescent="0.35">
      <c r="B157" s="8" t="s">
        <v>176</v>
      </c>
      <c r="C157" s="2" t="s">
        <v>1326</v>
      </c>
      <c r="D157" s="5">
        <v>45501</v>
      </c>
      <c r="E157" s="5">
        <v>45504</v>
      </c>
      <c r="F157" s="2" t="s">
        <v>22</v>
      </c>
      <c r="G157" s="2" t="s">
        <v>22</v>
      </c>
      <c r="H157" s="2" t="s">
        <v>1224</v>
      </c>
      <c r="I157" s="2" t="s">
        <v>17</v>
      </c>
      <c r="J157" s="2">
        <v>0.73</v>
      </c>
      <c r="K157" s="2" t="str">
        <f t="shared" si="6"/>
        <v>&lt; 5kg</v>
      </c>
      <c r="L157" s="2">
        <f>tdata[[#This Row],[Received_date]]-tdata[[#This Row],[Shipment_Date]]</f>
        <v>3</v>
      </c>
      <c r="M157" s="2">
        <f>VLOOKUP(tdata[[#This Row],[Service_Type]],Table2[#All],2,0)</f>
        <v>3</v>
      </c>
      <c r="N157" s="2" t="str">
        <f>IF(tdata[[#This Row],[Delivery_Days]]&lt;=tdata[[#This Row],[SLA_Days]],"On Time","Late")</f>
        <v>On Time</v>
      </c>
      <c r="O157" s="2">
        <f>VLOOKUP(tdata[[#This Row],[Service_Type]],Table2[#All],4,0)</f>
        <v>10000</v>
      </c>
      <c r="P157" s="2">
        <f>tdata[[#This Row],[price_per_kilo]]*tdata[[#This Row],[Weight_KG]]</f>
        <v>7300</v>
      </c>
      <c r="Q157" s="2" t="str">
        <f>VLOOKUP(tdata[[#This Row],[id_employee]],temployee[#All],2,0)</f>
        <v>Dewi Sartika</v>
      </c>
      <c r="R157" s="2" t="str">
        <f>VLOOKUP(tdata[[#This Row],[id_employee]],temployee[#All],4,0)</f>
        <v>internal</v>
      </c>
      <c r="S157" s="9" t="str">
        <f>VLOOKUP(tdata[[#This Row],[id_employee]],temployee[#All],5,0)</f>
        <v>rider</v>
      </c>
    </row>
    <row r="158" spans="2:19" x14ac:dyDescent="0.35">
      <c r="B158" s="8" t="s">
        <v>177</v>
      </c>
      <c r="C158" s="2" t="s">
        <v>1327</v>
      </c>
      <c r="D158" s="5">
        <v>44939</v>
      </c>
      <c r="E158" s="5">
        <v>44939</v>
      </c>
      <c r="F158" s="2" t="s">
        <v>12</v>
      </c>
      <c r="G158" s="2" t="s">
        <v>16</v>
      </c>
      <c r="H158" s="2" t="s">
        <v>1224</v>
      </c>
      <c r="I158" s="2" t="s">
        <v>17</v>
      </c>
      <c r="J158" s="2">
        <v>6.86</v>
      </c>
      <c r="K158" s="2" t="str">
        <f t="shared" si="6"/>
        <v>&gt;5kg</v>
      </c>
      <c r="L158" s="2">
        <f>tdata[[#This Row],[Received_date]]-tdata[[#This Row],[Shipment_Date]]</f>
        <v>0</v>
      </c>
      <c r="M158" s="2">
        <f>VLOOKUP(tdata[[#This Row],[Service_Type]],Table2[#All],2,0)</f>
        <v>3</v>
      </c>
      <c r="N158" s="2" t="str">
        <f>IF(tdata[[#This Row],[Delivery_Days]]&lt;=tdata[[#This Row],[SLA_Days]],"On Time","Late")</f>
        <v>On Time</v>
      </c>
      <c r="O158" s="2">
        <f>VLOOKUP(tdata[[#This Row],[Service_Type]],Table2[#All],4,0)</f>
        <v>10000</v>
      </c>
      <c r="P158" s="2">
        <f>tdata[[#This Row],[price_per_kilo]]*tdata[[#This Row],[Weight_KG]]</f>
        <v>68600</v>
      </c>
      <c r="Q158" s="2" t="str">
        <f>VLOOKUP(tdata[[#This Row],[id_employee]],temployee[#All],2,0)</f>
        <v>Edi Kurniawan</v>
      </c>
      <c r="R158" s="2" t="str">
        <f>VLOOKUP(tdata[[#This Row],[id_employee]],temployee[#All],4,0)</f>
        <v>internal</v>
      </c>
      <c r="S158" s="9" t="str">
        <f>VLOOKUP(tdata[[#This Row],[id_employee]],temployee[#All],5,0)</f>
        <v>driver</v>
      </c>
    </row>
    <row r="159" spans="2:19" x14ac:dyDescent="0.35">
      <c r="B159" s="8" t="s">
        <v>178</v>
      </c>
      <c r="C159" s="2" t="s">
        <v>1328</v>
      </c>
      <c r="D159" s="5">
        <v>45637</v>
      </c>
      <c r="E159" s="5">
        <v>45641</v>
      </c>
      <c r="F159" s="2" t="s">
        <v>30</v>
      </c>
      <c r="G159" s="2" t="s">
        <v>12</v>
      </c>
      <c r="H159" s="2" t="s">
        <v>1224</v>
      </c>
      <c r="I159" s="2" t="s">
        <v>17</v>
      </c>
      <c r="J159" s="2">
        <v>7.97</v>
      </c>
      <c r="K159" s="2" t="str">
        <f t="shared" si="6"/>
        <v>&gt;5kg</v>
      </c>
      <c r="L159" s="2">
        <f>tdata[[#This Row],[Received_date]]-tdata[[#This Row],[Shipment_Date]]</f>
        <v>4</v>
      </c>
      <c r="M159" s="2">
        <f>VLOOKUP(tdata[[#This Row],[Service_Type]],Table2[#All],2,0)</f>
        <v>3</v>
      </c>
      <c r="N159" s="2" t="str">
        <f>IF(tdata[[#This Row],[Delivery_Days]]&lt;=tdata[[#This Row],[SLA_Days]],"On Time","Late")</f>
        <v>Late</v>
      </c>
      <c r="O159" s="2">
        <f>VLOOKUP(tdata[[#This Row],[Service_Type]],Table2[#All],4,0)</f>
        <v>10000</v>
      </c>
      <c r="P159" s="2">
        <f>tdata[[#This Row],[price_per_kilo]]*tdata[[#This Row],[Weight_KG]]</f>
        <v>79700</v>
      </c>
      <c r="Q159" s="2" t="str">
        <f>VLOOKUP(tdata[[#This Row],[id_employee]],temployee[#All],2,0)</f>
        <v>Farah Nabila</v>
      </c>
      <c r="R159" s="2" t="str">
        <f>VLOOKUP(tdata[[#This Row],[id_employee]],temployee[#All],4,0)</f>
        <v>crowd source</v>
      </c>
      <c r="S159" s="9" t="str">
        <f>VLOOKUP(tdata[[#This Row],[id_employee]],temployee[#All],5,0)</f>
        <v>rider</v>
      </c>
    </row>
    <row r="160" spans="2:19" x14ac:dyDescent="0.35">
      <c r="B160" s="8" t="s">
        <v>179</v>
      </c>
      <c r="C160" s="2" t="s">
        <v>1329</v>
      </c>
      <c r="D160" s="5">
        <v>45625</v>
      </c>
      <c r="E160" s="5">
        <f>D160+4</f>
        <v>45629</v>
      </c>
      <c r="F160" s="2" t="s">
        <v>32</v>
      </c>
      <c r="G160" s="2" t="s">
        <v>16</v>
      </c>
      <c r="H160" s="2" t="s">
        <v>1224</v>
      </c>
      <c r="I160" s="2" t="s">
        <v>13</v>
      </c>
      <c r="J160" s="2">
        <v>8.9700000000000006</v>
      </c>
      <c r="K160" s="2" t="str">
        <f t="shared" si="6"/>
        <v>&gt;5kg</v>
      </c>
      <c r="L160" s="2">
        <f>tdata[[#This Row],[Received_date]]-tdata[[#This Row],[Shipment_Date]]</f>
        <v>4</v>
      </c>
      <c r="M160" s="2">
        <f>VLOOKUP(tdata[[#This Row],[Service_Type]],Table2[#All],2,0)</f>
        <v>3</v>
      </c>
      <c r="N160" s="2" t="str">
        <f>IF(tdata[[#This Row],[Delivery_Days]]&lt;=tdata[[#This Row],[SLA_Days]],"On Time","Late")</f>
        <v>Late</v>
      </c>
      <c r="O160" s="2">
        <f>VLOOKUP(tdata[[#This Row],[Service_Type]],Table2[#All],4,0)</f>
        <v>10000</v>
      </c>
      <c r="P160" s="2">
        <f>tdata[[#This Row],[price_per_kilo]]*tdata[[#This Row],[Weight_KG]]</f>
        <v>89700</v>
      </c>
      <c r="Q160" s="2" t="str">
        <f>VLOOKUP(tdata[[#This Row],[id_employee]],temployee[#All],2,0)</f>
        <v>Galih Pratomo</v>
      </c>
      <c r="R160" s="2" t="str">
        <f>VLOOKUP(tdata[[#This Row],[id_employee]],temployee[#All],4,0)</f>
        <v>internal</v>
      </c>
      <c r="S160" s="9" t="str">
        <f>VLOOKUP(tdata[[#This Row],[id_employee]],temployee[#All],5,0)</f>
        <v>rider</v>
      </c>
    </row>
    <row r="161" spans="2:19" x14ac:dyDescent="0.35">
      <c r="B161" s="8" t="s">
        <v>180</v>
      </c>
      <c r="C161" s="2" t="s">
        <v>1330</v>
      </c>
      <c r="D161" s="5">
        <v>45509</v>
      </c>
      <c r="E161" s="5">
        <v>45520</v>
      </c>
      <c r="F161" s="2" t="s">
        <v>16</v>
      </c>
      <c r="G161" s="2" t="s">
        <v>30</v>
      </c>
      <c r="H161" s="2" t="s">
        <v>1224</v>
      </c>
      <c r="I161" s="2" t="s">
        <v>13</v>
      </c>
      <c r="J161" s="2">
        <v>7.07</v>
      </c>
      <c r="K161" s="2" t="str">
        <f t="shared" si="6"/>
        <v>&gt;5kg</v>
      </c>
      <c r="L161" s="2">
        <f>tdata[[#This Row],[Received_date]]-tdata[[#This Row],[Shipment_Date]]</f>
        <v>11</v>
      </c>
      <c r="M161" s="2">
        <f>VLOOKUP(tdata[[#This Row],[Service_Type]],Table2[#All],2,0)</f>
        <v>3</v>
      </c>
      <c r="N161" s="2" t="str">
        <f>IF(tdata[[#This Row],[Delivery_Days]]&lt;=tdata[[#This Row],[SLA_Days]],"On Time","Late")</f>
        <v>Late</v>
      </c>
      <c r="O161" s="2">
        <f>VLOOKUP(tdata[[#This Row],[Service_Type]],Table2[#All],4,0)</f>
        <v>10000</v>
      </c>
      <c r="P161" s="2">
        <f>tdata[[#This Row],[price_per_kilo]]*tdata[[#This Row],[Weight_KG]]</f>
        <v>70700</v>
      </c>
      <c r="Q161" s="2" t="str">
        <f>VLOOKUP(tdata[[#This Row],[id_employee]],temployee[#All],2,0)</f>
        <v>Hadi Purnomo</v>
      </c>
      <c r="R161" s="2" t="str">
        <f>VLOOKUP(tdata[[#This Row],[id_employee]],temployee[#All],4,0)</f>
        <v>crowd source</v>
      </c>
      <c r="S161" s="9" t="str">
        <f>VLOOKUP(tdata[[#This Row],[id_employee]],temployee[#All],5,0)</f>
        <v>driver</v>
      </c>
    </row>
    <row r="162" spans="2:19" x14ac:dyDescent="0.35">
      <c r="B162" s="8" t="s">
        <v>181</v>
      </c>
      <c r="C162" s="2" t="s">
        <v>1331</v>
      </c>
      <c r="D162" s="5">
        <v>45301</v>
      </c>
      <c r="E162" s="5">
        <v>45311</v>
      </c>
      <c r="F162" s="2" t="s">
        <v>26</v>
      </c>
      <c r="G162" s="2" t="s">
        <v>22</v>
      </c>
      <c r="H162" s="2" t="s">
        <v>23</v>
      </c>
      <c r="I162" s="2" t="s">
        <v>17</v>
      </c>
      <c r="J162" s="2">
        <v>1.95</v>
      </c>
      <c r="K162" s="2" t="str">
        <f t="shared" si="6"/>
        <v>&lt; 5kg</v>
      </c>
      <c r="L162" s="2">
        <f>tdata[[#This Row],[Received_date]]-tdata[[#This Row],[Shipment_Date]]</f>
        <v>10</v>
      </c>
      <c r="M162" s="2">
        <f>VLOOKUP(tdata[[#This Row],[Service_Type]],Table2[#All],2,0)</f>
        <v>5</v>
      </c>
      <c r="N162" s="2" t="str">
        <f>IF(tdata[[#This Row],[Delivery_Days]]&lt;=tdata[[#This Row],[SLA_Days]],"On Time","Late")</f>
        <v>Late</v>
      </c>
      <c r="O162" s="2">
        <f>VLOOKUP(tdata[[#This Row],[Service_Type]],Table2[#All],4,0)</f>
        <v>9000</v>
      </c>
      <c r="P162" s="2">
        <f>tdata[[#This Row],[price_per_kilo]]*tdata[[#This Row],[Weight_KG]]</f>
        <v>17550</v>
      </c>
      <c r="Q162" s="2" t="str">
        <f>VLOOKUP(tdata[[#This Row],[id_employee]],temployee[#All],2,0)</f>
        <v>Ika Lestari</v>
      </c>
      <c r="R162" s="2" t="str">
        <f>VLOOKUP(tdata[[#This Row],[id_employee]],temployee[#All],4,0)</f>
        <v>internal</v>
      </c>
      <c r="S162" s="9" t="str">
        <f>VLOOKUP(tdata[[#This Row],[id_employee]],temployee[#All],5,0)</f>
        <v>rider</v>
      </c>
    </row>
    <row r="163" spans="2:19" x14ac:dyDescent="0.35">
      <c r="B163" s="8" t="s">
        <v>182</v>
      </c>
      <c r="C163" s="2" t="s">
        <v>1332</v>
      </c>
      <c r="D163" s="5">
        <v>45400</v>
      </c>
      <c r="E163" s="5">
        <v>45401</v>
      </c>
      <c r="F163" s="2" t="s">
        <v>49</v>
      </c>
      <c r="G163" s="2" t="s">
        <v>15</v>
      </c>
      <c r="H163" s="2" t="s">
        <v>1223</v>
      </c>
      <c r="I163" s="2" t="s">
        <v>13</v>
      </c>
      <c r="J163" s="2">
        <v>8.11</v>
      </c>
      <c r="K163" s="2" t="str">
        <f t="shared" si="6"/>
        <v>&gt;5kg</v>
      </c>
      <c r="L163" s="2">
        <f>tdata[[#This Row],[Received_date]]-tdata[[#This Row],[Shipment_Date]]</f>
        <v>1</v>
      </c>
      <c r="M163" s="2">
        <f>VLOOKUP(tdata[[#This Row],[Service_Type]],Table2[#All],2,0)</f>
        <v>1</v>
      </c>
      <c r="N163" s="2" t="str">
        <f>IF(tdata[[#This Row],[Delivery_Days]]&lt;=tdata[[#This Row],[SLA_Days]],"On Time","Late")</f>
        <v>On Time</v>
      </c>
      <c r="O163" s="2">
        <f>VLOOKUP(tdata[[#This Row],[Service_Type]],Table2[#All],4,0)</f>
        <v>12000</v>
      </c>
      <c r="P163" s="2">
        <f>tdata[[#This Row],[price_per_kilo]]*tdata[[#This Row],[Weight_KG]]</f>
        <v>97320</v>
      </c>
      <c r="Q163" s="2" t="str">
        <f>VLOOKUP(tdata[[#This Row],[id_employee]],temployee[#All],2,0)</f>
        <v>Jamil Akbar</v>
      </c>
      <c r="R163" s="2" t="str">
        <f>VLOOKUP(tdata[[#This Row],[id_employee]],temployee[#All],4,0)</f>
        <v>internal</v>
      </c>
      <c r="S163" s="9" t="str">
        <f>VLOOKUP(tdata[[#This Row],[id_employee]],temployee[#All],5,0)</f>
        <v>driver</v>
      </c>
    </row>
    <row r="164" spans="2:19" x14ac:dyDescent="0.35">
      <c r="B164" s="8" t="s">
        <v>183</v>
      </c>
      <c r="C164" s="2" t="s">
        <v>1333</v>
      </c>
      <c r="D164" s="5">
        <v>45523</v>
      </c>
      <c r="E164" s="5">
        <v>45524</v>
      </c>
      <c r="F164" s="2" t="s">
        <v>11</v>
      </c>
      <c r="G164" s="2" t="s">
        <v>16</v>
      </c>
      <c r="H164" s="2" t="s">
        <v>1224</v>
      </c>
      <c r="I164" s="2" t="s">
        <v>13</v>
      </c>
      <c r="J164" s="2">
        <v>3.61</v>
      </c>
      <c r="K164" s="2" t="str">
        <f t="shared" si="6"/>
        <v>&lt; 5kg</v>
      </c>
      <c r="L164" s="2">
        <f>tdata[[#This Row],[Received_date]]-tdata[[#This Row],[Shipment_Date]]</f>
        <v>1</v>
      </c>
      <c r="M164" s="2">
        <f>VLOOKUP(tdata[[#This Row],[Service_Type]],Table2[#All],2,0)</f>
        <v>3</v>
      </c>
      <c r="N164" s="2" t="str">
        <f>IF(tdata[[#This Row],[Delivery_Days]]&lt;=tdata[[#This Row],[SLA_Days]],"On Time","Late")</f>
        <v>On Time</v>
      </c>
      <c r="O164" s="2">
        <f>VLOOKUP(tdata[[#This Row],[Service_Type]],Table2[#All],4,0)</f>
        <v>10000</v>
      </c>
      <c r="P164" s="2">
        <f>tdata[[#This Row],[price_per_kilo]]*tdata[[#This Row],[Weight_KG]]</f>
        <v>36100</v>
      </c>
      <c r="Q164" s="2" t="str">
        <f>VLOOKUP(tdata[[#This Row],[id_employee]],temployee[#All],2,0)</f>
        <v>Kevin Sanjaya</v>
      </c>
      <c r="R164" s="2" t="str">
        <f>VLOOKUP(tdata[[#This Row],[id_employee]],temployee[#All],4,0)</f>
        <v>crowd source</v>
      </c>
      <c r="S164" s="9" t="str">
        <f>VLOOKUP(tdata[[#This Row],[id_employee]],temployee[#All],5,0)</f>
        <v>rider</v>
      </c>
    </row>
    <row r="165" spans="2:19" x14ac:dyDescent="0.35">
      <c r="B165" s="8" t="s">
        <v>184</v>
      </c>
      <c r="C165" s="2" t="s">
        <v>1334</v>
      </c>
      <c r="D165" s="5">
        <v>45213</v>
      </c>
      <c r="E165" s="5">
        <v>45215</v>
      </c>
      <c r="F165" s="2" t="s">
        <v>15</v>
      </c>
      <c r="G165" s="2" t="s">
        <v>26</v>
      </c>
      <c r="H165" s="2" t="s">
        <v>1223</v>
      </c>
      <c r="I165" s="2" t="s">
        <v>13</v>
      </c>
      <c r="J165" s="2">
        <v>6.16</v>
      </c>
      <c r="K165" s="2" t="str">
        <f t="shared" si="6"/>
        <v>&gt;5kg</v>
      </c>
      <c r="L165" s="2">
        <f>tdata[[#This Row],[Received_date]]-tdata[[#This Row],[Shipment_Date]]</f>
        <v>2</v>
      </c>
      <c r="M165" s="2">
        <f>VLOOKUP(tdata[[#This Row],[Service_Type]],Table2[#All],2,0)</f>
        <v>1</v>
      </c>
      <c r="N165" s="2" t="str">
        <f>IF(tdata[[#This Row],[Delivery_Days]]&lt;=tdata[[#This Row],[SLA_Days]],"On Time","Late")</f>
        <v>Late</v>
      </c>
      <c r="O165" s="2">
        <f>VLOOKUP(tdata[[#This Row],[Service_Type]],Table2[#All],4,0)</f>
        <v>12000</v>
      </c>
      <c r="P165" s="2">
        <f>tdata[[#This Row],[price_per_kilo]]*tdata[[#This Row],[Weight_KG]]</f>
        <v>73920</v>
      </c>
      <c r="Q165" s="2" t="str">
        <f>VLOOKUP(tdata[[#This Row],[id_employee]],temployee[#All],2,0)</f>
        <v>Laila Nuraini</v>
      </c>
      <c r="R165" s="2" t="str">
        <f>VLOOKUP(tdata[[#This Row],[id_employee]],temployee[#All],4,0)</f>
        <v>internal</v>
      </c>
      <c r="S165" s="9" t="str">
        <f>VLOOKUP(tdata[[#This Row],[id_employee]],temployee[#All],5,0)</f>
        <v>rider</v>
      </c>
    </row>
    <row r="166" spans="2:19" x14ac:dyDescent="0.35">
      <c r="B166" s="8" t="s">
        <v>185</v>
      </c>
      <c r="C166" s="2" t="s">
        <v>1335</v>
      </c>
      <c r="D166" s="5">
        <v>45422</v>
      </c>
      <c r="E166" s="5">
        <v>45423</v>
      </c>
      <c r="F166" s="2" t="s">
        <v>20</v>
      </c>
      <c r="G166" s="2" t="s">
        <v>15</v>
      </c>
      <c r="H166" s="2" t="s">
        <v>1224</v>
      </c>
      <c r="I166" s="2" t="s">
        <v>17</v>
      </c>
      <c r="J166" s="2">
        <v>1.62</v>
      </c>
      <c r="K166" s="2" t="str">
        <f t="shared" si="6"/>
        <v>&lt; 5kg</v>
      </c>
      <c r="L166" s="2">
        <f>tdata[[#This Row],[Received_date]]-tdata[[#This Row],[Shipment_Date]]</f>
        <v>1</v>
      </c>
      <c r="M166" s="2">
        <f>VLOOKUP(tdata[[#This Row],[Service_Type]],Table2[#All],2,0)</f>
        <v>3</v>
      </c>
      <c r="N166" s="2" t="str">
        <f>IF(tdata[[#This Row],[Delivery_Days]]&lt;=tdata[[#This Row],[SLA_Days]],"On Time","Late")</f>
        <v>On Time</v>
      </c>
      <c r="O166" s="2">
        <f>VLOOKUP(tdata[[#This Row],[Service_Type]],Table2[#All],4,0)</f>
        <v>10000</v>
      </c>
      <c r="P166" s="2">
        <f>tdata[[#This Row],[price_per_kilo]]*tdata[[#This Row],[Weight_KG]]</f>
        <v>16200.000000000002</v>
      </c>
      <c r="Q166" s="2" t="str">
        <f>VLOOKUP(tdata[[#This Row],[id_employee]],temployee[#All],2,0)</f>
        <v>Miko Setiawan</v>
      </c>
      <c r="R166" s="2" t="str">
        <f>VLOOKUP(tdata[[#This Row],[id_employee]],temployee[#All],4,0)</f>
        <v>crowd source</v>
      </c>
      <c r="S166" s="9" t="str">
        <f>VLOOKUP(tdata[[#This Row],[id_employee]],temployee[#All],5,0)</f>
        <v>driver</v>
      </c>
    </row>
    <row r="167" spans="2:19" x14ac:dyDescent="0.35">
      <c r="B167" s="8" t="s">
        <v>186</v>
      </c>
      <c r="C167" s="2" t="s">
        <v>1336</v>
      </c>
      <c r="D167" s="5">
        <v>45086</v>
      </c>
      <c r="E167" s="5">
        <v>45091</v>
      </c>
      <c r="F167" s="2" t="s">
        <v>22</v>
      </c>
      <c r="G167" s="2" t="s">
        <v>22</v>
      </c>
      <c r="H167" s="2" t="s">
        <v>1224</v>
      </c>
      <c r="I167" s="2" t="s">
        <v>13</v>
      </c>
      <c r="J167" s="2">
        <v>7.43</v>
      </c>
      <c r="K167" s="2" t="str">
        <f t="shared" si="6"/>
        <v>&gt;5kg</v>
      </c>
      <c r="L167" s="2">
        <f>tdata[[#This Row],[Received_date]]-tdata[[#This Row],[Shipment_Date]]</f>
        <v>5</v>
      </c>
      <c r="M167" s="2">
        <f>VLOOKUP(tdata[[#This Row],[Service_Type]],Table2[#All],2,0)</f>
        <v>3</v>
      </c>
      <c r="N167" s="2" t="str">
        <f>IF(tdata[[#This Row],[Delivery_Days]]&lt;=tdata[[#This Row],[SLA_Days]],"On Time","Late")</f>
        <v>Late</v>
      </c>
      <c r="O167" s="2">
        <f>VLOOKUP(tdata[[#This Row],[Service_Type]],Table2[#All],4,0)</f>
        <v>10000</v>
      </c>
      <c r="P167" s="2">
        <f>tdata[[#This Row],[price_per_kilo]]*tdata[[#This Row],[Weight_KG]]</f>
        <v>74300</v>
      </c>
      <c r="Q167" s="2" t="str">
        <f>VLOOKUP(tdata[[#This Row],[id_employee]],temployee[#All],2,0)</f>
        <v>Nisa Aulia</v>
      </c>
      <c r="R167" s="2" t="str">
        <f>VLOOKUP(tdata[[#This Row],[id_employee]],temployee[#All],4,0)</f>
        <v>internal</v>
      </c>
      <c r="S167" s="9" t="str">
        <f>VLOOKUP(tdata[[#This Row],[id_employee]],temployee[#All],5,0)</f>
        <v>rider</v>
      </c>
    </row>
    <row r="168" spans="2:19" x14ac:dyDescent="0.35">
      <c r="B168" s="8" t="s">
        <v>187</v>
      </c>
      <c r="C168" s="2" t="s">
        <v>1337</v>
      </c>
      <c r="D168" s="5">
        <v>45132</v>
      </c>
      <c r="E168" s="5">
        <v>45132</v>
      </c>
      <c r="F168" s="2" t="s">
        <v>12</v>
      </c>
      <c r="G168" s="2" t="s">
        <v>22</v>
      </c>
      <c r="H168" s="2" t="s">
        <v>1224</v>
      </c>
      <c r="I168" s="2" t="s">
        <v>17</v>
      </c>
      <c r="J168" s="2">
        <v>9.89</v>
      </c>
      <c r="K168" s="2" t="str">
        <f t="shared" si="6"/>
        <v>&gt;5kg</v>
      </c>
      <c r="L168" s="2">
        <f>tdata[[#This Row],[Received_date]]-tdata[[#This Row],[Shipment_Date]]</f>
        <v>0</v>
      </c>
      <c r="M168" s="2">
        <f>VLOOKUP(tdata[[#This Row],[Service_Type]],Table2[#All],2,0)</f>
        <v>3</v>
      </c>
      <c r="N168" s="2" t="str">
        <f>IF(tdata[[#This Row],[Delivery_Days]]&lt;=tdata[[#This Row],[SLA_Days]],"On Time","Late")</f>
        <v>On Time</v>
      </c>
      <c r="O168" s="2">
        <f>VLOOKUP(tdata[[#This Row],[Service_Type]],Table2[#All],4,0)</f>
        <v>10000</v>
      </c>
      <c r="P168" s="2">
        <f>tdata[[#This Row],[price_per_kilo]]*tdata[[#This Row],[Weight_KG]]</f>
        <v>98900</v>
      </c>
      <c r="Q168" s="2" t="str">
        <f>VLOOKUP(tdata[[#This Row],[id_employee]],temployee[#All],2,0)</f>
        <v>Oki Pramono</v>
      </c>
      <c r="R168" s="2" t="str">
        <f>VLOOKUP(tdata[[#This Row],[id_employee]],temployee[#All],4,0)</f>
        <v>internal</v>
      </c>
      <c r="S168" s="9" t="str">
        <f>VLOOKUP(tdata[[#This Row],[id_employee]],temployee[#All],5,0)</f>
        <v>driver</v>
      </c>
    </row>
    <row r="169" spans="2:19" x14ac:dyDescent="0.35">
      <c r="B169" s="8" t="s">
        <v>188</v>
      </c>
      <c r="C169" s="2" t="s">
        <v>1338</v>
      </c>
      <c r="D169" s="5">
        <v>45367</v>
      </c>
      <c r="E169" s="5">
        <v>45373</v>
      </c>
      <c r="F169" s="2" t="s">
        <v>30</v>
      </c>
      <c r="G169" s="2" t="s">
        <v>26</v>
      </c>
      <c r="H169" s="2" t="s">
        <v>1224</v>
      </c>
      <c r="I169" s="2" t="s">
        <v>17</v>
      </c>
      <c r="J169" s="2">
        <v>5.79</v>
      </c>
      <c r="K169" s="2" t="str">
        <f t="shared" si="6"/>
        <v>&gt;5kg</v>
      </c>
      <c r="L169" s="2">
        <f>tdata[[#This Row],[Received_date]]-tdata[[#This Row],[Shipment_Date]]</f>
        <v>6</v>
      </c>
      <c r="M169" s="2">
        <f>VLOOKUP(tdata[[#This Row],[Service_Type]],Table2[#All],2,0)</f>
        <v>3</v>
      </c>
      <c r="N169" s="2" t="str">
        <f>IF(tdata[[#This Row],[Delivery_Days]]&lt;=tdata[[#This Row],[SLA_Days]],"On Time","Late")</f>
        <v>Late</v>
      </c>
      <c r="O169" s="2">
        <f>VLOOKUP(tdata[[#This Row],[Service_Type]],Table2[#All],4,0)</f>
        <v>10000</v>
      </c>
      <c r="P169" s="2">
        <f>tdata[[#This Row],[price_per_kilo]]*tdata[[#This Row],[Weight_KG]]</f>
        <v>57900</v>
      </c>
      <c r="Q169" s="2" t="str">
        <f>VLOOKUP(tdata[[#This Row],[id_employee]],temployee[#All],2,0)</f>
        <v>Putra Mahendra</v>
      </c>
      <c r="R169" s="2" t="str">
        <f>VLOOKUP(tdata[[#This Row],[id_employee]],temployee[#All],4,0)</f>
        <v>crowd source</v>
      </c>
      <c r="S169" s="9" t="str">
        <f>VLOOKUP(tdata[[#This Row],[id_employee]],temployee[#All],5,0)</f>
        <v>rider</v>
      </c>
    </row>
    <row r="170" spans="2:19" x14ac:dyDescent="0.35">
      <c r="B170" s="8" t="s">
        <v>189</v>
      </c>
      <c r="C170" s="2" t="s">
        <v>1339</v>
      </c>
      <c r="D170" s="5">
        <v>45268</v>
      </c>
      <c r="E170" s="5">
        <v>45271</v>
      </c>
      <c r="F170" s="2" t="s">
        <v>32</v>
      </c>
      <c r="G170" s="2" t="s">
        <v>16</v>
      </c>
      <c r="H170" s="2" t="s">
        <v>1224</v>
      </c>
      <c r="I170" s="2" t="s">
        <v>17</v>
      </c>
      <c r="J170" s="2">
        <v>3.23</v>
      </c>
      <c r="K170" s="2" t="str">
        <f t="shared" si="6"/>
        <v>&lt; 5kg</v>
      </c>
      <c r="L170" s="2">
        <f>tdata[[#This Row],[Received_date]]-tdata[[#This Row],[Shipment_Date]]</f>
        <v>3</v>
      </c>
      <c r="M170" s="2">
        <f>VLOOKUP(tdata[[#This Row],[Service_Type]],Table2[#All],2,0)</f>
        <v>3</v>
      </c>
      <c r="N170" s="2" t="str">
        <f>IF(tdata[[#This Row],[Delivery_Days]]&lt;=tdata[[#This Row],[SLA_Days]],"On Time","Late")</f>
        <v>On Time</v>
      </c>
      <c r="O170" s="2">
        <f>VLOOKUP(tdata[[#This Row],[Service_Type]],Table2[#All],4,0)</f>
        <v>10000</v>
      </c>
      <c r="P170" s="2">
        <f>tdata[[#This Row],[price_per_kilo]]*tdata[[#This Row],[Weight_KG]]</f>
        <v>32300</v>
      </c>
      <c r="Q170" s="2" t="str">
        <f>VLOOKUP(tdata[[#This Row],[id_employee]],temployee[#All],2,0)</f>
        <v>Qolbi Ramadhani</v>
      </c>
      <c r="R170" s="2" t="str">
        <f>VLOOKUP(tdata[[#This Row],[id_employee]],temployee[#All],4,0)</f>
        <v>internal</v>
      </c>
      <c r="S170" s="9" t="str">
        <f>VLOOKUP(tdata[[#This Row],[id_employee]],temployee[#All],5,0)</f>
        <v>rider</v>
      </c>
    </row>
    <row r="171" spans="2:19" x14ac:dyDescent="0.35">
      <c r="B171" s="8" t="s">
        <v>190</v>
      </c>
      <c r="C171" s="2" t="s">
        <v>1340</v>
      </c>
      <c r="D171" s="5">
        <v>45253</v>
      </c>
      <c r="E171" s="5">
        <v>45253</v>
      </c>
      <c r="F171" s="2" t="s">
        <v>16</v>
      </c>
      <c r="G171" s="2" t="s">
        <v>15</v>
      </c>
      <c r="H171" s="2" t="s">
        <v>1224</v>
      </c>
      <c r="I171" s="2" t="s">
        <v>13</v>
      </c>
      <c r="J171" s="2">
        <v>5.32</v>
      </c>
      <c r="K171" s="2" t="str">
        <f t="shared" si="6"/>
        <v>&gt;5kg</v>
      </c>
      <c r="L171" s="2">
        <f>tdata[[#This Row],[Received_date]]-tdata[[#This Row],[Shipment_Date]]</f>
        <v>0</v>
      </c>
      <c r="M171" s="2">
        <f>VLOOKUP(tdata[[#This Row],[Service_Type]],Table2[#All],2,0)</f>
        <v>3</v>
      </c>
      <c r="N171" s="2" t="str">
        <f>IF(tdata[[#This Row],[Delivery_Days]]&lt;=tdata[[#This Row],[SLA_Days]],"On Time","Late")</f>
        <v>On Time</v>
      </c>
      <c r="O171" s="2">
        <f>VLOOKUP(tdata[[#This Row],[Service_Type]],Table2[#All],4,0)</f>
        <v>10000</v>
      </c>
      <c r="P171" s="2">
        <f>tdata[[#This Row],[price_per_kilo]]*tdata[[#This Row],[Weight_KG]]</f>
        <v>53200</v>
      </c>
      <c r="Q171" s="2" t="str">
        <f>VLOOKUP(tdata[[#This Row],[id_employee]],temployee[#All],2,0)</f>
        <v>Reza Firmansyah</v>
      </c>
      <c r="R171" s="2" t="str">
        <f>VLOOKUP(tdata[[#This Row],[id_employee]],temployee[#All],4,0)</f>
        <v>crowd source</v>
      </c>
      <c r="S171" s="9" t="str">
        <f>VLOOKUP(tdata[[#This Row],[id_employee]],temployee[#All],5,0)</f>
        <v>driver</v>
      </c>
    </row>
    <row r="172" spans="2:19" x14ac:dyDescent="0.35">
      <c r="B172" s="8" t="s">
        <v>191</v>
      </c>
      <c r="C172" s="2" t="s">
        <v>1341</v>
      </c>
      <c r="D172" s="5">
        <v>45034</v>
      </c>
      <c r="E172" s="5">
        <v>45039</v>
      </c>
      <c r="F172" s="2" t="s">
        <v>26</v>
      </c>
      <c r="G172" s="2" t="s">
        <v>26</v>
      </c>
      <c r="H172" s="2" t="s">
        <v>1224</v>
      </c>
      <c r="I172" s="2" t="s">
        <v>13</v>
      </c>
      <c r="J172" s="2">
        <v>6.89</v>
      </c>
      <c r="K172" s="2" t="str">
        <f t="shared" si="6"/>
        <v>&gt;5kg</v>
      </c>
      <c r="L172" s="2">
        <f>tdata[[#This Row],[Received_date]]-tdata[[#This Row],[Shipment_Date]]</f>
        <v>5</v>
      </c>
      <c r="M172" s="2">
        <f>VLOOKUP(tdata[[#This Row],[Service_Type]],Table2[#All],2,0)</f>
        <v>3</v>
      </c>
      <c r="N172" s="2" t="str">
        <f>IF(tdata[[#This Row],[Delivery_Days]]&lt;=tdata[[#This Row],[SLA_Days]],"On Time","Late")</f>
        <v>Late</v>
      </c>
      <c r="O172" s="2">
        <f>VLOOKUP(tdata[[#This Row],[Service_Type]],Table2[#All],4,0)</f>
        <v>10000</v>
      </c>
      <c r="P172" s="2">
        <f>tdata[[#This Row],[price_per_kilo]]*tdata[[#This Row],[Weight_KG]]</f>
        <v>68900</v>
      </c>
      <c r="Q172" s="2" t="str">
        <f>VLOOKUP(tdata[[#This Row],[id_employee]],temployee[#All],2,0)</f>
        <v>Siska Amelia</v>
      </c>
      <c r="R172" s="2" t="str">
        <f>VLOOKUP(tdata[[#This Row],[id_employee]],temployee[#All],4,0)</f>
        <v>internal</v>
      </c>
      <c r="S172" s="9" t="str">
        <f>VLOOKUP(tdata[[#This Row],[id_employee]],temployee[#All],5,0)</f>
        <v>rider</v>
      </c>
    </row>
    <row r="173" spans="2:19" x14ac:dyDescent="0.35">
      <c r="B173" s="8" t="s">
        <v>192</v>
      </c>
      <c r="C173" s="2" t="s">
        <v>1342</v>
      </c>
      <c r="D173" s="5">
        <v>44937</v>
      </c>
      <c r="E173" s="5">
        <v>44941</v>
      </c>
      <c r="F173" s="2" t="s">
        <v>49</v>
      </c>
      <c r="G173" s="2" t="s">
        <v>32</v>
      </c>
      <c r="H173" s="2" t="s">
        <v>1224</v>
      </c>
      <c r="I173" s="2" t="s">
        <v>13</v>
      </c>
      <c r="J173" s="2">
        <v>1.45</v>
      </c>
      <c r="K173" s="2" t="str">
        <f t="shared" si="6"/>
        <v>&lt; 5kg</v>
      </c>
      <c r="L173" s="2">
        <f>tdata[[#This Row],[Received_date]]-tdata[[#This Row],[Shipment_Date]]</f>
        <v>4</v>
      </c>
      <c r="M173" s="2">
        <f>VLOOKUP(tdata[[#This Row],[Service_Type]],Table2[#All],2,0)</f>
        <v>3</v>
      </c>
      <c r="N173" s="2" t="str">
        <f>IF(tdata[[#This Row],[Delivery_Days]]&lt;=tdata[[#This Row],[SLA_Days]],"On Time","Late")</f>
        <v>Late</v>
      </c>
      <c r="O173" s="2">
        <f>VLOOKUP(tdata[[#This Row],[Service_Type]],Table2[#All],4,0)</f>
        <v>10000</v>
      </c>
      <c r="P173" s="2">
        <f>tdata[[#This Row],[price_per_kilo]]*tdata[[#This Row],[Weight_KG]]</f>
        <v>14500</v>
      </c>
      <c r="Q173" s="2" t="str">
        <f>VLOOKUP(tdata[[#This Row],[id_employee]],temployee[#All],2,0)</f>
        <v>Tri Wibowo</v>
      </c>
      <c r="R173" s="2" t="str">
        <f>VLOOKUP(tdata[[#This Row],[id_employee]],temployee[#All],4,0)</f>
        <v>internal</v>
      </c>
      <c r="S173" s="9" t="str">
        <f>VLOOKUP(tdata[[#This Row],[id_employee]],temployee[#All],5,0)</f>
        <v>driver</v>
      </c>
    </row>
    <row r="174" spans="2:19" x14ac:dyDescent="0.35">
      <c r="B174" s="8" t="s">
        <v>193</v>
      </c>
      <c r="C174" s="2" t="s">
        <v>1343</v>
      </c>
      <c r="D174" s="5">
        <v>45130</v>
      </c>
      <c r="E174" s="5">
        <f t="shared" ref="E174:E175" si="7">D174+4</f>
        <v>45134</v>
      </c>
      <c r="F174" s="2" t="s">
        <v>11</v>
      </c>
      <c r="G174" s="2" t="s">
        <v>11</v>
      </c>
      <c r="H174" s="2" t="s">
        <v>1223</v>
      </c>
      <c r="I174" s="2" t="s">
        <v>13</v>
      </c>
      <c r="J174" s="2">
        <v>7.45</v>
      </c>
      <c r="K174" s="2" t="str">
        <f t="shared" si="6"/>
        <v>&gt;5kg</v>
      </c>
      <c r="L174" s="2">
        <f>tdata[[#This Row],[Received_date]]-tdata[[#This Row],[Shipment_Date]]</f>
        <v>4</v>
      </c>
      <c r="M174" s="2">
        <f>VLOOKUP(tdata[[#This Row],[Service_Type]],Table2[#All],2,0)</f>
        <v>1</v>
      </c>
      <c r="N174" s="2" t="str">
        <f>IF(tdata[[#This Row],[Delivery_Days]]&lt;=tdata[[#This Row],[SLA_Days]],"On Time","Late")</f>
        <v>Late</v>
      </c>
      <c r="O174" s="2">
        <f>VLOOKUP(tdata[[#This Row],[Service_Type]],Table2[#All],4,0)</f>
        <v>12000</v>
      </c>
      <c r="P174" s="2">
        <f>tdata[[#This Row],[price_per_kilo]]*tdata[[#This Row],[Weight_KG]]</f>
        <v>89400</v>
      </c>
      <c r="Q174" s="2" t="str">
        <f>VLOOKUP(tdata[[#This Row],[id_employee]],temployee[#All],2,0)</f>
        <v>Ubay Prakoso</v>
      </c>
      <c r="R174" s="2" t="str">
        <f>VLOOKUP(tdata[[#This Row],[id_employee]],temployee[#All],4,0)</f>
        <v>crowd source</v>
      </c>
      <c r="S174" s="9" t="str">
        <f>VLOOKUP(tdata[[#This Row],[id_employee]],temployee[#All],5,0)</f>
        <v>rider</v>
      </c>
    </row>
    <row r="175" spans="2:19" x14ac:dyDescent="0.35">
      <c r="B175" s="8" t="s">
        <v>194</v>
      </c>
      <c r="C175" s="2" t="s">
        <v>1344</v>
      </c>
      <c r="D175" s="5">
        <v>44994</v>
      </c>
      <c r="E175" s="5">
        <f t="shared" si="7"/>
        <v>44998</v>
      </c>
      <c r="F175" s="2" t="s">
        <v>15</v>
      </c>
      <c r="G175" s="2" t="s">
        <v>22</v>
      </c>
      <c r="H175" s="2" t="s">
        <v>1224</v>
      </c>
      <c r="I175" s="2" t="s">
        <v>17</v>
      </c>
      <c r="J175" s="2">
        <v>7.03</v>
      </c>
      <c r="K175" s="2" t="str">
        <f t="shared" si="6"/>
        <v>&gt;5kg</v>
      </c>
      <c r="L175" s="2">
        <f>tdata[[#This Row],[Received_date]]-tdata[[#This Row],[Shipment_Date]]</f>
        <v>4</v>
      </c>
      <c r="M175" s="2">
        <f>VLOOKUP(tdata[[#This Row],[Service_Type]],Table2[#All],2,0)</f>
        <v>3</v>
      </c>
      <c r="N175" s="2" t="str">
        <f>IF(tdata[[#This Row],[Delivery_Days]]&lt;=tdata[[#This Row],[SLA_Days]],"On Time","Late")</f>
        <v>Late</v>
      </c>
      <c r="O175" s="2">
        <f>VLOOKUP(tdata[[#This Row],[Service_Type]],Table2[#All],4,0)</f>
        <v>10000</v>
      </c>
      <c r="P175" s="2">
        <f>tdata[[#This Row],[price_per_kilo]]*tdata[[#This Row],[Weight_KG]]</f>
        <v>70300</v>
      </c>
      <c r="Q175" s="2" t="str">
        <f>VLOOKUP(tdata[[#This Row],[id_employee]],temployee[#All],2,0)</f>
        <v>Vania Putri</v>
      </c>
      <c r="R175" s="2" t="str">
        <f>VLOOKUP(tdata[[#This Row],[id_employee]],temployee[#All],4,0)</f>
        <v>internal</v>
      </c>
      <c r="S175" s="9" t="str">
        <f>VLOOKUP(tdata[[#This Row],[id_employee]],temployee[#All],5,0)</f>
        <v>rider</v>
      </c>
    </row>
    <row r="176" spans="2:19" x14ac:dyDescent="0.35">
      <c r="B176" s="8" t="s">
        <v>195</v>
      </c>
      <c r="C176" s="2" t="s">
        <v>1345</v>
      </c>
      <c r="D176" s="5">
        <v>45424</v>
      </c>
      <c r="E176" s="5">
        <v>45425</v>
      </c>
      <c r="F176" s="2" t="s">
        <v>20</v>
      </c>
      <c r="G176" s="2" t="s">
        <v>26</v>
      </c>
      <c r="H176" s="2" t="s">
        <v>1224</v>
      </c>
      <c r="I176" s="2" t="s">
        <v>17</v>
      </c>
      <c r="J176" s="2">
        <v>7.34</v>
      </c>
      <c r="K176" s="2" t="str">
        <f t="shared" si="6"/>
        <v>&gt;5kg</v>
      </c>
      <c r="L176" s="2">
        <f>tdata[[#This Row],[Received_date]]-tdata[[#This Row],[Shipment_Date]]</f>
        <v>1</v>
      </c>
      <c r="M176" s="2">
        <f>VLOOKUP(tdata[[#This Row],[Service_Type]],Table2[#All],2,0)</f>
        <v>3</v>
      </c>
      <c r="N176" s="2" t="str">
        <f>IF(tdata[[#This Row],[Delivery_Days]]&lt;=tdata[[#This Row],[SLA_Days]],"On Time","Late")</f>
        <v>On Time</v>
      </c>
      <c r="O176" s="2">
        <f>VLOOKUP(tdata[[#This Row],[Service_Type]],Table2[#All],4,0)</f>
        <v>10000</v>
      </c>
      <c r="P176" s="2">
        <f>tdata[[#This Row],[price_per_kilo]]*tdata[[#This Row],[Weight_KG]]</f>
        <v>73400</v>
      </c>
      <c r="Q176" s="2" t="str">
        <f>VLOOKUP(tdata[[#This Row],[id_employee]],temployee[#All],2,0)</f>
        <v>Wira Nugraha</v>
      </c>
      <c r="R176" s="2" t="str">
        <f>VLOOKUP(tdata[[#This Row],[id_employee]],temployee[#All],4,0)</f>
        <v>internal</v>
      </c>
      <c r="S176" s="9" t="str">
        <f>VLOOKUP(tdata[[#This Row],[id_employee]],temployee[#All],5,0)</f>
        <v>driver</v>
      </c>
    </row>
    <row r="177" spans="2:19" x14ac:dyDescent="0.35">
      <c r="B177" s="8" t="s">
        <v>196</v>
      </c>
      <c r="C177" s="2" t="s">
        <v>1346</v>
      </c>
      <c r="D177" s="5">
        <v>45327</v>
      </c>
      <c r="E177" s="5">
        <v>45334</v>
      </c>
      <c r="F177" s="2" t="s">
        <v>22</v>
      </c>
      <c r="G177" s="2" t="s">
        <v>49</v>
      </c>
      <c r="H177" s="2" t="s">
        <v>1223</v>
      </c>
      <c r="I177" s="2" t="s">
        <v>13</v>
      </c>
      <c r="J177" s="2">
        <v>0.97</v>
      </c>
      <c r="K177" s="2" t="str">
        <f t="shared" si="6"/>
        <v>&lt; 5kg</v>
      </c>
      <c r="L177" s="2">
        <f>tdata[[#This Row],[Received_date]]-tdata[[#This Row],[Shipment_Date]]</f>
        <v>7</v>
      </c>
      <c r="M177" s="2">
        <f>VLOOKUP(tdata[[#This Row],[Service_Type]],Table2[#All],2,0)</f>
        <v>1</v>
      </c>
      <c r="N177" s="2" t="str">
        <f>IF(tdata[[#This Row],[Delivery_Days]]&lt;=tdata[[#This Row],[SLA_Days]],"On Time","Late")</f>
        <v>Late</v>
      </c>
      <c r="O177" s="2">
        <f>VLOOKUP(tdata[[#This Row],[Service_Type]],Table2[#All],4,0)</f>
        <v>12000</v>
      </c>
      <c r="P177" s="2">
        <f>tdata[[#This Row],[price_per_kilo]]*tdata[[#This Row],[Weight_KG]]</f>
        <v>11640</v>
      </c>
      <c r="Q177" s="2" t="str">
        <f>VLOOKUP(tdata[[#This Row],[id_employee]],temployee[#All],2,0)</f>
        <v>Xaverius Adi</v>
      </c>
      <c r="R177" s="2" t="str">
        <f>VLOOKUP(tdata[[#This Row],[id_employee]],temployee[#All],4,0)</f>
        <v>crowd source</v>
      </c>
      <c r="S177" s="9" t="str">
        <f>VLOOKUP(tdata[[#This Row],[id_employee]],temployee[#All],5,0)</f>
        <v>driver</v>
      </c>
    </row>
    <row r="178" spans="2:19" x14ac:dyDescent="0.35">
      <c r="B178" s="8" t="s">
        <v>197</v>
      </c>
      <c r="C178" s="2" t="s">
        <v>1347</v>
      </c>
      <c r="D178" s="5">
        <v>45039</v>
      </c>
      <c r="E178" s="5">
        <f t="shared" ref="E178:E179" si="8">D178+4</f>
        <v>45043</v>
      </c>
      <c r="F178" s="2" t="s">
        <v>12</v>
      </c>
      <c r="G178" s="2" t="s">
        <v>30</v>
      </c>
      <c r="H178" s="2" t="s">
        <v>23</v>
      </c>
      <c r="I178" s="2" t="s">
        <v>17</v>
      </c>
      <c r="J178" s="2">
        <v>8.84</v>
      </c>
      <c r="K178" s="2" t="str">
        <f t="shared" si="6"/>
        <v>&gt;5kg</v>
      </c>
      <c r="L178" s="2">
        <f>tdata[[#This Row],[Received_date]]-tdata[[#This Row],[Shipment_Date]]</f>
        <v>4</v>
      </c>
      <c r="M178" s="2">
        <f>VLOOKUP(tdata[[#This Row],[Service_Type]],Table2[#All],2,0)</f>
        <v>5</v>
      </c>
      <c r="N178" s="2" t="str">
        <f>IF(tdata[[#This Row],[Delivery_Days]]&lt;=tdata[[#This Row],[SLA_Days]],"On Time","Late")</f>
        <v>On Time</v>
      </c>
      <c r="O178" s="2">
        <f>VLOOKUP(tdata[[#This Row],[Service_Type]],Table2[#All],4,0)</f>
        <v>9000</v>
      </c>
      <c r="P178" s="2">
        <f>tdata[[#This Row],[price_per_kilo]]*tdata[[#This Row],[Weight_KG]]</f>
        <v>79560</v>
      </c>
      <c r="Q178" s="2" t="str">
        <f>VLOOKUP(tdata[[#This Row],[id_employee]],temployee[#All],2,0)</f>
        <v>Yuliana Kartini</v>
      </c>
      <c r="R178" s="2" t="str">
        <f>VLOOKUP(tdata[[#This Row],[id_employee]],temployee[#All],4,0)</f>
        <v>internal</v>
      </c>
      <c r="S178" s="9" t="str">
        <f>VLOOKUP(tdata[[#This Row],[id_employee]],temployee[#All],5,0)</f>
        <v>rider</v>
      </c>
    </row>
    <row r="179" spans="2:19" x14ac:dyDescent="0.35">
      <c r="B179" s="8" t="s">
        <v>198</v>
      </c>
      <c r="C179" s="2" t="s">
        <v>1348</v>
      </c>
      <c r="D179" s="5">
        <v>45084</v>
      </c>
      <c r="E179" s="5">
        <f t="shared" si="8"/>
        <v>45088</v>
      </c>
      <c r="F179" s="2" t="s">
        <v>30</v>
      </c>
      <c r="G179" s="2" t="s">
        <v>32</v>
      </c>
      <c r="H179" s="2" t="s">
        <v>23</v>
      </c>
      <c r="I179" s="2" t="s">
        <v>17</v>
      </c>
      <c r="J179" s="2">
        <v>5.81</v>
      </c>
      <c r="K179" s="2" t="str">
        <f t="shared" si="6"/>
        <v>&gt;5kg</v>
      </c>
      <c r="L179" s="2">
        <f>tdata[[#This Row],[Received_date]]-tdata[[#This Row],[Shipment_Date]]</f>
        <v>4</v>
      </c>
      <c r="M179" s="2">
        <f>VLOOKUP(tdata[[#This Row],[Service_Type]],Table2[#All],2,0)</f>
        <v>5</v>
      </c>
      <c r="N179" s="2" t="str">
        <f>IF(tdata[[#This Row],[Delivery_Days]]&lt;=tdata[[#This Row],[SLA_Days]],"On Time","Late")</f>
        <v>On Time</v>
      </c>
      <c r="O179" s="2">
        <f>VLOOKUP(tdata[[#This Row],[Service_Type]],Table2[#All],4,0)</f>
        <v>9000</v>
      </c>
      <c r="P179" s="2">
        <f>tdata[[#This Row],[price_per_kilo]]*tdata[[#This Row],[Weight_KG]]</f>
        <v>52290</v>
      </c>
      <c r="Q179" s="2" t="str">
        <f>VLOOKUP(tdata[[#This Row],[id_employee]],temployee[#All],2,0)</f>
        <v>Zaki Alamsyah</v>
      </c>
      <c r="R179" s="2" t="str">
        <f>VLOOKUP(tdata[[#This Row],[id_employee]],temployee[#All],4,0)</f>
        <v>internal</v>
      </c>
      <c r="S179" s="9" t="str">
        <f>VLOOKUP(tdata[[#This Row],[id_employee]],temployee[#All],5,0)</f>
        <v>rider</v>
      </c>
    </row>
    <row r="180" spans="2:19" x14ac:dyDescent="0.35">
      <c r="B180" s="8" t="s">
        <v>199</v>
      </c>
      <c r="C180" s="2" t="s">
        <v>1349</v>
      </c>
      <c r="D180" s="5">
        <v>44978</v>
      </c>
      <c r="E180" s="5">
        <v>44978</v>
      </c>
      <c r="F180" s="2" t="s">
        <v>32</v>
      </c>
      <c r="G180" s="2" t="s">
        <v>16</v>
      </c>
      <c r="H180" s="2" t="s">
        <v>1223</v>
      </c>
      <c r="I180" s="2" t="s">
        <v>13</v>
      </c>
      <c r="J180" s="2">
        <v>1.91</v>
      </c>
      <c r="K180" s="2" t="str">
        <f t="shared" si="6"/>
        <v>&lt; 5kg</v>
      </c>
      <c r="L180" s="2">
        <f>tdata[[#This Row],[Received_date]]-tdata[[#This Row],[Shipment_Date]]</f>
        <v>0</v>
      </c>
      <c r="M180" s="2">
        <f>VLOOKUP(tdata[[#This Row],[Service_Type]],Table2[#All],2,0)</f>
        <v>1</v>
      </c>
      <c r="N180" s="2" t="str">
        <f>IF(tdata[[#This Row],[Delivery_Days]]&lt;=tdata[[#This Row],[SLA_Days]],"On Time","Late")</f>
        <v>On Time</v>
      </c>
      <c r="O180" s="2">
        <f>VLOOKUP(tdata[[#This Row],[Service_Type]],Table2[#All],4,0)</f>
        <v>12000</v>
      </c>
      <c r="P180" s="2">
        <f>tdata[[#This Row],[price_per_kilo]]*tdata[[#This Row],[Weight_KG]]</f>
        <v>22920</v>
      </c>
      <c r="Q180" s="2" t="str">
        <f>VLOOKUP(tdata[[#This Row],[id_employee]],temployee[#All],2,0)</f>
        <v>Arief Setyawan</v>
      </c>
      <c r="R180" s="2" t="str">
        <f>VLOOKUP(tdata[[#This Row],[id_employee]],temployee[#All],4,0)</f>
        <v>crowd source</v>
      </c>
      <c r="S180" s="9" t="str">
        <f>VLOOKUP(tdata[[#This Row],[id_employee]],temployee[#All],5,0)</f>
        <v>driver</v>
      </c>
    </row>
    <row r="181" spans="2:19" x14ac:dyDescent="0.35">
      <c r="B181" s="8" t="s">
        <v>200</v>
      </c>
      <c r="C181" s="2" t="s">
        <v>1350</v>
      </c>
      <c r="D181" s="5">
        <v>44975</v>
      </c>
      <c r="E181" s="5">
        <v>44983</v>
      </c>
      <c r="F181" s="2" t="s">
        <v>16</v>
      </c>
      <c r="G181" s="2" t="s">
        <v>32</v>
      </c>
      <c r="H181" s="2" t="s">
        <v>1224</v>
      </c>
      <c r="I181" s="2" t="s">
        <v>17</v>
      </c>
      <c r="J181" s="2">
        <v>6.92</v>
      </c>
      <c r="K181" s="2" t="str">
        <f t="shared" si="6"/>
        <v>&gt;5kg</v>
      </c>
      <c r="L181" s="2">
        <f>tdata[[#This Row],[Received_date]]-tdata[[#This Row],[Shipment_Date]]</f>
        <v>8</v>
      </c>
      <c r="M181" s="2">
        <f>VLOOKUP(tdata[[#This Row],[Service_Type]],Table2[#All],2,0)</f>
        <v>3</v>
      </c>
      <c r="N181" s="2" t="str">
        <f>IF(tdata[[#This Row],[Delivery_Days]]&lt;=tdata[[#This Row],[SLA_Days]],"On Time","Late")</f>
        <v>Late</v>
      </c>
      <c r="O181" s="2">
        <f>VLOOKUP(tdata[[#This Row],[Service_Type]],Table2[#All],4,0)</f>
        <v>10000</v>
      </c>
      <c r="P181" s="2">
        <f>tdata[[#This Row],[price_per_kilo]]*tdata[[#This Row],[Weight_KG]]</f>
        <v>69200</v>
      </c>
      <c r="Q181" s="2" t="str">
        <f>VLOOKUP(tdata[[#This Row],[id_employee]],temployee[#All],2,0)</f>
        <v>Bunga Cahyani</v>
      </c>
      <c r="R181" s="2" t="str">
        <f>VLOOKUP(tdata[[#This Row],[id_employee]],temployee[#All],4,0)</f>
        <v>internal</v>
      </c>
      <c r="S181" s="9" t="str">
        <f>VLOOKUP(tdata[[#This Row],[id_employee]],temployee[#All],5,0)</f>
        <v>rider</v>
      </c>
    </row>
    <row r="182" spans="2:19" x14ac:dyDescent="0.35">
      <c r="B182" s="8" t="s">
        <v>201</v>
      </c>
      <c r="C182" s="2" t="s">
        <v>1351</v>
      </c>
      <c r="D182" s="5">
        <v>45649</v>
      </c>
      <c r="E182" s="5">
        <v>45660</v>
      </c>
      <c r="F182" s="2" t="s">
        <v>26</v>
      </c>
      <c r="G182" s="2" t="s">
        <v>20</v>
      </c>
      <c r="H182" s="2" t="s">
        <v>1224</v>
      </c>
      <c r="I182" s="2" t="s">
        <v>13</v>
      </c>
      <c r="J182" s="2">
        <v>10.16</v>
      </c>
      <c r="K182" s="2" t="str">
        <f t="shared" si="6"/>
        <v>&gt;5kg</v>
      </c>
      <c r="L182" s="2">
        <f>tdata[[#This Row],[Received_date]]-tdata[[#This Row],[Shipment_Date]]</f>
        <v>11</v>
      </c>
      <c r="M182" s="2">
        <f>VLOOKUP(tdata[[#This Row],[Service_Type]],Table2[#All],2,0)</f>
        <v>3</v>
      </c>
      <c r="N182" s="2" t="str">
        <f>IF(tdata[[#This Row],[Delivery_Days]]&lt;=tdata[[#This Row],[SLA_Days]],"On Time","Late")</f>
        <v>Late</v>
      </c>
      <c r="O182" s="2">
        <f>VLOOKUP(tdata[[#This Row],[Service_Type]],Table2[#All],4,0)</f>
        <v>10000</v>
      </c>
      <c r="P182" s="2">
        <f>tdata[[#This Row],[price_per_kilo]]*tdata[[#This Row],[Weight_KG]]</f>
        <v>101600</v>
      </c>
      <c r="Q182" s="2" t="str">
        <f>VLOOKUP(tdata[[#This Row],[id_employee]],temployee[#All],2,0)</f>
        <v>Cahyo Prabowo</v>
      </c>
      <c r="R182" s="2" t="str">
        <f>VLOOKUP(tdata[[#This Row],[id_employee]],temployee[#All],4,0)</f>
        <v>internal</v>
      </c>
      <c r="S182" s="9" t="str">
        <f>VLOOKUP(tdata[[#This Row],[id_employee]],temployee[#All],5,0)</f>
        <v>driver</v>
      </c>
    </row>
    <row r="183" spans="2:19" x14ac:dyDescent="0.35">
      <c r="B183" s="8" t="s">
        <v>202</v>
      </c>
      <c r="C183" s="2" t="s">
        <v>1352</v>
      </c>
      <c r="D183" s="5">
        <v>45446</v>
      </c>
      <c r="E183" s="5">
        <v>45457</v>
      </c>
      <c r="F183" s="2" t="s">
        <v>49</v>
      </c>
      <c r="G183" s="2" t="s">
        <v>49</v>
      </c>
      <c r="H183" s="2" t="s">
        <v>23</v>
      </c>
      <c r="I183" s="2" t="s">
        <v>13</v>
      </c>
      <c r="J183" s="2">
        <v>4.24</v>
      </c>
      <c r="K183" s="2" t="str">
        <f t="shared" si="6"/>
        <v>&lt; 5kg</v>
      </c>
      <c r="L183" s="2">
        <f>tdata[[#This Row],[Received_date]]-tdata[[#This Row],[Shipment_Date]]</f>
        <v>11</v>
      </c>
      <c r="M183" s="2">
        <f>VLOOKUP(tdata[[#This Row],[Service_Type]],Table2[#All],2,0)</f>
        <v>5</v>
      </c>
      <c r="N183" s="2" t="str">
        <f>IF(tdata[[#This Row],[Delivery_Days]]&lt;=tdata[[#This Row],[SLA_Days]],"On Time","Late")</f>
        <v>Late</v>
      </c>
      <c r="O183" s="2">
        <f>VLOOKUP(tdata[[#This Row],[Service_Type]],Table2[#All],4,0)</f>
        <v>9000</v>
      </c>
      <c r="P183" s="2">
        <f>tdata[[#This Row],[price_per_kilo]]*tdata[[#This Row],[Weight_KG]]</f>
        <v>38160</v>
      </c>
      <c r="Q183" s="2" t="str">
        <f>VLOOKUP(tdata[[#This Row],[id_employee]],temployee[#All],2,0)</f>
        <v>Diah Permata</v>
      </c>
      <c r="R183" s="2" t="str">
        <f>VLOOKUP(tdata[[#This Row],[id_employee]],temployee[#All],4,0)</f>
        <v>crowd source</v>
      </c>
      <c r="S183" s="9" t="str">
        <f>VLOOKUP(tdata[[#This Row],[id_employee]],temployee[#All],5,0)</f>
        <v>rider</v>
      </c>
    </row>
    <row r="184" spans="2:19" x14ac:dyDescent="0.35">
      <c r="B184" s="8" t="s">
        <v>203</v>
      </c>
      <c r="C184" s="2" t="s">
        <v>1353</v>
      </c>
      <c r="D184" s="5">
        <v>45464</v>
      </c>
      <c r="E184" s="5">
        <f>D184+4</f>
        <v>45468</v>
      </c>
      <c r="F184" s="2" t="s">
        <v>11</v>
      </c>
      <c r="G184" s="2" t="s">
        <v>16</v>
      </c>
      <c r="H184" s="2" t="s">
        <v>1223</v>
      </c>
      <c r="I184" s="2" t="s">
        <v>13</v>
      </c>
      <c r="J184" s="2">
        <v>7.19</v>
      </c>
      <c r="K184" s="2" t="str">
        <f t="shared" si="6"/>
        <v>&gt;5kg</v>
      </c>
      <c r="L184" s="2">
        <f>tdata[[#This Row],[Received_date]]-tdata[[#This Row],[Shipment_Date]]</f>
        <v>4</v>
      </c>
      <c r="M184" s="2">
        <f>VLOOKUP(tdata[[#This Row],[Service_Type]],Table2[#All],2,0)</f>
        <v>1</v>
      </c>
      <c r="N184" s="2" t="str">
        <f>IF(tdata[[#This Row],[Delivery_Days]]&lt;=tdata[[#This Row],[SLA_Days]],"On Time","Late")</f>
        <v>Late</v>
      </c>
      <c r="O184" s="2">
        <f>VLOOKUP(tdata[[#This Row],[Service_Type]],Table2[#All],4,0)</f>
        <v>12000</v>
      </c>
      <c r="P184" s="2">
        <f>tdata[[#This Row],[price_per_kilo]]*tdata[[#This Row],[Weight_KG]]</f>
        <v>86280</v>
      </c>
      <c r="Q184" s="2" t="str">
        <f>VLOOKUP(tdata[[#This Row],[id_employee]],temployee[#All],2,0)</f>
        <v>Evania Putri</v>
      </c>
      <c r="R184" s="2" t="str">
        <f>VLOOKUP(tdata[[#This Row],[id_employee]],temployee[#All],4,0)</f>
        <v>internal</v>
      </c>
      <c r="S184" s="9" t="str">
        <f>VLOOKUP(tdata[[#This Row],[id_employee]],temployee[#All],5,0)</f>
        <v>rider</v>
      </c>
    </row>
    <row r="185" spans="2:19" x14ac:dyDescent="0.35">
      <c r="B185" s="8" t="s">
        <v>204</v>
      </c>
      <c r="C185" s="2" t="s">
        <v>1354</v>
      </c>
      <c r="D185" s="5">
        <v>45160</v>
      </c>
      <c r="E185" s="5">
        <v>45160</v>
      </c>
      <c r="F185" s="2" t="s">
        <v>15</v>
      </c>
      <c r="G185" s="2" t="s">
        <v>15</v>
      </c>
      <c r="H185" s="2" t="s">
        <v>23</v>
      </c>
      <c r="I185" s="2" t="s">
        <v>13</v>
      </c>
      <c r="J185" s="2">
        <v>7.15</v>
      </c>
      <c r="K185" s="2" t="str">
        <f t="shared" si="6"/>
        <v>&gt;5kg</v>
      </c>
      <c r="L185" s="2">
        <f>tdata[[#This Row],[Received_date]]-tdata[[#This Row],[Shipment_Date]]</f>
        <v>0</v>
      </c>
      <c r="M185" s="2">
        <f>VLOOKUP(tdata[[#This Row],[Service_Type]],Table2[#All],2,0)</f>
        <v>5</v>
      </c>
      <c r="N185" s="2" t="str">
        <f>IF(tdata[[#This Row],[Delivery_Days]]&lt;=tdata[[#This Row],[SLA_Days]],"On Time","Late")</f>
        <v>On Time</v>
      </c>
      <c r="O185" s="2">
        <f>VLOOKUP(tdata[[#This Row],[Service_Type]],Table2[#All],4,0)</f>
        <v>9000</v>
      </c>
      <c r="P185" s="2">
        <f>tdata[[#This Row],[price_per_kilo]]*tdata[[#This Row],[Weight_KG]]</f>
        <v>64350</v>
      </c>
      <c r="Q185" s="2" t="str">
        <f>VLOOKUP(tdata[[#This Row],[id_employee]],temployee[#All],2,0)</f>
        <v>Fikri Ramadhan</v>
      </c>
      <c r="R185" s="2" t="str">
        <f>VLOOKUP(tdata[[#This Row],[id_employee]],temployee[#All],4,0)</f>
        <v>crowd source</v>
      </c>
      <c r="S185" s="9" t="str">
        <f>VLOOKUP(tdata[[#This Row],[id_employee]],temployee[#All],5,0)</f>
        <v>driver</v>
      </c>
    </row>
    <row r="186" spans="2:19" x14ac:dyDescent="0.35">
      <c r="B186" s="8" t="s">
        <v>205</v>
      </c>
      <c r="C186" s="2" t="s">
        <v>1355</v>
      </c>
      <c r="D186" s="5">
        <v>45536</v>
      </c>
      <c r="E186" s="5">
        <v>45537</v>
      </c>
      <c r="F186" s="2" t="s">
        <v>20</v>
      </c>
      <c r="G186" s="2" t="s">
        <v>26</v>
      </c>
      <c r="H186" s="2" t="s">
        <v>1224</v>
      </c>
      <c r="I186" s="2" t="s">
        <v>13</v>
      </c>
      <c r="J186" s="2">
        <v>0.56000000000000005</v>
      </c>
      <c r="K186" s="2" t="str">
        <f t="shared" si="6"/>
        <v>&lt; 5kg</v>
      </c>
      <c r="L186" s="2">
        <f>tdata[[#This Row],[Received_date]]-tdata[[#This Row],[Shipment_Date]]</f>
        <v>1</v>
      </c>
      <c r="M186" s="2">
        <f>VLOOKUP(tdata[[#This Row],[Service_Type]],Table2[#All],2,0)</f>
        <v>3</v>
      </c>
      <c r="N186" s="2" t="str">
        <f>IF(tdata[[#This Row],[Delivery_Days]]&lt;=tdata[[#This Row],[SLA_Days]],"On Time","Late")</f>
        <v>On Time</v>
      </c>
      <c r="O186" s="2">
        <f>VLOOKUP(tdata[[#This Row],[Service_Type]],Table2[#All],4,0)</f>
        <v>10000</v>
      </c>
      <c r="P186" s="2">
        <f>tdata[[#This Row],[price_per_kilo]]*tdata[[#This Row],[Weight_KG]]</f>
        <v>5600.0000000000009</v>
      </c>
      <c r="Q186" s="2" t="str">
        <f>VLOOKUP(tdata[[#This Row],[id_employee]],temployee[#All],2,0)</f>
        <v>Gilang Ramli</v>
      </c>
      <c r="R186" s="2" t="str">
        <f>VLOOKUP(tdata[[#This Row],[id_employee]],temployee[#All],4,0)</f>
        <v>internal</v>
      </c>
      <c r="S186" s="9" t="str">
        <f>VLOOKUP(tdata[[#This Row],[id_employee]],temployee[#All],5,0)</f>
        <v>rider</v>
      </c>
    </row>
    <row r="187" spans="2:19" x14ac:dyDescent="0.35">
      <c r="B187" s="8" t="s">
        <v>206</v>
      </c>
      <c r="C187" s="2" t="s">
        <v>1356</v>
      </c>
      <c r="D187" s="5">
        <v>44937</v>
      </c>
      <c r="E187" s="5">
        <v>44940</v>
      </c>
      <c r="F187" s="2" t="s">
        <v>22</v>
      </c>
      <c r="G187" s="2" t="s">
        <v>30</v>
      </c>
      <c r="H187" s="2" t="s">
        <v>1224</v>
      </c>
      <c r="I187" s="2" t="s">
        <v>17</v>
      </c>
      <c r="J187" s="2">
        <v>2.79</v>
      </c>
      <c r="K187" s="2" t="str">
        <f t="shared" si="6"/>
        <v>&lt; 5kg</v>
      </c>
      <c r="L187" s="2">
        <f>tdata[[#This Row],[Received_date]]-tdata[[#This Row],[Shipment_Date]]</f>
        <v>3</v>
      </c>
      <c r="M187" s="2">
        <f>VLOOKUP(tdata[[#This Row],[Service_Type]],Table2[#All],2,0)</f>
        <v>3</v>
      </c>
      <c r="N187" s="2" t="str">
        <f>IF(tdata[[#This Row],[Delivery_Days]]&lt;=tdata[[#This Row],[SLA_Days]],"On Time","Late")</f>
        <v>On Time</v>
      </c>
      <c r="O187" s="2">
        <f>VLOOKUP(tdata[[#This Row],[Service_Type]],Table2[#All],4,0)</f>
        <v>10000</v>
      </c>
      <c r="P187" s="2">
        <f>tdata[[#This Row],[price_per_kilo]]*tdata[[#This Row],[Weight_KG]]</f>
        <v>27900</v>
      </c>
      <c r="Q187" s="2" t="str">
        <f>VLOOKUP(tdata[[#This Row],[id_employee]],temployee[#All],2,0)</f>
        <v>Hana Zahra</v>
      </c>
      <c r="R187" s="2" t="str">
        <f>VLOOKUP(tdata[[#This Row],[id_employee]],temployee[#All],4,0)</f>
        <v>internal</v>
      </c>
      <c r="S187" s="9" t="str">
        <f>VLOOKUP(tdata[[#This Row],[id_employee]],temployee[#All],5,0)</f>
        <v>rider</v>
      </c>
    </row>
    <row r="188" spans="2:19" x14ac:dyDescent="0.35">
      <c r="B188" s="8" t="s">
        <v>207</v>
      </c>
      <c r="C188" s="2" t="s">
        <v>1357</v>
      </c>
      <c r="D188" s="5">
        <v>45182</v>
      </c>
      <c r="E188" s="5">
        <v>45190</v>
      </c>
      <c r="F188" s="2" t="s">
        <v>12</v>
      </c>
      <c r="G188" s="2" t="s">
        <v>30</v>
      </c>
      <c r="H188" s="2" t="s">
        <v>1224</v>
      </c>
      <c r="I188" s="2" t="s">
        <v>17</v>
      </c>
      <c r="J188" s="2">
        <v>0.92</v>
      </c>
      <c r="K188" s="2" t="str">
        <f t="shared" si="6"/>
        <v>&lt; 5kg</v>
      </c>
      <c r="L188" s="2">
        <f>tdata[[#This Row],[Received_date]]-tdata[[#This Row],[Shipment_Date]]</f>
        <v>8</v>
      </c>
      <c r="M188" s="2">
        <f>VLOOKUP(tdata[[#This Row],[Service_Type]],Table2[#All],2,0)</f>
        <v>3</v>
      </c>
      <c r="N188" s="2" t="str">
        <f>IF(tdata[[#This Row],[Delivery_Days]]&lt;=tdata[[#This Row],[SLA_Days]],"On Time","Late")</f>
        <v>Late</v>
      </c>
      <c r="O188" s="2">
        <f>VLOOKUP(tdata[[#This Row],[Service_Type]],Table2[#All],4,0)</f>
        <v>10000</v>
      </c>
      <c r="P188" s="2">
        <f>tdata[[#This Row],[price_per_kilo]]*tdata[[#This Row],[Weight_KG]]</f>
        <v>9200</v>
      </c>
      <c r="Q188" s="2" t="str">
        <f>VLOOKUP(tdata[[#This Row],[id_employee]],temployee[#All],2,0)</f>
        <v>Irfan Maulana</v>
      </c>
      <c r="R188" s="2" t="str">
        <f>VLOOKUP(tdata[[#This Row],[id_employee]],temployee[#All],4,0)</f>
        <v>internal</v>
      </c>
      <c r="S188" s="9" t="str">
        <f>VLOOKUP(tdata[[#This Row],[id_employee]],temployee[#All],5,0)</f>
        <v>driver</v>
      </c>
    </row>
    <row r="189" spans="2:19" x14ac:dyDescent="0.35">
      <c r="B189" s="8" t="s">
        <v>208</v>
      </c>
      <c r="C189" s="2" t="s">
        <v>1358</v>
      </c>
      <c r="D189" s="5">
        <v>45009</v>
      </c>
      <c r="E189" s="5">
        <v>45012</v>
      </c>
      <c r="F189" s="2" t="s">
        <v>30</v>
      </c>
      <c r="G189" s="2" t="s">
        <v>32</v>
      </c>
      <c r="H189" s="2" t="s">
        <v>23</v>
      </c>
      <c r="I189" s="2" t="s">
        <v>13</v>
      </c>
      <c r="J189" s="2">
        <v>1.43</v>
      </c>
      <c r="K189" s="2" t="str">
        <f t="shared" si="6"/>
        <v>&lt; 5kg</v>
      </c>
      <c r="L189" s="2">
        <f>tdata[[#This Row],[Received_date]]-tdata[[#This Row],[Shipment_Date]]</f>
        <v>3</v>
      </c>
      <c r="M189" s="2">
        <f>VLOOKUP(tdata[[#This Row],[Service_Type]],Table2[#All],2,0)</f>
        <v>5</v>
      </c>
      <c r="N189" s="2" t="str">
        <f>IF(tdata[[#This Row],[Delivery_Days]]&lt;=tdata[[#This Row],[SLA_Days]],"On Time","Late")</f>
        <v>On Time</v>
      </c>
      <c r="O189" s="2">
        <f>VLOOKUP(tdata[[#This Row],[Service_Type]],Table2[#All],4,0)</f>
        <v>9000</v>
      </c>
      <c r="P189" s="2">
        <f>tdata[[#This Row],[price_per_kilo]]*tdata[[#This Row],[Weight_KG]]</f>
        <v>12870</v>
      </c>
      <c r="Q189" s="2" t="str">
        <f>VLOOKUP(tdata[[#This Row],[id_employee]],temployee[#All],2,0)</f>
        <v>Jihan Salsabila</v>
      </c>
      <c r="R189" s="2" t="str">
        <f>VLOOKUP(tdata[[#This Row],[id_employee]],temployee[#All],4,0)</f>
        <v>crowd source</v>
      </c>
      <c r="S189" s="9" t="str">
        <f>VLOOKUP(tdata[[#This Row],[id_employee]],temployee[#All],5,0)</f>
        <v>rider</v>
      </c>
    </row>
    <row r="190" spans="2:19" x14ac:dyDescent="0.35">
      <c r="B190" s="8" t="s">
        <v>209</v>
      </c>
      <c r="C190" s="2" t="s">
        <v>1359</v>
      </c>
      <c r="D190" s="5">
        <v>45178</v>
      </c>
      <c r="E190" s="5">
        <v>45188</v>
      </c>
      <c r="F190" s="2" t="s">
        <v>32</v>
      </c>
      <c r="G190" s="2" t="s">
        <v>20</v>
      </c>
      <c r="H190" s="2" t="s">
        <v>1224</v>
      </c>
      <c r="I190" s="2" t="s">
        <v>17</v>
      </c>
      <c r="J190" s="2">
        <v>5.86</v>
      </c>
      <c r="K190" s="2" t="str">
        <f t="shared" si="6"/>
        <v>&gt;5kg</v>
      </c>
      <c r="L190" s="2">
        <f>tdata[[#This Row],[Received_date]]-tdata[[#This Row],[Shipment_Date]]</f>
        <v>10</v>
      </c>
      <c r="M190" s="2">
        <f>VLOOKUP(tdata[[#This Row],[Service_Type]],Table2[#All],2,0)</f>
        <v>3</v>
      </c>
      <c r="N190" s="2" t="str">
        <f>IF(tdata[[#This Row],[Delivery_Days]]&lt;=tdata[[#This Row],[SLA_Days]],"On Time","Late")</f>
        <v>Late</v>
      </c>
      <c r="O190" s="2">
        <f>VLOOKUP(tdata[[#This Row],[Service_Type]],Table2[#All],4,0)</f>
        <v>10000</v>
      </c>
      <c r="P190" s="2">
        <f>tdata[[#This Row],[price_per_kilo]]*tdata[[#This Row],[Weight_KG]]</f>
        <v>58600</v>
      </c>
      <c r="Q190" s="2" t="str">
        <f>VLOOKUP(tdata[[#This Row],[id_employee]],temployee[#All],2,0)</f>
        <v>Koko Santoso</v>
      </c>
      <c r="R190" s="2" t="str">
        <f>VLOOKUP(tdata[[#This Row],[id_employee]],temployee[#All],4,0)</f>
        <v>internal</v>
      </c>
      <c r="S190" s="9" t="str">
        <f>VLOOKUP(tdata[[#This Row],[id_employee]],temployee[#All],5,0)</f>
        <v>rider</v>
      </c>
    </row>
    <row r="191" spans="2:19" x14ac:dyDescent="0.35">
      <c r="B191" s="8" t="s">
        <v>210</v>
      </c>
      <c r="C191" s="2" t="s">
        <v>1360</v>
      </c>
      <c r="D191" s="5">
        <v>45014</v>
      </c>
      <c r="E191" s="5">
        <v>45014</v>
      </c>
      <c r="F191" s="2" t="s">
        <v>16</v>
      </c>
      <c r="G191" s="2" t="s">
        <v>16</v>
      </c>
      <c r="H191" s="2" t="s">
        <v>23</v>
      </c>
      <c r="I191" s="2" t="s">
        <v>17</v>
      </c>
      <c r="J191" s="2">
        <v>3.9</v>
      </c>
      <c r="K191" s="2" t="str">
        <f t="shared" si="6"/>
        <v>&lt; 5kg</v>
      </c>
      <c r="L191" s="2">
        <f>tdata[[#This Row],[Received_date]]-tdata[[#This Row],[Shipment_Date]]</f>
        <v>0</v>
      </c>
      <c r="M191" s="2">
        <f>VLOOKUP(tdata[[#This Row],[Service_Type]],Table2[#All],2,0)</f>
        <v>5</v>
      </c>
      <c r="N191" s="2" t="str">
        <f>IF(tdata[[#This Row],[Delivery_Days]]&lt;=tdata[[#This Row],[SLA_Days]],"On Time","Late")</f>
        <v>On Time</v>
      </c>
      <c r="O191" s="2">
        <f>VLOOKUP(tdata[[#This Row],[Service_Type]],Table2[#All],4,0)</f>
        <v>9000</v>
      </c>
      <c r="P191" s="2">
        <f>tdata[[#This Row],[price_per_kilo]]*tdata[[#This Row],[Weight_KG]]</f>
        <v>35100</v>
      </c>
      <c r="Q191" s="2" t="str">
        <f>VLOOKUP(tdata[[#This Row],[id_employee]],temployee[#All],2,0)</f>
        <v>Luthfi Hakim</v>
      </c>
      <c r="R191" s="2" t="str">
        <f>VLOOKUP(tdata[[#This Row],[id_employee]],temployee[#All],4,0)</f>
        <v>crowd source</v>
      </c>
      <c r="S191" s="9" t="str">
        <f>VLOOKUP(tdata[[#This Row],[id_employee]],temployee[#All],5,0)</f>
        <v>driver</v>
      </c>
    </row>
    <row r="192" spans="2:19" x14ac:dyDescent="0.35">
      <c r="B192" s="8" t="s">
        <v>211</v>
      </c>
      <c r="C192" s="2" t="s">
        <v>1361</v>
      </c>
      <c r="D192" s="5">
        <v>45635</v>
      </c>
      <c r="E192" s="5">
        <f>D192+4</f>
        <v>45639</v>
      </c>
      <c r="F192" s="2" t="s">
        <v>26</v>
      </c>
      <c r="G192" s="2" t="s">
        <v>30</v>
      </c>
      <c r="H192" s="2" t="s">
        <v>23</v>
      </c>
      <c r="I192" s="2" t="s">
        <v>17</v>
      </c>
      <c r="J192" s="2">
        <v>7.91</v>
      </c>
      <c r="K192" s="2" t="str">
        <f t="shared" si="6"/>
        <v>&gt;5kg</v>
      </c>
      <c r="L192" s="2">
        <f>tdata[[#This Row],[Received_date]]-tdata[[#This Row],[Shipment_Date]]</f>
        <v>4</v>
      </c>
      <c r="M192" s="2">
        <f>VLOOKUP(tdata[[#This Row],[Service_Type]],Table2[#All],2,0)</f>
        <v>5</v>
      </c>
      <c r="N192" s="2" t="str">
        <f>IF(tdata[[#This Row],[Delivery_Days]]&lt;=tdata[[#This Row],[SLA_Days]],"On Time","Late")</f>
        <v>On Time</v>
      </c>
      <c r="O192" s="2">
        <f>VLOOKUP(tdata[[#This Row],[Service_Type]],Table2[#All],4,0)</f>
        <v>9000</v>
      </c>
      <c r="P192" s="2">
        <f>tdata[[#This Row],[price_per_kilo]]*tdata[[#This Row],[Weight_KG]]</f>
        <v>71190</v>
      </c>
      <c r="Q192" s="2" t="str">
        <f>VLOOKUP(tdata[[#This Row],[id_employee]],temployee[#All],2,0)</f>
        <v>Melati Anggraini</v>
      </c>
      <c r="R192" s="2" t="str">
        <f>VLOOKUP(tdata[[#This Row],[id_employee]],temployee[#All],4,0)</f>
        <v>internal</v>
      </c>
      <c r="S192" s="9" t="str">
        <f>VLOOKUP(tdata[[#This Row],[id_employee]],temployee[#All],5,0)</f>
        <v>rider</v>
      </c>
    </row>
    <row r="193" spans="2:19" x14ac:dyDescent="0.35">
      <c r="B193" s="8" t="s">
        <v>212</v>
      </c>
      <c r="C193" s="2" t="s">
        <v>1362</v>
      </c>
      <c r="D193" s="5">
        <v>45318</v>
      </c>
      <c r="E193" s="5">
        <v>45321</v>
      </c>
      <c r="F193" s="2" t="s">
        <v>49</v>
      </c>
      <c r="G193" s="2" t="s">
        <v>20</v>
      </c>
      <c r="H193" s="2" t="s">
        <v>1224</v>
      </c>
      <c r="I193" s="2" t="s">
        <v>17</v>
      </c>
      <c r="J193" s="2">
        <v>3.85</v>
      </c>
      <c r="K193" s="2" t="str">
        <f t="shared" si="6"/>
        <v>&lt; 5kg</v>
      </c>
      <c r="L193" s="2">
        <f>tdata[[#This Row],[Received_date]]-tdata[[#This Row],[Shipment_Date]]</f>
        <v>3</v>
      </c>
      <c r="M193" s="2">
        <f>VLOOKUP(tdata[[#This Row],[Service_Type]],Table2[#All],2,0)</f>
        <v>3</v>
      </c>
      <c r="N193" s="2" t="str">
        <f>IF(tdata[[#This Row],[Delivery_Days]]&lt;=tdata[[#This Row],[SLA_Days]],"On Time","Late")</f>
        <v>On Time</v>
      </c>
      <c r="O193" s="2">
        <f>VLOOKUP(tdata[[#This Row],[Service_Type]],Table2[#All],4,0)</f>
        <v>10000</v>
      </c>
      <c r="P193" s="2">
        <f>tdata[[#This Row],[price_per_kilo]]*tdata[[#This Row],[Weight_KG]]</f>
        <v>38500</v>
      </c>
      <c r="Q193" s="2" t="str">
        <f>VLOOKUP(tdata[[#This Row],[id_employee]],temployee[#All],2,0)</f>
        <v>Naufal Rizky</v>
      </c>
      <c r="R193" s="2" t="str">
        <f>VLOOKUP(tdata[[#This Row],[id_employee]],temployee[#All],4,0)</f>
        <v>internal</v>
      </c>
      <c r="S193" s="9" t="str">
        <f>VLOOKUP(tdata[[#This Row],[id_employee]],temployee[#All],5,0)</f>
        <v>driver</v>
      </c>
    </row>
    <row r="194" spans="2:19" x14ac:dyDescent="0.35">
      <c r="B194" s="8" t="s">
        <v>213</v>
      </c>
      <c r="C194" s="2" t="s">
        <v>1363</v>
      </c>
      <c r="D194" s="5">
        <v>45400</v>
      </c>
      <c r="E194" s="5">
        <f>D194+4</f>
        <v>45404</v>
      </c>
      <c r="F194" s="2" t="s">
        <v>11</v>
      </c>
      <c r="G194" s="2" t="s">
        <v>20</v>
      </c>
      <c r="H194" s="2" t="s">
        <v>1224</v>
      </c>
      <c r="I194" s="2" t="s">
        <v>13</v>
      </c>
      <c r="J194" s="2">
        <v>8.0399999999999991</v>
      </c>
      <c r="K194" s="2" t="str">
        <f t="shared" si="6"/>
        <v>&gt;5kg</v>
      </c>
      <c r="L194" s="2">
        <f>tdata[[#This Row],[Received_date]]-tdata[[#This Row],[Shipment_Date]]</f>
        <v>4</v>
      </c>
      <c r="M194" s="2">
        <f>VLOOKUP(tdata[[#This Row],[Service_Type]],Table2[#All],2,0)</f>
        <v>3</v>
      </c>
      <c r="N194" s="2" t="str">
        <f>IF(tdata[[#This Row],[Delivery_Days]]&lt;=tdata[[#This Row],[SLA_Days]],"On Time","Late")</f>
        <v>Late</v>
      </c>
      <c r="O194" s="2">
        <f>VLOOKUP(tdata[[#This Row],[Service_Type]],Table2[#All],4,0)</f>
        <v>10000</v>
      </c>
      <c r="P194" s="2">
        <f>tdata[[#This Row],[price_per_kilo]]*tdata[[#This Row],[Weight_KG]]</f>
        <v>80399.999999999985</v>
      </c>
      <c r="Q194" s="2" t="str">
        <f>VLOOKUP(tdata[[#This Row],[id_employee]],temployee[#All],2,0)</f>
        <v>Olin Febriani</v>
      </c>
      <c r="R194" s="2" t="str">
        <f>VLOOKUP(tdata[[#This Row],[id_employee]],temployee[#All],4,0)</f>
        <v>crowd source</v>
      </c>
      <c r="S194" s="9" t="str">
        <f>VLOOKUP(tdata[[#This Row],[id_employee]],temployee[#All],5,0)</f>
        <v>rider</v>
      </c>
    </row>
    <row r="195" spans="2:19" x14ac:dyDescent="0.35">
      <c r="B195" s="8" t="s">
        <v>214</v>
      </c>
      <c r="C195" s="2" t="s">
        <v>1364</v>
      </c>
      <c r="D195" s="5">
        <v>45003</v>
      </c>
      <c r="E195" s="5">
        <v>45004</v>
      </c>
      <c r="F195" s="2" t="s">
        <v>15</v>
      </c>
      <c r="G195" s="2" t="s">
        <v>15</v>
      </c>
      <c r="H195" s="2" t="s">
        <v>1224</v>
      </c>
      <c r="I195" s="2" t="s">
        <v>17</v>
      </c>
      <c r="J195" s="2">
        <v>7.08</v>
      </c>
      <c r="K195" s="2" t="str">
        <f t="shared" si="6"/>
        <v>&gt;5kg</v>
      </c>
      <c r="L195" s="2">
        <f>tdata[[#This Row],[Received_date]]-tdata[[#This Row],[Shipment_Date]]</f>
        <v>1</v>
      </c>
      <c r="M195" s="2">
        <f>VLOOKUP(tdata[[#This Row],[Service_Type]],Table2[#All],2,0)</f>
        <v>3</v>
      </c>
      <c r="N195" s="2" t="str">
        <f>IF(tdata[[#This Row],[Delivery_Days]]&lt;=tdata[[#This Row],[SLA_Days]],"On Time","Late")</f>
        <v>On Time</v>
      </c>
      <c r="O195" s="2">
        <f>VLOOKUP(tdata[[#This Row],[Service_Type]],Table2[#All],4,0)</f>
        <v>10000</v>
      </c>
      <c r="P195" s="2">
        <f>tdata[[#This Row],[price_per_kilo]]*tdata[[#This Row],[Weight_KG]]</f>
        <v>70800</v>
      </c>
      <c r="Q195" s="2" t="str">
        <f>VLOOKUP(tdata[[#This Row],[id_employee]],temployee[#All],2,0)</f>
        <v>Praditya Wicaksono</v>
      </c>
      <c r="R195" s="2" t="str">
        <f>VLOOKUP(tdata[[#This Row],[id_employee]],temployee[#All],4,0)</f>
        <v>internal</v>
      </c>
      <c r="S195" s="9" t="str">
        <f>VLOOKUP(tdata[[#This Row],[id_employee]],temployee[#All],5,0)</f>
        <v>driver</v>
      </c>
    </row>
    <row r="196" spans="2:19" x14ac:dyDescent="0.35">
      <c r="B196" s="8" t="s">
        <v>215</v>
      </c>
      <c r="C196" s="2" t="s">
        <v>1365</v>
      </c>
      <c r="D196" s="5">
        <v>45560</v>
      </c>
      <c r="E196" s="5">
        <v>45569</v>
      </c>
      <c r="F196" s="2" t="s">
        <v>20</v>
      </c>
      <c r="G196" s="2" t="s">
        <v>12</v>
      </c>
      <c r="H196" s="2" t="s">
        <v>1224</v>
      </c>
      <c r="I196" s="2" t="s">
        <v>13</v>
      </c>
      <c r="J196" s="2">
        <v>2.4</v>
      </c>
      <c r="K196" s="2" t="str">
        <f t="shared" si="6"/>
        <v>&lt; 5kg</v>
      </c>
      <c r="L196" s="2">
        <f>tdata[[#This Row],[Received_date]]-tdata[[#This Row],[Shipment_Date]]</f>
        <v>9</v>
      </c>
      <c r="M196" s="2">
        <f>VLOOKUP(tdata[[#This Row],[Service_Type]],Table2[#All],2,0)</f>
        <v>3</v>
      </c>
      <c r="N196" s="2" t="str">
        <f>IF(tdata[[#This Row],[Delivery_Days]]&lt;=tdata[[#This Row],[SLA_Days]],"On Time","Late")</f>
        <v>Late</v>
      </c>
      <c r="O196" s="2">
        <f>VLOOKUP(tdata[[#This Row],[Service_Type]],Table2[#All],4,0)</f>
        <v>10000</v>
      </c>
      <c r="P196" s="2">
        <f>tdata[[#This Row],[price_per_kilo]]*tdata[[#This Row],[Weight_KG]]</f>
        <v>24000</v>
      </c>
      <c r="Q196" s="2" t="str">
        <f>VLOOKUP(tdata[[#This Row],[id_employee]],temployee[#All],2,0)</f>
        <v>Qory Azzahra</v>
      </c>
      <c r="R196" s="2" t="str">
        <f>VLOOKUP(tdata[[#This Row],[id_employee]],temployee[#All],4,0)</f>
        <v>internal</v>
      </c>
      <c r="S196" s="9" t="str">
        <f>VLOOKUP(tdata[[#This Row],[id_employee]],temployee[#All],5,0)</f>
        <v>rider</v>
      </c>
    </row>
    <row r="197" spans="2:19" x14ac:dyDescent="0.35">
      <c r="B197" s="8" t="s">
        <v>216</v>
      </c>
      <c r="C197" s="2" t="s">
        <v>1366</v>
      </c>
      <c r="D197" s="5">
        <v>45388</v>
      </c>
      <c r="E197" s="5">
        <v>45388</v>
      </c>
      <c r="F197" s="2" t="s">
        <v>22</v>
      </c>
      <c r="G197" s="2" t="s">
        <v>16</v>
      </c>
      <c r="H197" s="2" t="s">
        <v>1223</v>
      </c>
      <c r="I197" s="2" t="s">
        <v>17</v>
      </c>
      <c r="J197" s="2">
        <v>4.1500000000000004</v>
      </c>
      <c r="K197" s="2" t="str">
        <f t="shared" ref="K197:K260" si="9">IF(J197&lt;5,"&lt; 5kg", "&gt;5kg")</f>
        <v>&lt; 5kg</v>
      </c>
      <c r="L197" s="2">
        <f>tdata[[#This Row],[Received_date]]-tdata[[#This Row],[Shipment_Date]]</f>
        <v>0</v>
      </c>
      <c r="M197" s="2">
        <f>VLOOKUP(tdata[[#This Row],[Service_Type]],Table2[#All],2,0)</f>
        <v>1</v>
      </c>
      <c r="N197" s="2" t="str">
        <f>IF(tdata[[#This Row],[Delivery_Days]]&lt;=tdata[[#This Row],[SLA_Days]],"On Time","Late")</f>
        <v>On Time</v>
      </c>
      <c r="O197" s="2">
        <f>VLOOKUP(tdata[[#This Row],[Service_Type]],Table2[#All],4,0)</f>
        <v>12000</v>
      </c>
      <c r="P197" s="2">
        <f>tdata[[#This Row],[price_per_kilo]]*tdata[[#This Row],[Weight_KG]]</f>
        <v>49800.000000000007</v>
      </c>
      <c r="Q197" s="2" t="str">
        <f>VLOOKUP(tdata[[#This Row],[id_employee]],temployee[#All],2,0)</f>
        <v>Rendi Saputra</v>
      </c>
      <c r="R197" s="2" t="str">
        <f>VLOOKUP(tdata[[#This Row],[id_employee]],temployee[#All],4,0)</f>
        <v>crowd source</v>
      </c>
      <c r="S197" s="9" t="str">
        <f>VLOOKUP(tdata[[#This Row],[id_employee]],temployee[#All],5,0)</f>
        <v>driver</v>
      </c>
    </row>
    <row r="198" spans="2:19" x14ac:dyDescent="0.35">
      <c r="B198" s="8" t="s">
        <v>217</v>
      </c>
      <c r="C198" s="2" t="s">
        <v>1367</v>
      </c>
      <c r="D198" s="5">
        <v>45215</v>
      </c>
      <c r="E198" s="5">
        <v>45216</v>
      </c>
      <c r="F198" s="2" t="s">
        <v>12</v>
      </c>
      <c r="G198" s="2" t="s">
        <v>15</v>
      </c>
      <c r="H198" s="2" t="s">
        <v>1223</v>
      </c>
      <c r="I198" s="2" t="s">
        <v>13</v>
      </c>
      <c r="J198" s="2">
        <v>4.53</v>
      </c>
      <c r="K198" s="2" t="str">
        <f t="shared" si="9"/>
        <v>&lt; 5kg</v>
      </c>
      <c r="L198" s="2">
        <f>tdata[[#This Row],[Received_date]]-tdata[[#This Row],[Shipment_Date]]</f>
        <v>1</v>
      </c>
      <c r="M198" s="2">
        <f>VLOOKUP(tdata[[#This Row],[Service_Type]],Table2[#All],2,0)</f>
        <v>1</v>
      </c>
      <c r="N198" s="2" t="str">
        <f>IF(tdata[[#This Row],[Delivery_Days]]&lt;=tdata[[#This Row],[SLA_Days]],"On Time","Late")</f>
        <v>On Time</v>
      </c>
      <c r="O198" s="2">
        <f>VLOOKUP(tdata[[#This Row],[Service_Type]],Table2[#All],4,0)</f>
        <v>12000</v>
      </c>
      <c r="P198" s="2">
        <f>tdata[[#This Row],[price_per_kilo]]*tdata[[#This Row],[Weight_KG]]</f>
        <v>54360</v>
      </c>
      <c r="Q198" s="2" t="str">
        <f>VLOOKUP(tdata[[#This Row],[id_employee]],temployee[#All],2,0)</f>
        <v>Salma Nuraini</v>
      </c>
      <c r="R198" s="2" t="str">
        <f>VLOOKUP(tdata[[#This Row],[id_employee]],temployee[#All],4,0)</f>
        <v>internal</v>
      </c>
      <c r="S198" s="9" t="str">
        <f>VLOOKUP(tdata[[#This Row],[id_employee]],temployee[#All],5,0)</f>
        <v>rider</v>
      </c>
    </row>
    <row r="199" spans="2:19" x14ac:dyDescent="0.35">
      <c r="B199" s="8" t="s">
        <v>218</v>
      </c>
      <c r="C199" s="2" t="s">
        <v>1368</v>
      </c>
      <c r="D199" s="5">
        <v>45286</v>
      </c>
      <c r="E199" s="5">
        <v>45297</v>
      </c>
      <c r="F199" s="2" t="s">
        <v>30</v>
      </c>
      <c r="G199" s="2" t="s">
        <v>26</v>
      </c>
      <c r="H199" s="2" t="s">
        <v>1224</v>
      </c>
      <c r="I199" s="2" t="s">
        <v>17</v>
      </c>
      <c r="J199" s="2">
        <v>7.61</v>
      </c>
      <c r="K199" s="2" t="str">
        <f t="shared" si="9"/>
        <v>&gt;5kg</v>
      </c>
      <c r="L199" s="2">
        <f>tdata[[#This Row],[Received_date]]-tdata[[#This Row],[Shipment_Date]]</f>
        <v>11</v>
      </c>
      <c r="M199" s="2">
        <f>VLOOKUP(tdata[[#This Row],[Service_Type]],Table2[#All],2,0)</f>
        <v>3</v>
      </c>
      <c r="N199" s="2" t="str">
        <f>IF(tdata[[#This Row],[Delivery_Days]]&lt;=tdata[[#This Row],[SLA_Days]],"On Time","Late")</f>
        <v>Late</v>
      </c>
      <c r="O199" s="2">
        <f>VLOOKUP(tdata[[#This Row],[Service_Type]],Table2[#All],4,0)</f>
        <v>10000</v>
      </c>
      <c r="P199" s="2">
        <f>tdata[[#This Row],[price_per_kilo]]*tdata[[#This Row],[Weight_KG]]</f>
        <v>76100</v>
      </c>
      <c r="Q199" s="2" t="str">
        <f>VLOOKUP(tdata[[#This Row],[id_employee]],temployee[#All],2,0)</f>
        <v>Tegar Prakoso</v>
      </c>
      <c r="R199" s="2" t="str">
        <f>VLOOKUP(tdata[[#This Row],[id_employee]],temployee[#All],4,0)</f>
        <v>internal</v>
      </c>
      <c r="S199" s="9" t="str">
        <f>VLOOKUP(tdata[[#This Row],[id_employee]],temployee[#All],5,0)</f>
        <v>driver</v>
      </c>
    </row>
    <row r="200" spans="2:19" x14ac:dyDescent="0.35">
      <c r="B200" s="8" t="s">
        <v>219</v>
      </c>
      <c r="C200" s="2" t="s">
        <v>1369</v>
      </c>
      <c r="D200" s="5">
        <v>45046</v>
      </c>
      <c r="E200" s="5">
        <f t="shared" ref="E200:E201" si="10">D200+4</f>
        <v>45050</v>
      </c>
      <c r="F200" s="2" t="s">
        <v>32</v>
      </c>
      <c r="G200" s="2" t="s">
        <v>20</v>
      </c>
      <c r="H200" s="2" t="s">
        <v>1224</v>
      </c>
      <c r="I200" s="2" t="s">
        <v>13</v>
      </c>
      <c r="J200" s="2">
        <v>5.85</v>
      </c>
      <c r="K200" s="2" t="str">
        <f t="shared" si="9"/>
        <v>&gt;5kg</v>
      </c>
      <c r="L200" s="2">
        <f>tdata[[#This Row],[Received_date]]-tdata[[#This Row],[Shipment_Date]]</f>
        <v>4</v>
      </c>
      <c r="M200" s="2">
        <f>VLOOKUP(tdata[[#This Row],[Service_Type]],Table2[#All],2,0)</f>
        <v>3</v>
      </c>
      <c r="N200" s="2" t="str">
        <f>IF(tdata[[#This Row],[Delivery_Days]]&lt;=tdata[[#This Row],[SLA_Days]],"On Time","Late")</f>
        <v>Late</v>
      </c>
      <c r="O200" s="2">
        <f>VLOOKUP(tdata[[#This Row],[Service_Type]],Table2[#All],4,0)</f>
        <v>10000</v>
      </c>
      <c r="P200" s="2">
        <f>tdata[[#This Row],[price_per_kilo]]*tdata[[#This Row],[Weight_KG]]</f>
        <v>58500</v>
      </c>
      <c r="Q200" s="2" t="str">
        <f>VLOOKUP(tdata[[#This Row],[id_employee]],temployee[#All],2,0)</f>
        <v>Ulfa Khairunnisa</v>
      </c>
      <c r="R200" s="2" t="str">
        <f>VLOOKUP(tdata[[#This Row],[id_employee]],temployee[#All],4,0)</f>
        <v>crowd source</v>
      </c>
      <c r="S200" s="9" t="str">
        <f>VLOOKUP(tdata[[#This Row],[id_employee]],temployee[#All],5,0)</f>
        <v>rider</v>
      </c>
    </row>
    <row r="201" spans="2:19" x14ac:dyDescent="0.35">
      <c r="B201" s="8" t="s">
        <v>220</v>
      </c>
      <c r="C201" s="2" t="s">
        <v>1370</v>
      </c>
      <c r="D201" s="5">
        <v>45453</v>
      </c>
      <c r="E201" s="5">
        <f t="shared" si="10"/>
        <v>45457</v>
      </c>
      <c r="F201" s="2" t="s">
        <v>16</v>
      </c>
      <c r="G201" s="2" t="s">
        <v>30</v>
      </c>
      <c r="H201" s="2" t="s">
        <v>23</v>
      </c>
      <c r="I201" s="2" t="s">
        <v>13</v>
      </c>
      <c r="J201" s="2">
        <v>5.76</v>
      </c>
      <c r="K201" s="2" t="str">
        <f t="shared" si="9"/>
        <v>&gt;5kg</v>
      </c>
      <c r="L201" s="2">
        <f>tdata[[#This Row],[Received_date]]-tdata[[#This Row],[Shipment_Date]]</f>
        <v>4</v>
      </c>
      <c r="M201" s="2">
        <f>VLOOKUP(tdata[[#This Row],[Service_Type]],Table2[#All],2,0)</f>
        <v>5</v>
      </c>
      <c r="N201" s="2" t="str">
        <f>IF(tdata[[#This Row],[Delivery_Days]]&lt;=tdata[[#This Row],[SLA_Days]],"On Time","Late")</f>
        <v>On Time</v>
      </c>
      <c r="O201" s="2">
        <f>VLOOKUP(tdata[[#This Row],[Service_Type]],Table2[#All],4,0)</f>
        <v>9000</v>
      </c>
      <c r="P201" s="2">
        <f>tdata[[#This Row],[price_per_kilo]]*tdata[[#This Row],[Weight_KG]]</f>
        <v>51840</v>
      </c>
      <c r="Q201" s="2" t="str">
        <f>VLOOKUP(tdata[[#This Row],[id_employee]],temployee[#All],2,0)</f>
        <v>Vito Mahendra</v>
      </c>
      <c r="R201" s="2" t="str">
        <f>VLOOKUP(tdata[[#This Row],[id_employee]],temployee[#All],4,0)</f>
        <v>internal</v>
      </c>
      <c r="S201" s="9" t="str">
        <f>VLOOKUP(tdata[[#This Row],[id_employee]],temployee[#All],5,0)</f>
        <v>rider</v>
      </c>
    </row>
    <row r="202" spans="2:19" x14ac:dyDescent="0.35">
      <c r="B202" s="8" t="s">
        <v>221</v>
      </c>
      <c r="C202" s="2" t="s">
        <v>1371</v>
      </c>
      <c r="D202" s="5">
        <v>45521</v>
      </c>
      <c r="E202" s="5">
        <v>45525</v>
      </c>
      <c r="F202" s="2" t="s">
        <v>26</v>
      </c>
      <c r="G202" s="2" t="s">
        <v>12</v>
      </c>
      <c r="H202" s="2" t="s">
        <v>23</v>
      </c>
      <c r="I202" s="2" t="s">
        <v>13</v>
      </c>
      <c r="J202" s="2">
        <v>1.98</v>
      </c>
      <c r="K202" s="2" t="str">
        <f t="shared" si="9"/>
        <v>&lt; 5kg</v>
      </c>
      <c r="L202" s="2">
        <f>tdata[[#This Row],[Received_date]]-tdata[[#This Row],[Shipment_Date]]</f>
        <v>4</v>
      </c>
      <c r="M202" s="2">
        <f>VLOOKUP(tdata[[#This Row],[Service_Type]],Table2[#All],2,0)</f>
        <v>5</v>
      </c>
      <c r="N202" s="2" t="str">
        <f>IF(tdata[[#This Row],[Delivery_Days]]&lt;=tdata[[#This Row],[SLA_Days]],"On Time","Late")</f>
        <v>On Time</v>
      </c>
      <c r="O202" s="2">
        <f>VLOOKUP(tdata[[#This Row],[Service_Type]],Table2[#All],4,0)</f>
        <v>9000</v>
      </c>
      <c r="P202" s="2">
        <f>tdata[[#This Row],[price_per_kilo]]*tdata[[#This Row],[Weight_KG]]</f>
        <v>17820</v>
      </c>
      <c r="Q202" s="2" t="str">
        <f>VLOOKUP(tdata[[#This Row],[id_employee]],temployee[#All],2,0)</f>
        <v>Winda Sari</v>
      </c>
      <c r="R202" s="2" t="str">
        <f>VLOOKUP(tdata[[#This Row],[id_employee]],temployee[#All],4,0)</f>
        <v>internal</v>
      </c>
      <c r="S202" s="9" t="str">
        <f>VLOOKUP(tdata[[#This Row],[id_employee]],temployee[#All],5,0)</f>
        <v>rider</v>
      </c>
    </row>
    <row r="203" spans="2:19" x14ac:dyDescent="0.35">
      <c r="B203" s="8" t="s">
        <v>222</v>
      </c>
      <c r="C203" s="2" t="s">
        <v>1372</v>
      </c>
      <c r="D203" s="5">
        <v>45166</v>
      </c>
      <c r="E203" s="5">
        <v>45167</v>
      </c>
      <c r="F203" s="2" t="s">
        <v>49</v>
      </c>
      <c r="G203" s="2" t="s">
        <v>32</v>
      </c>
      <c r="H203" s="2" t="s">
        <v>1224</v>
      </c>
      <c r="I203" s="2" t="s">
        <v>17</v>
      </c>
      <c r="J203" s="2">
        <v>1.82</v>
      </c>
      <c r="K203" s="2" t="str">
        <f t="shared" si="9"/>
        <v>&lt; 5kg</v>
      </c>
      <c r="L203" s="2">
        <f>tdata[[#This Row],[Received_date]]-tdata[[#This Row],[Shipment_Date]]</f>
        <v>1</v>
      </c>
      <c r="M203" s="2">
        <f>VLOOKUP(tdata[[#This Row],[Service_Type]],Table2[#All],2,0)</f>
        <v>3</v>
      </c>
      <c r="N203" s="2" t="str">
        <f>IF(tdata[[#This Row],[Delivery_Days]]&lt;=tdata[[#This Row],[SLA_Days]],"On Time","Late")</f>
        <v>On Time</v>
      </c>
      <c r="O203" s="2">
        <f>VLOOKUP(tdata[[#This Row],[Service_Type]],Table2[#All],4,0)</f>
        <v>10000</v>
      </c>
      <c r="P203" s="2">
        <f>tdata[[#This Row],[price_per_kilo]]*tdata[[#This Row],[Weight_KG]]</f>
        <v>18200</v>
      </c>
      <c r="Q203" s="2" t="str">
        <f>VLOOKUP(tdata[[#This Row],[id_employee]],temployee[#All],2,0)</f>
        <v>Yusuf Al Ghazali</v>
      </c>
      <c r="R203" s="2" t="str">
        <f>VLOOKUP(tdata[[#This Row],[id_employee]],temployee[#All],4,0)</f>
        <v>crowd source</v>
      </c>
      <c r="S203" s="9" t="str">
        <f>VLOOKUP(tdata[[#This Row],[id_employee]],temployee[#All],5,0)</f>
        <v>driver</v>
      </c>
    </row>
    <row r="204" spans="2:19" x14ac:dyDescent="0.35">
      <c r="B204" s="8" t="s">
        <v>223</v>
      </c>
      <c r="C204" s="2" t="s">
        <v>1273</v>
      </c>
      <c r="D204" s="5">
        <v>45038</v>
      </c>
      <c r="E204" s="5">
        <f>D204+4</f>
        <v>45042</v>
      </c>
      <c r="F204" s="2" t="s">
        <v>11</v>
      </c>
      <c r="G204" s="2" t="s">
        <v>11</v>
      </c>
      <c r="H204" s="2" t="s">
        <v>23</v>
      </c>
      <c r="I204" s="2" t="s">
        <v>13</v>
      </c>
      <c r="J204" s="2">
        <v>8.2899999999999991</v>
      </c>
      <c r="K204" s="2" t="str">
        <f t="shared" si="9"/>
        <v>&gt;5kg</v>
      </c>
      <c r="L204" s="2">
        <f>tdata[[#This Row],[Received_date]]-tdata[[#This Row],[Shipment_Date]]</f>
        <v>4</v>
      </c>
      <c r="M204" s="2">
        <f>VLOOKUP(tdata[[#This Row],[Service_Type]],Table2[#All],2,0)</f>
        <v>5</v>
      </c>
      <c r="N204" s="2" t="str">
        <f>IF(tdata[[#This Row],[Delivery_Days]]&lt;=tdata[[#This Row],[SLA_Days]],"On Time","Late")</f>
        <v>On Time</v>
      </c>
      <c r="O204" s="2">
        <f>VLOOKUP(tdata[[#This Row],[Service_Type]],Table2[#All],4,0)</f>
        <v>9000</v>
      </c>
      <c r="P204" s="2">
        <f>tdata[[#This Row],[price_per_kilo]]*tdata[[#This Row],[Weight_KG]]</f>
        <v>74609.999999999985</v>
      </c>
      <c r="Q204" s="2" t="str">
        <f>VLOOKUP(tdata[[#This Row],[id_employee]],temployee[#All],2,0)</f>
        <v>Andi Pratama</v>
      </c>
      <c r="R204" s="2" t="str">
        <f>VLOOKUP(tdata[[#This Row],[id_employee]],temployee[#All],4,0)</f>
        <v>internal</v>
      </c>
      <c r="S204" s="9" t="str">
        <f>VLOOKUP(tdata[[#This Row],[id_employee]],temployee[#All],5,0)</f>
        <v>rider</v>
      </c>
    </row>
    <row r="205" spans="2:19" x14ac:dyDescent="0.35">
      <c r="B205" s="8" t="s">
        <v>224</v>
      </c>
      <c r="C205" s="2" t="s">
        <v>1274</v>
      </c>
      <c r="D205" s="5">
        <v>45640</v>
      </c>
      <c r="E205" s="5">
        <v>45645</v>
      </c>
      <c r="F205" s="2" t="s">
        <v>15</v>
      </c>
      <c r="G205" s="2" t="s">
        <v>26</v>
      </c>
      <c r="H205" s="2" t="s">
        <v>1224</v>
      </c>
      <c r="I205" s="2" t="s">
        <v>17</v>
      </c>
      <c r="J205" s="2">
        <v>0.69</v>
      </c>
      <c r="K205" s="2" t="str">
        <f t="shared" si="9"/>
        <v>&lt; 5kg</v>
      </c>
      <c r="L205" s="2">
        <f>tdata[[#This Row],[Received_date]]-tdata[[#This Row],[Shipment_Date]]</f>
        <v>5</v>
      </c>
      <c r="M205" s="2">
        <f>VLOOKUP(tdata[[#This Row],[Service_Type]],Table2[#All],2,0)</f>
        <v>3</v>
      </c>
      <c r="N205" s="2" t="str">
        <f>IF(tdata[[#This Row],[Delivery_Days]]&lt;=tdata[[#This Row],[SLA_Days]],"On Time","Late")</f>
        <v>Late</v>
      </c>
      <c r="O205" s="2">
        <f>VLOOKUP(tdata[[#This Row],[Service_Type]],Table2[#All],4,0)</f>
        <v>10000</v>
      </c>
      <c r="P205" s="2">
        <f>tdata[[#This Row],[price_per_kilo]]*tdata[[#This Row],[Weight_KG]]</f>
        <v>6899.9999999999991</v>
      </c>
      <c r="Q205" s="2" t="str">
        <f>VLOOKUP(tdata[[#This Row],[id_employee]],temployee[#All],2,0)</f>
        <v>Budi Santoso</v>
      </c>
      <c r="R205" s="2" t="str">
        <f>VLOOKUP(tdata[[#This Row],[id_employee]],temployee[#All],4,0)</f>
        <v>internal</v>
      </c>
      <c r="S205" s="9" t="str">
        <f>VLOOKUP(tdata[[#This Row],[id_employee]],temployee[#All],5,0)</f>
        <v>driver</v>
      </c>
    </row>
    <row r="206" spans="2:19" x14ac:dyDescent="0.35">
      <c r="B206" s="8" t="s">
        <v>225</v>
      </c>
      <c r="C206" s="2" t="s">
        <v>1275</v>
      </c>
      <c r="D206" s="5">
        <v>45618</v>
      </c>
      <c r="E206" s="5">
        <v>45621</v>
      </c>
      <c r="F206" s="2" t="s">
        <v>20</v>
      </c>
      <c r="G206" s="2" t="s">
        <v>30</v>
      </c>
      <c r="H206" s="2" t="s">
        <v>1223</v>
      </c>
      <c r="I206" s="2" t="s">
        <v>13</v>
      </c>
      <c r="J206" s="2">
        <v>10.37</v>
      </c>
      <c r="K206" s="2" t="str">
        <f t="shared" si="9"/>
        <v>&gt;5kg</v>
      </c>
      <c r="L206" s="2">
        <f>tdata[[#This Row],[Received_date]]-tdata[[#This Row],[Shipment_Date]]</f>
        <v>3</v>
      </c>
      <c r="M206" s="2">
        <f>VLOOKUP(tdata[[#This Row],[Service_Type]],Table2[#All],2,0)</f>
        <v>1</v>
      </c>
      <c r="N206" s="2" t="str">
        <f>IF(tdata[[#This Row],[Delivery_Days]]&lt;=tdata[[#This Row],[SLA_Days]],"On Time","Late")</f>
        <v>Late</v>
      </c>
      <c r="O206" s="2">
        <f>VLOOKUP(tdata[[#This Row],[Service_Type]],Table2[#All],4,0)</f>
        <v>12000</v>
      </c>
      <c r="P206" s="2">
        <f>tdata[[#This Row],[price_per_kilo]]*tdata[[#This Row],[Weight_KG]]</f>
        <v>124439.99999999999</v>
      </c>
      <c r="Q206" s="2" t="str">
        <f>VLOOKUP(tdata[[#This Row],[id_employee]],temployee[#All],2,0)</f>
        <v>Citra Lestari</v>
      </c>
      <c r="R206" s="2" t="str">
        <f>VLOOKUP(tdata[[#This Row],[id_employee]],temployee[#All],4,0)</f>
        <v>crowd source</v>
      </c>
      <c r="S206" s="9" t="str">
        <f>VLOOKUP(tdata[[#This Row],[id_employee]],temployee[#All],5,0)</f>
        <v>rider</v>
      </c>
    </row>
    <row r="207" spans="2:19" x14ac:dyDescent="0.35">
      <c r="B207" s="8" t="s">
        <v>226</v>
      </c>
      <c r="C207" s="2" t="s">
        <v>1276</v>
      </c>
      <c r="D207" s="5">
        <v>44928</v>
      </c>
      <c r="E207" s="5">
        <v>44930</v>
      </c>
      <c r="F207" s="2" t="s">
        <v>22</v>
      </c>
      <c r="G207" s="2" t="s">
        <v>12</v>
      </c>
      <c r="H207" s="2" t="s">
        <v>1224</v>
      </c>
      <c r="I207" s="2" t="s">
        <v>17</v>
      </c>
      <c r="J207" s="2">
        <v>8.81</v>
      </c>
      <c r="K207" s="2" t="str">
        <f t="shared" si="9"/>
        <v>&gt;5kg</v>
      </c>
      <c r="L207" s="2">
        <f>tdata[[#This Row],[Received_date]]-tdata[[#This Row],[Shipment_Date]]</f>
        <v>2</v>
      </c>
      <c r="M207" s="2">
        <f>VLOOKUP(tdata[[#This Row],[Service_Type]],Table2[#All],2,0)</f>
        <v>3</v>
      </c>
      <c r="N207" s="2" t="str">
        <f>IF(tdata[[#This Row],[Delivery_Days]]&lt;=tdata[[#This Row],[SLA_Days]],"On Time","Late")</f>
        <v>On Time</v>
      </c>
      <c r="O207" s="2">
        <f>VLOOKUP(tdata[[#This Row],[Service_Type]],Table2[#All],4,0)</f>
        <v>10000</v>
      </c>
      <c r="P207" s="2">
        <f>tdata[[#This Row],[price_per_kilo]]*tdata[[#This Row],[Weight_KG]]</f>
        <v>88100</v>
      </c>
      <c r="Q207" s="2" t="str">
        <f>VLOOKUP(tdata[[#This Row],[id_employee]],temployee[#All],2,0)</f>
        <v>Dedi Saputra</v>
      </c>
      <c r="R207" s="2" t="str">
        <f>VLOOKUP(tdata[[#This Row],[id_employee]],temployee[#All],4,0)</f>
        <v>crowd source</v>
      </c>
      <c r="S207" s="9" t="str">
        <f>VLOOKUP(tdata[[#This Row],[id_employee]],temployee[#All],5,0)</f>
        <v>driver</v>
      </c>
    </row>
    <row r="208" spans="2:19" x14ac:dyDescent="0.35">
      <c r="B208" s="8" t="s">
        <v>227</v>
      </c>
      <c r="C208" s="2" t="s">
        <v>1277</v>
      </c>
      <c r="D208" s="5">
        <v>45558</v>
      </c>
      <c r="E208" s="5">
        <v>45559</v>
      </c>
      <c r="F208" s="2" t="s">
        <v>12</v>
      </c>
      <c r="G208" s="2" t="s">
        <v>11</v>
      </c>
      <c r="H208" s="2" t="s">
        <v>1223</v>
      </c>
      <c r="I208" s="2" t="s">
        <v>17</v>
      </c>
      <c r="J208" s="2">
        <v>2.29</v>
      </c>
      <c r="K208" s="2" t="str">
        <f t="shared" si="9"/>
        <v>&lt; 5kg</v>
      </c>
      <c r="L208" s="2">
        <f>tdata[[#This Row],[Received_date]]-tdata[[#This Row],[Shipment_Date]]</f>
        <v>1</v>
      </c>
      <c r="M208" s="2">
        <f>VLOOKUP(tdata[[#This Row],[Service_Type]],Table2[#All],2,0)</f>
        <v>1</v>
      </c>
      <c r="N208" s="2" t="str">
        <f>IF(tdata[[#This Row],[Delivery_Days]]&lt;=tdata[[#This Row],[SLA_Days]],"On Time","Late")</f>
        <v>On Time</v>
      </c>
      <c r="O208" s="2">
        <f>VLOOKUP(tdata[[#This Row],[Service_Type]],Table2[#All],4,0)</f>
        <v>12000</v>
      </c>
      <c r="P208" s="2">
        <f>tdata[[#This Row],[price_per_kilo]]*tdata[[#This Row],[Weight_KG]]</f>
        <v>27480</v>
      </c>
      <c r="Q208" s="2" t="str">
        <f>VLOOKUP(tdata[[#This Row],[id_employee]],temployee[#All],2,0)</f>
        <v>Eko Nugroho</v>
      </c>
      <c r="R208" s="2" t="str">
        <f>VLOOKUP(tdata[[#This Row],[id_employee]],temployee[#All],4,0)</f>
        <v>internal</v>
      </c>
      <c r="S208" s="9" t="str">
        <f>VLOOKUP(tdata[[#This Row],[id_employee]],temployee[#All],5,0)</f>
        <v>rider</v>
      </c>
    </row>
    <row r="209" spans="2:19" x14ac:dyDescent="0.35">
      <c r="B209" s="8" t="s">
        <v>228</v>
      </c>
      <c r="C209" s="2" t="s">
        <v>1278</v>
      </c>
      <c r="D209" s="5">
        <v>45380</v>
      </c>
      <c r="E209" s="5">
        <v>45380</v>
      </c>
      <c r="F209" s="2" t="s">
        <v>30</v>
      </c>
      <c r="G209" s="2" t="s">
        <v>11</v>
      </c>
      <c r="H209" s="2" t="s">
        <v>1223</v>
      </c>
      <c r="I209" s="2" t="s">
        <v>17</v>
      </c>
      <c r="J209" s="2">
        <v>6.95</v>
      </c>
      <c r="K209" s="2" t="str">
        <f t="shared" si="9"/>
        <v>&gt;5kg</v>
      </c>
      <c r="L209" s="2">
        <f>tdata[[#This Row],[Received_date]]-tdata[[#This Row],[Shipment_Date]]</f>
        <v>0</v>
      </c>
      <c r="M209" s="2">
        <f>VLOOKUP(tdata[[#This Row],[Service_Type]],Table2[#All],2,0)</f>
        <v>1</v>
      </c>
      <c r="N209" s="2" t="str">
        <f>IF(tdata[[#This Row],[Delivery_Days]]&lt;=tdata[[#This Row],[SLA_Days]],"On Time","Late")</f>
        <v>On Time</v>
      </c>
      <c r="O209" s="2">
        <f>VLOOKUP(tdata[[#This Row],[Service_Type]],Table2[#All],4,0)</f>
        <v>12000</v>
      </c>
      <c r="P209" s="2">
        <f>tdata[[#This Row],[price_per_kilo]]*tdata[[#This Row],[Weight_KG]]</f>
        <v>83400</v>
      </c>
      <c r="Q209" s="2" t="str">
        <f>VLOOKUP(tdata[[#This Row],[id_employee]],temployee[#All],2,0)</f>
        <v>Fajar Hidayat</v>
      </c>
      <c r="R209" s="2" t="str">
        <f>VLOOKUP(tdata[[#This Row],[id_employee]],temployee[#All],4,0)</f>
        <v>internal</v>
      </c>
      <c r="S209" s="9" t="str">
        <f>VLOOKUP(tdata[[#This Row],[id_employee]],temployee[#All],5,0)</f>
        <v>driver</v>
      </c>
    </row>
    <row r="210" spans="2:19" x14ac:dyDescent="0.35">
      <c r="B210" s="8" t="s">
        <v>229</v>
      </c>
      <c r="C210" s="2" t="s">
        <v>1279</v>
      </c>
      <c r="D210" s="5">
        <v>44976</v>
      </c>
      <c r="E210" s="5">
        <v>44982</v>
      </c>
      <c r="F210" s="2" t="s">
        <v>32</v>
      </c>
      <c r="G210" s="2" t="s">
        <v>30</v>
      </c>
      <c r="H210" s="2" t="s">
        <v>23</v>
      </c>
      <c r="I210" s="2" t="s">
        <v>17</v>
      </c>
      <c r="J210" s="2">
        <v>4.8899999999999997</v>
      </c>
      <c r="K210" s="2" t="str">
        <f t="shared" si="9"/>
        <v>&lt; 5kg</v>
      </c>
      <c r="L210" s="2">
        <f>tdata[[#This Row],[Received_date]]-tdata[[#This Row],[Shipment_Date]]</f>
        <v>6</v>
      </c>
      <c r="M210" s="2">
        <f>VLOOKUP(tdata[[#This Row],[Service_Type]],Table2[#All],2,0)</f>
        <v>5</v>
      </c>
      <c r="N210" s="2" t="str">
        <f>IF(tdata[[#This Row],[Delivery_Days]]&lt;=tdata[[#This Row],[SLA_Days]],"On Time","Late")</f>
        <v>Late</v>
      </c>
      <c r="O210" s="2">
        <f>VLOOKUP(tdata[[#This Row],[Service_Type]],Table2[#All],4,0)</f>
        <v>9000</v>
      </c>
      <c r="P210" s="2">
        <f>tdata[[#This Row],[price_per_kilo]]*tdata[[#This Row],[Weight_KG]]</f>
        <v>44010</v>
      </c>
      <c r="Q210" s="2" t="str">
        <f>VLOOKUP(tdata[[#This Row],[id_employee]],temployee[#All],2,0)</f>
        <v>Gita Rahmawati</v>
      </c>
      <c r="R210" s="2" t="str">
        <f>VLOOKUP(tdata[[#This Row],[id_employee]],temployee[#All],4,0)</f>
        <v>crowd source</v>
      </c>
      <c r="S210" s="9" t="str">
        <f>VLOOKUP(tdata[[#This Row],[id_employee]],temployee[#All],5,0)</f>
        <v>rider</v>
      </c>
    </row>
    <row r="211" spans="2:19" x14ac:dyDescent="0.35">
      <c r="B211" s="8" t="s">
        <v>230</v>
      </c>
      <c r="C211" s="2" t="s">
        <v>1280</v>
      </c>
      <c r="D211" s="5">
        <v>45496</v>
      </c>
      <c r="E211" s="5">
        <v>45505</v>
      </c>
      <c r="F211" s="2" t="s">
        <v>16</v>
      </c>
      <c r="G211" s="2" t="s">
        <v>12</v>
      </c>
      <c r="H211" s="2" t="s">
        <v>1224</v>
      </c>
      <c r="I211" s="2" t="s">
        <v>17</v>
      </c>
      <c r="J211" s="2">
        <v>2.4300000000000002</v>
      </c>
      <c r="K211" s="2" t="str">
        <f t="shared" si="9"/>
        <v>&lt; 5kg</v>
      </c>
      <c r="L211" s="2">
        <f>tdata[[#This Row],[Received_date]]-tdata[[#This Row],[Shipment_Date]]</f>
        <v>9</v>
      </c>
      <c r="M211" s="2">
        <f>VLOOKUP(tdata[[#This Row],[Service_Type]],Table2[#All],2,0)</f>
        <v>3</v>
      </c>
      <c r="N211" s="2" t="str">
        <f>IF(tdata[[#This Row],[Delivery_Days]]&lt;=tdata[[#This Row],[SLA_Days]],"On Time","Late")</f>
        <v>Late</v>
      </c>
      <c r="O211" s="2">
        <f>VLOOKUP(tdata[[#This Row],[Service_Type]],Table2[#All],4,0)</f>
        <v>10000</v>
      </c>
      <c r="P211" s="2">
        <f>tdata[[#This Row],[price_per_kilo]]*tdata[[#This Row],[Weight_KG]]</f>
        <v>24300</v>
      </c>
      <c r="Q211" s="2" t="str">
        <f>VLOOKUP(tdata[[#This Row],[id_employee]],temployee[#All],2,0)</f>
        <v>Hendra Wijaya</v>
      </c>
      <c r="R211" s="2" t="str">
        <f>VLOOKUP(tdata[[#This Row],[id_employee]],temployee[#All],4,0)</f>
        <v>internal</v>
      </c>
      <c r="S211" s="9" t="str">
        <f>VLOOKUP(tdata[[#This Row],[id_employee]],temployee[#All],5,0)</f>
        <v>driver</v>
      </c>
    </row>
    <row r="212" spans="2:19" x14ac:dyDescent="0.35">
      <c r="B212" s="8" t="s">
        <v>231</v>
      </c>
      <c r="C212" s="2" t="s">
        <v>1281</v>
      </c>
      <c r="D212" s="5">
        <v>45436</v>
      </c>
      <c r="E212" s="5">
        <v>45436</v>
      </c>
      <c r="F212" s="2" t="s">
        <v>26</v>
      </c>
      <c r="G212" s="2" t="s">
        <v>11</v>
      </c>
      <c r="H212" s="2" t="s">
        <v>1224</v>
      </c>
      <c r="I212" s="2" t="s">
        <v>13</v>
      </c>
      <c r="J212" s="2">
        <v>2.2000000000000002</v>
      </c>
      <c r="K212" s="2" t="str">
        <f t="shared" si="9"/>
        <v>&lt; 5kg</v>
      </c>
      <c r="L212" s="2">
        <f>tdata[[#This Row],[Received_date]]-tdata[[#This Row],[Shipment_Date]]</f>
        <v>0</v>
      </c>
      <c r="M212" s="2">
        <f>VLOOKUP(tdata[[#This Row],[Service_Type]],Table2[#All],2,0)</f>
        <v>3</v>
      </c>
      <c r="N212" s="2" t="str">
        <f>IF(tdata[[#This Row],[Delivery_Days]]&lt;=tdata[[#This Row],[SLA_Days]],"On Time","Late")</f>
        <v>On Time</v>
      </c>
      <c r="O212" s="2">
        <f>VLOOKUP(tdata[[#This Row],[Service_Type]],Table2[#All],4,0)</f>
        <v>10000</v>
      </c>
      <c r="P212" s="2">
        <f>tdata[[#This Row],[price_per_kilo]]*tdata[[#This Row],[Weight_KG]]</f>
        <v>22000</v>
      </c>
      <c r="Q212" s="2" t="str">
        <f>VLOOKUP(tdata[[#This Row],[id_employee]],temployee[#All],2,0)</f>
        <v>Indah Permata</v>
      </c>
      <c r="R212" s="2" t="str">
        <f>VLOOKUP(tdata[[#This Row],[id_employee]],temployee[#All],4,0)</f>
        <v>crowd source</v>
      </c>
      <c r="S212" s="9" t="str">
        <f>VLOOKUP(tdata[[#This Row],[id_employee]],temployee[#All],5,0)</f>
        <v>rider</v>
      </c>
    </row>
    <row r="213" spans="2:19" x14ac:dyDescent="0.35">
      <c r="B213" s="8" t="s">
        <v>232</v>
      </c>
      <c r="C213" s="2" t="s">
        <v>1282</v>
      </c>
      <c r="D213" s="5">
        <v>45287</v>
      </c>
      <c r="E213" s="5">
        <v>45289</v>
      </c>
      <c r="F213" s="2" t="s">
        <v>49</v>
      </c>
      <c r="G213" s="2" t="s">
        <v>30</v>
      </c>
      <c r="H213" s="2" t="s">
        <v>23</v>
      </c>
      <c r="I213" s="2" t="s">
        <v>17</v>
      </c>
      <c r="J213" s="2">
        <v>7.64</v>
      </c>
      <c r="K213" s="2" t="str">
        <f t="shared" si="9"/>
        <v>&gt;5kg</v>
      </c>
      <c r="L213" s="2">
        <f>tdata[[#This Row],[Received_date]]-tdata[[#This Row],[Shipment_Date]]</f>
        <v>2</v>
      </c>
      <c r="M213" s="2">
        <f>VLOOKUP(tdata[[#This Row],[Service_Type]],Table2[#All],2,0)</f>
        <v>5</v>
      </c>
      <c r="N213" s="2" t="str">
        <f>IF(tdata[[#This Row],[Delivery_Days]]&lt;=tdata[[#This Row],[SLA_Days]],"On Time","Late")</f>
        <v>On Time</v>
      </c>
      <c r="O213" s="2">
        <f>VLOOKUP(tdata[[#This Row],[Service_Type]],Table2[#All],4,0)</f>
        <v>9000</v>
      </c>
      <c r="P213" s="2">
        <f>tdata[[#This Row],[price_per_kilo]]*tdata[[#This Row],[Weight_KG]]</f>
        <v>68760</v>
      </c>
      <c r="Q213" s="2" t="str">
        <f>VLOOKUP(tdata[[#This Row],[id_employee]],temployee[#All],2,0)</f>
        <v>Joko Susilo</v>
      </c>
      <c r="R213" s="2" t="str">
        <f>VLOOKUP(tdata[[#This Row],[id_employee]],temployee[#All],4,0)</f>
        <v>internal</v>
      </c>
      <c r="S213" s="9" t="str">
        <f>VLOOKUP(tdata[[#This Row],[id_employee]],temployee[#All],5,0)</f>
        <v>driver</v>
      </c>
    </row>
    <row r="214" spans="2:19" x14ac:dyDescent="0.35">
      <c r="B214" s="8" t="s">
        <v>233</v>
      </c>
      <c r="C214" s="2" t="s">
        <v>1283</v>
      </c>
      <c r="D214" s="5">
        <v>45571</v>
      </c>
      <c r="E214" s="5">
        <v>45572</v>
      </c>
      <c r="F214" s="2" t="s">
        <v>11</v>
      </c>
      <c r="G214" s="2" t="s">
        <v>11</v>
      </c>
      <c r="H214" s="2" t="s">
        <v>1224</v>
      </c>
      <c r="I214" s="2" t="s">
        <v>13</v>
      </c>
      <c r="J214" s="2">
        <v>9.42</v>
      </c>
      <c r="K214" s="2" t="str">
        <f t="shared" si="9"/>
        <v>&gt;5kg</v>
      </c>
      <c r="L214" s="2">
        <f>tdata[[#This Row],[Received_date]]-tdata[[#This Row],[Shipment_Date]]</f>
        <v>1</v>
      </c>
      <c r="M214" s="2">
        <f>VLOOKUP(tdata[[#This Row],[Service_Type]],Table2[#All],2,0)</f>
        <v>3</v>
      </c>
      <c r="N214" s="2" t="str">
        <f>IF(tdata[[#This Row],[Delivery_Days]]&lt;=tdata[[#This Row],[SLA_Days]],"On Time","Late")</f>
        <v>On Time</v>
      </c>
      <c r="O214" s="2">
        <f>VLOOKUP(tdata[[#This Row],[Service_Type]],Table2[#All],4,0)</f>
        <v>10000</v>
      </c>
      <c r="P214" s="2">
        <f>tdata[[#This Row],[price_per_kilo]]*tdata[[#This Row],[Weight_KG]]</f>
        <v>94200</v>
      </c>
      <c r="Q214" s="2" t="str">
        <f>VLOOKUP(tdata[[#This Row],[id_employee]],temployee[#All],2,0)</f>
        <v>Kurniawan Putra</v>
      </c>
      <c r="R214" s="2" t="str">
        <f>VLOOKUP(tdata[[#This Row],[id_employee]],temployee[#All],4,0)</f>
        <v>crowd source</v>
      </c>
      <c r="S214" s="9" t="str">
        <f>VLOOKUP(tdata[[#This Row],[id_employee]],temployee[#All],5,0)</f>
        <v>driver</v>
      </c>
    </row>
    <row r="215" spans="2:19" x14ac:dyDescent="0.35">
      <c r="B215" s="8" t="s">
        <v>234</v>
      </c>
      <c r="C215" s="2" t="s">
        <v>1284</v>
      </c>
      <c r="D215" s="5">
        <v>45073</v>
      </c>
      <c r="E215" s="5">
        <v>45073</v>
      </c>
      <c r="F215" s="2" t="s">
        <v>15</v>
      </c>
      <c r="G215" s="2" t="s">
        <v>16</v>
      </c>
      <c r="H215" s="2" t="s">
        <v>1224</v>
      </c>
      <c r="I215" s="2" t="s">
        <v>17</v>
      </c>
      <c r="J215" s="2">
        <v>3.02</v>
      </c>
      <c r="K215" s="2" t="str">
        <f t="shared" si="9"/>
        <v>&lt; 5kg</v>
      </c>
      <c r="L215" s="2">
        <f>tdata[[#This Row],[Received_date]]-tdata[[#This Row],[Shipment_Date]]</f>
        <v>0</v>
      </c>
      <c r="M215" s="2">
        <f>VLOOKUP(tdata[[#This Row],[Service_Type]],Table2[#All],2,0)</f>
        <v>3</v>
      </c>
      <c r="N215" s="2" t="str">
        <f>IF(tdata[[#This Row],[Delivery_Days]]&lt;=tdata[[#This Row],[SLA_Days]],"On Time","Late")</f>
        <v>On Time</v>
      </c>
      <c r="O215" s="2">
        <f>VLOOKUP(tdata[[#This Row],[Service_Type]],Table2[#All],4,0)</f>
        <v>10000</v>
      </c>
      <c r="P215" s="2">
        <f>tdata[[#This Row],[price_per_kilo]]*tdata[[#This Row],[Weight_KG]]</f>
        <v>30200</v>
      </c>
      <c r="Q215" s="2" t="str">
        <f>VLOOKUP(tdata[[#This Row],[id_employee]],temployee[#All],2,0)</f>
        <v>Lina Marlina</v>
      </c>
      <c r="R215" s="2" t="str">
        <f>VLOOKUP(tdata[[#This Row],[id_employee]],temployee[#All],4,0)</f>
        <v>internal</v>
      </c>
      <c r="S215" s="9" t="str">
        <f>VLOOKUP(tdata[[#This Row],[id_employee]],temployee[#All],5,0)</f>
        <v>rider</v>
      </c>
    </row>
    <row r="216" spans="2:19" x14ac:dyDescent="0.35">
      <c r="B216" s="8" t="s">
        <v>235</v>
      </c>
      <c r="C216" s="2" t="s">
        <v>1285</v>
      </c>
      <c r="D216" s="5">
        <v>45250</v>
      </c>
      <c r="E216" s="5">
        <v>45250</v>
      </c>
      <c r="F216" s="2" t="s">
        <v>20</v>
      </c>
      <c r="G216" s="2" t="s">
        <v>22</v>
      </c>
      <c r="H216" s="2" t="s">
        <v>1224</v>
      </c>
      <c r="I216" s="2" t="s">
        <v>17</v>
      </c>
      <c r="J216" s="2">
        <v>4.59</v>
      </c>
      <c r="K216" s="2" t="str">
        <f t="shared" si="9"/>
        <v>&lt; 5kg</v>
      </c>
      <c r="L216" s="2">
        <f>tdata[[#This Row],[Received_date]]-tdata[[#This Row],[Shipment_Date]]</f>
        <v>0</v>
      </c>
      <c r="M216" s="2">
        <f>VLOOKUP(tdata[[#This Row],[Service_Type]],Table2[#All],2,0)</f>
        <v>3</v>
      </c>
      <c r="N216" s="2" t="str">
        <f>IF(tdata[[#This Row],[Delivery_Days]]&lt;=tdata[[#This Row],[SLA_Days]],"On Time","Late")</f>
        <v>On Time</v>
      </c>
      <c r="O216" s="2">
        <f>VLOOKUP(tdata[[#This Row],[Service_Type]],Table2[#All],4,0)</f>
        <v>10000</v>
      </c>
      <c r="P216" s="2">
        <f>tdata[[#This Row],[price_per_kilo]]*tdata[[#This Row],[Weight_KG]]</f>
        <v>45900</v>
      </c>
      <c r="Q216" s="2" t="str">
        <f>VLOOKUP(tdata[[#This Row],[id_employee]],temployee[#All],2,0)</f>
        <v>Rizky Ananda</v>
      </c>
      <c r="R216" s="2" t="str">
        <f>VLOOKUP(tdata[[#This Row],[id_employee]],temployee[#All],4,0)</f>
        <v>crowd source</v>
      </c>
      <c r="S216" s="9" t="str">
        <f>VLOOKUP(tdata[[#This Row],[id_employee]],temployee[#All],5,0)</f>
        <v>rider</v>
      </c>
    </row>
    <row r="217" spans="2:19" x14ac:dyDescent="0.35">
      <c r="B217" s="8" t="s">
        <v>236</v>
      </c>
      <c r="C217" s="2" t="s">
        <v>1286</v>
      </c>
      <c r="D217" s="5">
        <v>45244</v>
      </c>
      <c r="E217" s="5">
        <v>45249</v>
      </c>
      <c r="F217" s="2" t="s">
        <v>22</v>
      </c>
      <c r="G217" s="2" t="s">
        <v>20</v>
      </c>
      <c r="H217" s="2" t="s">
        <v>23</v>
      </c>
      <c r="I217" s="2" t="s">
        <v>17</v>
      </c>
      <c r="J217" s="2">
        <v>2.92</v>
      </c>
      <c r="K217" s="2" t="str">
        <f t="shared" si="9"/>
        <v>&lt; 5kg</v>
      </c>
      <c r="L217" s="2">
        <f>tdata[[#This Row],[Received_date]]-tdata[[#This Row],[Shipment_Date]]</f>
        <v>5</v>
      </c>
      <c r="M217" s="2">
        <f>VLOOKUP(tdata[[#This Row],[Service_Type]],Table2[#All],2,0)</f>
        <v>5</v>
      </c>
      <c r="N217" s="2" t="str">
        <f>IF(tdata[[#This Row],[Delivery_Days]]&lt;=tdata[[#This Row],[SLA_Days]],"On Time","Late")</f>
        <v>On Time</v>
      </c>
      <c r="O217" s="2">
        <f>VLOOKUP(tdata[[#This Row],[Service_Type]],Table2[#All],4,0)</f>
        <v>9000</v>
      </c>
      <c r="P217" s="2">
        <f>tdata[[#This Row],[price_per_kilo]]*tdata[[#This Row],[Weight_KG]]</f>
        <v>26280</v>
      </c>
      <c r="Q217" s="2" t="str">
        <f>VLOOKUP(tdata[[#This Row],[id_employee]],temployee[#All],2,0)</f>
        <v>Nanda Prakoso</v>
      </c>
      <c r="R217" s="2" t="str">
        <f>VLOOKUP(tdata[[#This Row],[id_employee]],temployee[#All],4,0)</f>
        <v>internal</v>
      </c>
      <c r="S217" s="9" t="str">
        <f>VLOOKUP(tdata[[#This Row],[id_employee]],temployee[#All],5,0)</f>
        <v>driver</v>
      </c>
    </row>
    <row r="218" spans="2:19" x14ac:dyDescent="0.35">
      <c r="B218" s="8" t="s">
        <v>237</v>
      </c>
      <c r="C218" s="2" t="s">
        <v>1287</v>
      </c>
      <c r="D218" s="5">
        <v>45620</v>
      </c>
      <c r="E218" s="5">
        <v>45625</v>
      </c>
      <c r="F218" s="2" t="s">
        <v>12</v>
      </c>
      <c r="G218" s="2" t="s">
        <v>49</v>
      </c>
      <c r="H218" s="2" t="s">
        <v>23</v>
      </c>
      <c r="I218" s="2" t="s">
        <v>13</v>
      </c>
      <c r="J218" s="2">
        <v>2.68</v>
      </c>
      <c r="K218" s="2" t="str">
        <f t="shared" si="9"/>
        <v>&lt; 5kg</v>
      </c>
      <c r="L218" s="2">
        <f>tdata[[#This Row],[Received_date]]-tdata[[#This Row],[Shipment_Date]]</f>
        <v>5</v>
      </c>
      <c r="M218" s="2">
        <f>VLOOKUP(tdata[[#This Row],[Service_Type]],Table2[#All],2,0)</f>
        <v>5</v>
      </c>
      <c r="N218" s="2" t="str">
        <f>IF(tdata[[#This Row],[Delivery_Days]]&lt;=tdata[[#This Row],[SLA_Days]],"On Time","Late")</f>
        <v>On Time</v>
      </c>
      <c r="O218" s="2">
        <f>VLOOKUP(tdata[[#This Row],[Service_Type]],Table2[#All],4,0)</f>
        <v>9000</v>
      </c>
      <c r="P218" s="2">
        <f>tdata[[#This Row],[price_per_kilo]]*tdata[[#This Row],[Weight_KG]]</f>
        <v>24120</v>
      </c>
      <c r="Q218" s="2" t="str">
        <f>VLOOKUP(tdata[[#This Row],[id_employee]],temployee[#All],2,0)</f>
        <v>Oktavian Yusuf</v>
      </c>
      <c r="R218" s="2" t="str">
        <f>VLOOKUP(tdata[[#This Row],[id_employee]],temployee[#All],4,0)</f>
        <v>crowd source</v>
      </c>
      <c r="S218" s="9" t="str">
        <f>VLOOKUP(tdata[[#This Row],[id_employee]],temployee[#All],5,0)</f>
        <v>driver</v>
      </c>
    </row>
    <row r="219" spans="2:19" x14ac:dyDescent="0.35">
      <c r="B219" s="8" t="s">
        <v>238</v>
      </c>
      <c r="C219" s="2" t="s">
        <v>1288</v>
      </c>
      <c r="D219" s="5">
        <v>45129</v>
      </c>
      <c r="E219" s="5">
        <v>45134</v>
      </c>
      <c r="F219" s="2" t="s">
        <v>30</v>
      </c>
      <c r="G219" s="2" t="s">
        <v>32</v>
      </c>
      <c r="H219" s="2" t="s">
        <v>1223</v>
      </c>
      <c r="I219" s="2" t="s">
        <v>13</v>
      </c>
      <c r="J219" s="2">
        <v>6.49</v>
      </c>
      <c r="K219" s="2" t="str">
        <f t="shared" si="9"/>
        <v>&gt;5kg</v>
      </c>
      <c r="L219" s="2">
        <f>tdata[[#This Row],[Received_date]]-tdata[[#This Row],[Shipment_Date]]</f>
        <v>5</v>
      </c>
      <c r="M219" s="2">
        <f>VLOOKUP(tdata[[#This Row],[Service_Type]],Table2[#All],2,0)</f>
        <v>1</v>
      </c>
      <c r="N219" s="2" t="str">
        <f>IF(tdata[[#This Row],[Delivery_Days]]&lt;=tdata[[#This Row],[SLA_Days]],"On Time","Late")</f>
        <v>Late</v>
      </c>
      <c r="O219" s="2">
        <f>VLOOKUP(tdata[[#This Row],[Service_Type]],Table2[#All],4,0)</f>
        <v>12000</v>
      </c>
      <c r="P219" s="2">
        <f>tdata[[#This Row],[price_per_kilo]]*tdata[[#This Row],[Weight_KG]]</f>
        <v>77880</v>
      </c>
      <c r="Q219" s="2" t="str">
        <f>VLOOKUP(tdata[[#This Row],[id_employee]],temployee[#All],2,0)</f>
        <v>Putri Ayu Lestari</v>
      </c>
      <c r="R219" s="2" t="str">
        <f>VLOOKUP(tdata[[#This Row],[id_employee]],temployee[#All],4,0)</f>
        <v>internal</v>
      </c>
      <c r="S219" s="9" t="str">
        <f>VLOOKUP(tdata[[#This Row],[id_employee]],temployee[#All],5,0)</f>
        <v>rider</v>
      </c>
    </row>
    <row r="220" spans="2:19" x14ac:dyDescent="0.35">
      <c r="B220" s="8" t="s">
        <v>239</v>
      </c>
      <c r="C220" s="2" t="s">
        <v>1289</v>
      </c>
      <c r="D220" s="5">
        <v>45210</v>
      </c>
      <c r="E220" s="5">
        <v>45212</v>
      </c>
      <c r="F220" s="2" t="s">
        <v>32</v>
      </c>
      <c r="G220" s="2" t="s">
        <v>32</v>
      </c>
      <c r="H220" s="2" t="s">
        <v>23</v>
      </c>
      <c r="I220" s="2" t="s">
        <v>13</v>
      </c>
      <c r="J220" s="2">
        <v>1.22</v>
      </c>
      <c r="K220" s="2" t="str">
        <f t="shared" si="9"/>
        <v>&lt; 5kg</v>
      </c>
      <c r="L220" s="2">
        <f>tdata[[#This Row],[Received_date]]-tdata[[#This Row],[Shipment_Date]]</f>
        <v>2</v>
      </c>
      <c r="M220" s="2">
        <f>VLOOKUP(tdata[[#This Row],[Service_Type]],Table2[#All],2,0)</f>
        <v>5</v>
      </c>
      <c r="N220" s="2" t="str">
        <f>IF(tdata[[#This Row],[Delivery_Days]]&lt;=tdata[[#This Row],[SLA_Days]],"On Time","Late")</f>
        <v>On Time</v>
      </c>
      <c r="O220" s="2">
        <f>VLOOKUP(tdata[[#This Row],[Service_Type]],Table2[#All],4,0)</f>
        <v>9000</v>
      </c>
      <c r="P220" s="2">
        <f>tdata[[#This Row],[price_per_kilo]]*tdata[[#This Row],[Weight_KG]]</f>
        <v>10980</v>
      </c>
      <c r="Q220" s="2" t="str">
        <f>VLOOKUP(tdata[[#This Row],[id_employee]],temployee[#All],2,0)</f>
        <v>Rafi Maulana</v>
      </c>
      <c r="R220" s="2" t="str">
        <f>VLOOKUP(tdata[[#This Row],[id_employee]],temployee[#All],4,0)</f>
        <v>internal</v>
      </c>
      <c r="S220" s="9" t="str">
        <f>VLOOKUP(tdata[[#This Row],[id_employee]],temployee[#All],5,0)</f>
        <v>rider</v>
      </c>
    </row>
    <row r="221" spans="2:19" x14ac:dyDescent="0.35">
      <c r="B221" s="8" t="s">
        <v>240</v>
      </c>
      <c r="C221" s="2" t="s">
        <v>1290</v>
      </c>
      <c r="D221" s="5">
        <v>45308</v>
      </c>
      <c r="E221" s="5">
        <v>45317</v>
      </c>
      <c r="F221" s="2" t="s">
        <v>16</v>
      </c>
      <c r="G221" s="2" t="s">
        <v>12</v>
      </c>
      <c r="H221" s="2" t="s">
        <v>1224</v>
      </c>
      <c r="I221" s="2" t="s">
        <v>13</v>
      </c>
      <c r="J221" s="2">
        <v>2.6</v>
      </c>
      <c r="K221" s="2" t="str">
        <f t="shared" si="9"/>
        <v>&lt; 5kg</v>
      </c>
      <c r="L221" s="2">
        <f>tdata[[#This Row],[Received_date]]-tdata[[#This Row],[Shipment_Date]]</f>
        <v>9</v>
      </c>
      <c r="M221" s="2">
        <f>VLOOKUP(tdata[[#This Row],[Service_Type]],Table2[#All],2,0)</f>
        <v>3</v>
      </c>
      <c r="N221" s="2" t="str">
        <f>IF(tdata[[#This Row],[Delivery_Days]]&lt;=tdata[[#This Row],[SLA_Days]],"On Time","Late")</f>
        <v>Late</v>
      </c>
      <c r="O221" s="2">
        <f>VLOOKUP(tdata[[#This Row],[Service_Type]],Table2[#All],4,0)</f>
        <v>10000</v>
      </c>
      <c r="P221" s="2">
        <f>tdata[[#This Row],[price_per_kilo]]*tdata[[#This Row],[Weight_KG]]</f>
        <v>26000</v>
      </c>
      <c r="Q221" s="2" t="str">
        <f>VLOOKUP(tdata[[#This Row],[id_employee]],temployee[#All],2,0)</f>
        <v>Sari Puspita</v>
      </c>
      <c r="R221" s="2" t="str">
        <f>VLOOKUP(tdata[[#This Row],[id_employee]],temployee[#All],4,0)</f>
        <v>crowd source</v>
      </c>
      <c r="S221" s="9" t="str">
        <f>VLOOKUP(tdata[[#This Row],[id_employee]],temployee[#All],5,0)</f>
        <v>rider</v>
      </c>
    </row>
    <row r="222" spans="2:19" x14ac:dyDescent="0.35">
      <c r="B222" s="8" t="s">
        <v>241</v>
      </c>
      <c r="C222" s="2" t="s">
        <v>1291</v>
      </c>
      <c r="D222" s="5">
        <v>45024</v>
      </c>
      <c r="E222" s="5">
        <v>45035</v>
      </c>
      <c r="F222" s="2" t="s">
        <v>26</v>
      </c>
      <c r="G222" s="2" t="s">
        <v>20</v>
      </c>
      <c r="H222" s="2" t="s">
        <v>1224</v>
      </c>
      <c r="I222" s="2" t="s">
        <v>13</v>
      </c>
      <c r="J222" s="2">
        <v>9.2100000000000009</v>
      </c>
      <c r="K222" s="2" t="str">
        <f t="shared" si="9"/>
        <v>&gt;5kg</v>
      </c>
      <c r="L222" s="2">
        <f>tdata[[#This Row],[Received_date]]-tdata[[#This Row],[Shipment_Date]]</f>
        <v>11</v>
      </c>
      <c r="M222" s="2">
        <f>VLOOKUP(tdata[[#This Row],[Service_Type]],Table2[#All],2,0)</f>
        <v>3</v>
      </c>
      <c r="N222" s="2" t="str">
        <f>IF(tdata[[#This Row],[Delivery_Days]]&lt;=tdata[[#This Row],[SLA_Days]],"On Time","Late")</f>
        <v>Late</v>
      </c>
      <c r="O222" s="2">
        <f>VLOOKUP(tdata[[#This Row],[Service_Type]],Table2[#All],4,0)</f>
        <v>10000</v>
      </c>
      <c r="P222" s="2">
        <f>tdata[[#This Row],[price_per_kilo]]*tdata[[#This Row],[Weight_KG]]</f>
        <v>92100.000000000015</v>
      </c>
      <c r="Q222" s="2" t="str">
        <f>VLOOKUP(tdata[[#This Row],[id_employee]],temployee[#All],2,0)</f>
        <v>Teguh Wibowo</v>
      </c>
      <c r="R222" s="2" t="str">
        <f>VLOOKUP(tdata[[#This Row],[id_employee]],temployee[#All],4,0)</f>
        <v>internal</v>
      </c>
      <c r="S222" s="9" t="str">
        <f>VLOOKUP(tdata[[#This Row],[id_employee]],temployee[#All],5,0)</f>
        <v>driver</v>
      </c>
    </row>
    <row r="223" spans="2:19" x14ac:dyDescent="0.35">
      <c r="B223" s="8" t="s">
        <v>242</v>
      </c>
      <c r="C223" s="2" t="s">
        <v>1292</v>
      </c>
      <c r="D223" s="5">
        <v>45298</v>
      </c>
      <c r="E223" s="5">
        <v>45304</v>
      </c>
      <c r="F223" s="2" t="s">
        <v>49</v>
      </c>
      <c r="G223" s="2" t="s">
        <v>30</v>
      </c>
      <c r="H223" s="2" t="s">
        <v>1224</v>
      </c>
      <c r="I223" s="2" t="s">
        <v>13</v>
      </c>
      <c r="J223" s="2">
        <v>5</v>
      </c>
      <c r="K223" s="2" t="str">
        <f t="shared" si="9"/>
        <v>&gt;5kg</v>
      </c>
      <c r="L223" s="2">
        <f>tdata[[#This Row],[Received_date]]-tdata[[#This Row],[Shipment_Date]]</f>
        <v>6</v>
      </c>
      <c r="M223" s="2">
        <f>VLOOKUP(tdata[[#This Row],[Service_Type]],Table2[#All],2,0)</f>
        <v>3</v>
      </c>
      <c r="N223" s="2" t="str">
        <f>IF(tdata[[#This Row],[Delivery_Days]]&lt;=tdata[[#This Row],[SLA_Days]],"On Time","Late")</f>
        <v>Late</v>
      </c>
      <c r="O223" s="2">
        <f>VLOOKUP(tdata[[#This Row],[Service_Type]],Table2[#All],4,0)</f>
        <v>10000</v>
      </c>
      <c r="P223" s="2">
        <f>tdata[[#This Row],[price_per_kilo]]*tdata[[#This Row],[Weight_KG]]</f>
        <v>50000</v>
      </c>
      <c r="Q223" s="2" t="str">
        <f>VLOOKUP(tdata[[#This Row],[id_employee]],temployee[#All],2,0)</f>
        <v>Umi Kalsum</v>
      </c>
      <c r="R223" s="2" t="str">
        <f>VLOOKUP(tdata[[#This Row],[id_employee]],temployee[#All],4,0)</f>
        <v>crowd source</v>
      </c>
      <c r="S223" s="9" t="str">
        <f>VLOOKUP(tdata[[#This Row],[id_employee]],temployee[#All],5,0)</f>
        <v>rider</v>
      </c>
    </row>
    <row r="224" spans="2:19" x14ac:dyDescent="0.35">
      <c r="B224" s="8" t="s">
        <v>243</v>
      </c>
      <c r="C224" s="2" t="s">
        <v>1293</v>
      </c>
      <c r="D224" s="5">
        <v>45432</v>
      </c>
      <c r="E224" s="5">
        <f>D224+4</f>
        <v>45436</v>
      </c>
      <c r="F224" s="2" t="s">
        <v>11</v>
      </c>
      <c r="G224" s="2" t="s">
        <v>16</v>
      </c>
      <c r="H224" s="2" t="s">
        <v>1224</v>
      </c>
      <c r="I224" s="2" t="s">
        <v>13</v>
      </c>
      <c r="J224" s="2">
        <v>9.2100000000000009</v>
      </c>
      <c r="K224" s="2" t="str">
        <f t="shared" si="9"/>
        <v>&gt;5kg</v>
      </c>
      <c r="L224" s="2">
        <f>tdata[[#This Row],[Received_date]]-tdata[[#This Row],[Shipment_Date]]</f>
        <v>4</v>
      </c>
      <c r="M224" s="2">
        <f>VLOOKUP(tdata[[#This Row],[Service_Type]],Table2[#All],2,0)</f>
        <v>3</v>
      </c>
      <c r="N224" s="2" t="str">
        <f>IF(tdata[[#This Row],[Delivery_Days]]&lt;=tdata[[#This Row],[SLA_Days]],"On Time","Late")</f>
        <v>Late</v>
      </c>
      <c r="O224" s="2">
        <f>VLOOKUP(tdata[[#This Row],[Service_Type]],Table2[#All],4,0)</f>
        <v>10000</v>
      </c>
      <c r="P224" s="2">
        <f>tdata[[#This Row],[price_per_kilo]]*tdata[[#This Row],[Weight_KG]]</f>
        <v>92100.000000000015</v>
      </c>
      <c r="Q224" s="2" t="str">
        <f>VLOOKUP(tdata[[#This Row],[id_employee]],temployee[#All],2,0)</f>
        <v>Vina Oktaviani</v>
      </c>
      <c r="R224" s="2" t="str">
        <f>VLOOKUP(tdata[[#This Row],[id_employee]],temployee[#All],4,0)</f>
        <v>internal</v>
      </c>
      <c r="S224" s="9" t="str">
        <f>VLOOKUP(tdata[[#This Row],[id_employee]],temployee[#All],5,0)</f>
        <v>rider</v>
      </c>
    </row>
    <row r="225" spans="2:19" x14ac:dyDescent="0.35">
      <c r="B225" s="8" t="s">
        <v>244</v>
      </c>
      <c r="C225" s="2" t="s">
        <v>1294</v>
      </c>
      <c r="D225" s="5">
        <v>45285</v>
      </c>
      <c r="E225" s="5">
        <v>45286</v>
      </c>
      <c r="F225" s="2" t="s">
        <v>15</v>
      </c>
      <c r="G225" s="2" t="s">
        <v>11</v>
      </c>
      <c r="H225" s="2" t="s">
        <v>1224</v>
      </c>
      <c r="I225" s="2" t="s">
        <v>17</v>
      </c>
      <c r="J225" s="2">
        <v>7.38</v>
      </c>
      <c r="K225" s="2" t="str">
        <f t="shared" si="9"/>
        <v>&gt;5kg</v>
      </c>
      <c r="L225" s="2">
        <f>tdata[[#This Row],[Received_date]]-tdata[[#This Row],[Shipment_Date]]</f>
        <v>1</v>
      </c>
      <c r="M225" s="2">
        <f>VLOOKUP(tdata[[#This Row],[Service_Type]],Table2[#All],2,0)</f>
        <v>3</v>
      </c>
      <c r="N225" s="2" t="str">
        <f>IF(tdata[[#This Row],[Delivery_Days]]&lt;=tdata[[#This Row],[SLA_Days]],"On Time","Late")</f>
        <v>On Time</v>
      </c>
      <c r="O225" s="2">
        <f>VLOOKUP(tdata[[#This Row],[Service_Type]],Table2[#All],4,0)</f>
        <v>10000</v>
      </c>
      <c r="P225" s="2">
        <f>tdata[[#This Row],[price_per_kilo]]*tdata[[#This Row],[Weight_KG]]</f>
        <v>73800</v>
      </c>
      <c r="Q225" s="2" t="str">
        <f>VLOOKUP(tdata[[#This Row],[id_employee]],temployee[#All],2,0)</f>
        <v>Wahyu Setiawan</v>
      </c>
      <c r="R225" s="2" t="str">
        <f>VLOOKUP(tdata[[#This Row],[id_employee]],temployee[#All],4,0)</f>
        <v>crowd source</v>
      </c>
      <c r="S225" s="9" t="str">
        <f>VLOOKUP(tdata[[#This Row],[id_employee]],temployee[#All],5,0)</f>
        <v>driver</v>
      </c>
    </row>
    <row r="226" spans="2:19" x14ac:dyDescent="0.35">
      <c r="B226" s="8" t="s">
        <v>245</v>
      </c>
      <c r="C226" s="2" t="s">
        <v>1295</v>
      </c>
      <c r="D226" s="5">
        <v>45494</v>
      </c>
      <c r="E226" s="5">
        <v>45498</v>
      </c>
      <c r="F226" s="2" t="s">
        <v>20</v>
      </c>
      <c r="G226" s="2" t="s">
        <v>30</v>
      </c>
      <c r="H226" s="2" t="s">
        <v>1224</v>
      </c>
      <c r="I226" s="2" t="s">
        <v>13</v>
      </c>
      <c r="J226" s="2">
        <v>5.21</v>
      </c>
      <c r="K226" s="2" t="str">
        <f t="shared" si="9"/>
        <v>&gt;5kg</v>
      </c>
      <c r="L226" s="2">
        <f>tdata[[#This Row],[Received_date]]-tdata[[#This Row],[Shipment_Date]]</f>
        <v>4</v>
      </c>
      <c r="M226" s="2">
        <f>VLOOKUP(tdata[[#This Row],[Service_Type]],Table2[#All],2,0)</f>
        <v>3</v>
      </c>
      <c r="N226" s="2" t="str">
        <f>IF(tdata[[#This Row],[Delivery_Days]]&lt;=tdata[[#This Row],[SLA_Days]],"On Time","Late")</f>
        <v>Late</v>
      </c>
      <c r="O226" s="2">
        <f>VLOOKUP(tdata[[#This Row],[Service_Type]],Table2[#All],4,0)</f>
        <v>10000</v>
      </c>
      <c r="P226" s="2">
        <f>tdata[[#This Row],[price_per_kilo]]*tdata[[#This Row],[Weight_KG]]</f>
        <v>52100</v>
      </c>
      <c r="Q226" s="2" t="str">
        <f>VLOOKUP(tdata[[#This Row],[id_employee]],temployee[#All],2,0)</f>
        <v>Yogi Firmansyah</v>
      </c>
      <c r="R226" s="2" t="str">
        <f>VLOOKUP(tdata[[#This Row],[id_employee]],temployee[#All],4,0)</f>
        <v>internal</v>
      </c>
      <c r="S226" s="9" t="str">
        <f>VLOOKUP(tdata[[#This Row],[id_employee]],temployee[#All],5,0)</f>
        <v>driver</v>
      </c>
    </row>
    <row r="227" spans="2:19" x14ac:dyDescent="0.35">
      <c r="B227" s="8" t="s">
        <v>246</v>
      </c>
      <c r="C227" s="2" t="s">
        <v>1296</v>
      </c>
      <c r="D227" s="5">
        <v>45000</v>
      </c>
      <c r="E227" s="5">
        <v>45001</v>
      </c>
      <c r="F227" s="2" t="s">
        <v>22</v>
      </c>
      <c r="G227" s="2" t="s">
        <v>20</v>
      </c>
      <c r="H227" s="2" t="s">
        <v>1224</v>
      </c>
      <c r="I227" s="2" t="s">
        <v>17</v>
      </c>
      <c r="J227" s="2">
        <v>7.61</v>
      </c>
      <c r="K227" s="2" t="str">
        <f t="shared" si="9"/>
        <v>&gt;5kg</v>
      </c>
      <c r="L227" s="2">
        <f>tdata[[#This Row],[Received_date]]-tdata[[#This Row],[Shipment_Date]]</f>
        <v>1</v>
      </c>
      <c r="M227" s="2">
        <f>VLOOKUP(tdata[[#This Row],[Service_Type]],Table2[#All],2,0)</f>
        <v>3</v>
      </c>
      <c r="N227" s="2" t="str">
        <f>IF(tdata[[#This Row],[Delivery_Days]]&lt;=tdata[[#This Row],[SLA_Days]],"On Time","Late")</f>
        <v>On Time</v>
      </c>
      <c r="O227" s="2">
        <f>VLOOKUP(tdata[[#This Row],[Service_Type]],Table2[#All],4,0)</f>
        <v>10000</v>
      </c>
      <c r="P227" s="2">
        <f>tdata[[#This Row],[price_per_kilo]]*tdata[[#This Row],[Weight_KG]]</f>
        <v>76100</v>
      </c>
      <c r="Q227" s="2" t="str">
        <f>VLOOKUP(tdata[[#This Row],[id_employee]],temployee[#All],2,0)</f>
        <v>Zainal Abidin</v>
      </c>
      <c r="R227" s="2" t="str">
        <f>VLOOKUP(tdata[[#This Row],[id_employee]],temployee[#All],4,0)</f>
        <v>crowd source</v>
      </c>
      <c r="S227" s="9" t="str">
        <f>VLOOKUP(tdata[[#This Row],[id_employee]],temployee[#All],5,0)</f>
        <v>driver</v>
      </c>
    </row>
    <row r="228" spans="2:19" x14ac:dyDescent="0.35">
      <c r="B228" s="8" t="s">
        <v>247</v>
      </c>
      <c r="C228" s="2" t="s">
        <v>1297</v>
      </c>
      <c r="D228" s="5">
        <v>45360</v>
      </c>
      <c r="E228" s="5">
        <v>45369</v>
      </c>
      <c r="F228" s="2" t="s">
        <v>12</v>
      </c>
      <c r="G228" s="2" t="s">
        <v>49</v>
      </c>
      <c r="H228" s="2" t="s">
        <v>1224</v>
      </c>
      <c r="I228" s="2" t="s">
        <v>13</v>
      </c>
      <c r="J228" s="2">
        <v>8.3800000000000008</v>
      </c>
      <c r="K228" s="2" t="str">
        <f t="shared" si="9"/>
        <v>&gt;5kg</v>
      </c>
      <c r="L228" s="2">
        <f>tdata[[#This Row],[Received_date]]-tdata[[#This Row],[Shipment_Date]]</f>
        <v>9</v>
      </c>
      <c r="M228" s="2">
        <f>VLOOKUP(tdata[[#This Row],[Service_Type]],Table2[#All],2,0)</f>
        <v>3</v>
      </c>
      <c r="N228" s="2" t="str">
        <f>IF(tdata[[#This Row],[Delivery_Days]]&lt;=tdata[[#This Row],[SLA_Days]],"On Time","Late")</f>
        <v>Late</v>
      </c>
      <c r="O228" s="2">
        <f>VLOOKUP(tdata[[#This Row],[Service_Type]],Table2[#All],4,0)</f>
        <v>10000</v>
      </c>
      <c r="P228" s="2">
        <f>tdata[[#This Row],[price_per_kilo]]*tdata[[#This Row],[Weight_KG]]</f>
        <v>83800.000000000015</v>
      </c>
      <c r="Q228" s="2" t="str">
        <f>VLOOKUP(tdata[[#This Row],[id_employee]],temployee[#All],2,0)</f>
        <v>Ahmad Fauzi</v>
      </c>
      <c r="R228" s="2" t="str">
        <f>VLOOKUP(tdata[[#This Row],[id_employee]],temployee[#All],4,0)</f>
        <v>internal</v>
      </c>
      <c r="S228" s="9" t="str">
        <f>VLOOKUP(tdata[[#This Row],[id_employee]],temployee[#All],5,0)</f>
        <v>rider</v>
      </c>
    </row>
    <row r="229" spans="2:19" x14ac:dyDescent="0.35">
      <c r="B229" s="8" t="s">
        <v>248</v>
      </c>
      <c r="C229" s="2" t="s">
        <v>1298</v>
      </c>
      <c r="D229" s="5">
        <v>45312</v>
      </c>
      <c r="E229" s="5">
        <f t="shared" ref="E229:E230" si="11">D229+4</f>
        <v>45316</v>
      </c>
      <c r="F229" s="2" t="s">
        <v>30</v>
      </c>
      <c r="G229" s="2" t="s">
        <v>26</v>
      </c>
      <c r="H229" s="2" t="s">
        <v>23</v>
      </c>
      <c r="I229" s="2" t="s">
        <v>17</v>
      </c>
      <c r="J229" s="2">
        <v>7.65</v>
      </c>
      <c r="K229" s="2" t="str">
        <f t="shared" si="9"/>
        <v>&gt;5kg</v>
      </c>
      <c r="L229" s="2">
        <f>tdata[[#This Row],[Received_date]]-tdata[[#This Row],[Shipment_Date]]</f>
        <v>4</v>
      </c>
      <c r="M229" s="2">
        <f>VLOOKUP(tdata[[#This Row],[Service_Type]],Table2[#All],2,0)</f>
        <v>5</v>
      </c>
      <c r="N229" s="2" t="str">
        <f>IF(tdata[[#This Row],[Delivery_Days]]&lt;=tdata[[#This Row],[SLA_Days]],"On Time","Late")</f>
        <v>On Time</v>
      </c>
      <c r="O229" s="2">
        <f>VLOOKUP(tdata[[#This Row],[Service_Type]],Table2[#All],4,0)</f>
        <v>9000</v>
      </c>
      <c r="P229" s="2">
        <f>tdata[[#This Row],[price_per_kilo]]*tdata[[#This Row],[Weight_KG]]</f>
        <v>68850</v>
      </c>
      <c r="Q229" s="2" t="str">
        <f>VLOOKUP(tdata[[#This Row],[id_employee]],temployee[#All],2,0)</f>
        <v>Bayu Ramadhan</v>
      </c>
      <c r="R229" s="2" t="str">
        <f>VLOOKUP(tdata[[#This Row],[id_employee]],temployee[#All],4,0)</f>
        <v>crowd source</v>
      </c>
      <c r="S229" s="9" t="str">
        <f>VLOOKUP(tdata[[#This Row],[id_employee]],temployee[#All],5,0)</f>
        <v>rider</v>
      </c>
    </row>
    <row r="230" spans="2:19" x14ac:dyDescent="0.35">
      <c r="B230" s="8" t="s">
        <v>249</v>
      </c>
      <c r="C230" s="2" t="s">
        <v>1299</v>
      </c>
      <c r="D230" s="5">
        <v>45035</v>
      </c>
      <c r="E230" s="5">
        <f t="shared" si="11"/>
        <v>45039</v>
      </c>
      <c r="F230" s="2" t="s">
        <v>32</v>
      </c>
      <c r="G230" s="2" t="s">
        <v>49</v>
      </c>
      <c r="H230" s="2" t="s">
        <v>23</v>
      </c>
      <c r="I230" s="2" t="s">
        <v>13</v>
      </c>
      <c r="J230" s="2">
        <v>6.71</v>
      </c>
      <c r="K230" s="2" t="str">
        <f t="shared" si="9"/>
        <v>&gt;5kg</v>
      </c>
      <c r="L230" s="2">
        <f>tdata[[#This Row],[Received_date]]-tdata[[#This Row],[Shipment_Date]]</f>
        <v>4</v>
      </c>
      <c r="M230" s="2">
        <f>VLOOKUP(tdata[[#This Row],[Service_Type]],Table2[#All],2,0)</f>
        <v>5</v>
      </c>
      <c r="N230" s="2" t="str">
        <f>IF(tdata[[#This Row],[Delivery_Days]]&lt;=tdata[[#This Row],[SLA_Days]],"On Time","Late")</f>
        <v>On Time</v>
      </c>
      <c r="O230" s="2">
        <f>VLOOKUP(tdata[[#This Row],[Service_Type]],Table2[#All],4,0)</f>
        <v>9000</v>
      </c>
      <c r="P230" s="2">
        <f>tdata[[#This Row],[price_per_kilo]]*tdata[[#This Row],[Weight_KG]]</f>
        <v>60390</v>
      </c>
      <c r="Q230" s="2" t="str">
        <f>VLOOKUP(tdata[[#This Row],[id_employee]],temployee[#All],2,0)</f>
        <v>Cindy Oktavia</v>
      </c>
      <c r="R230" s="2" t="str">
        <f>VLOOKUP(tdata[[#This Row],[id_employee]],temployee[#All],4,0)</f>
        <v>internal</v>
      </c>
      <c r="S230" s="9" t="str">
        <f>VLOOKUP(tdata[[#This Row],[id_employee]],temployee[#All],5,0)</f>
        <v>rider</v>
      </c>
    </row>
    <row r="231" spans="2:19" x14ac:dyDescent="0.35">
      <c r="B231" s="8" t="s">
        <v>250</v>
      </c>
      <c r="C231" s="2" t="s">
        <v>1300</v>
      </c>
      <c r="D231" s="5">
        <v>45316</v>
      </c>
      <c r="E231" s="5">
        <v>45316</v>
      </c>
      <c r="F231" s="2" t="s">
        <v>16</v>
      </c>
      <c r="G231" s="2" t="s">
        <v>32</v>
      </c>
      <c r="H231" s="2" t="s">
        <v>1224</v>
      </c>
      <c r="I231" s="2" t="s">
        <v>13</v>
      </c>
      <c r="J231" s="2">
        <v>1.1299999999999999</v>
      </c>
      <c r="K231" s="2" t="str">
        <f t="shared" si="9"/>
        <v>&lt; 5kg</v>
      </c>
      <c r="L231" s="2">
        <f>tdata[[#This Row],[Received_date]]-tdata[[#This Row],[Shipment_Date]]</f>
        <v>0</v>
      </c>
      <c r="M231" s="2">
        <f>VLOOKUP(tdata[[#This Row],[Service_Type]],Table2[#All],2,0)</f>
        <v>3</v>
      </c>
      <c r="N231" s="2" t="str">
        <f>IF(tdata[[#This Row],[Delivery_Days]]&lt;=tdata[[#This Row],[SLA_Days]],"On Time","Late")</f>
        <v>On Time</v>
      </c>
      <c r="O231" s="2">
        <f>VLOOKUP(tdata[[#This Row],[Service_Type]],Table2[#All],4,0)</f>
        <v>10000</v>
      </c>
      <c r="P231" s="2">
        <f>tdata[[#This Row],[price_per_kilo]]*tdata[[#This Row],[Weight_KG]]</f>
        <v>11299.999999999998</v>
      </c>
      <c r="Q231" s="2" t="str">
        <f>VLOOKUP(tdata[[#This Row],[id_employee]],temployee[#All],2,0)</f>
        <v>Dian Pramudya</v>
      </c>
      <c r="R231" s="2" t="str">
        <f>VLOOKUP(tdata[[#This Row],[id_employee]],temployee[#All],4,0)</f>
        <v>crowd source</v>
      </c>
      <c r="S231" s="9" t="str">
        <f>VLOOKUP(tdata[[#This Row],[id_employee]],temployee[#All],5,0)</f>
        <v>driver</v>
      </c>
    </row>
    <row r="232" spans="2:19" x14ac:dyDescent="0.35">
      <c r="B232" s="8" t="s">
        <v>251</v>
      </c>
      <c r="C232" s="2" t="s">
        <v>1301</v>
      </c>
      <c r="D232" s="5">
        <v>45209</v>
      </c>
      <c r="E232" s="5">
        <v>45211</v>
      </c>
      <c r="F232" s="2" t="s">
        <v>26</v>
      </c>
      <c r="G232" s="2" t="s">
        <v>32</v>
      </c>
      <c r="H232" s="2" t="s">
        <v>23</v>
      </c>
      <c r="I232" s="2" t="s">
        <v>13</v>
      </c>
      <c r="J232" s="2">
        <v>9.06</v>
      </c>
      <c r="K232" s="2" t="str">
        <f t="shared" si="9"/>
        <v>&gt;5kg</v>
      </c>
      <c r="L232" s="2">
        <f>tdata[[#This Row],[Received_date]]-tdata[[#This Row],[Shipment_Date]]</f>
        <v>2</v>
      </c>
      <c r="M232" s="2">
        <f>VLOOKUP(tdata[[#This Row],[Service_Type]],Table2[#All],2,0)</f>
        <v>5</v>
      </c>
      <c r="N232" s="2" t="str">
        <f>IF(tdata[[#This Row],[Delivery_Days]]&lt;=tdata[[#This Row],[SLA_Days]],"On Time","Late")</f>
        <v>On Time</v>
      </c>
      <c r="O232" s="2">
        <f>VLOOKUP(tdata[[#This Row],[Service_Type]],Table2[#All],4,0)</f>
        <v>9000</v>
      </c>
      <c r="P232" s="2">
        <f>tdata[[#This Row],[price_per_kilo]]*tdata[[#This Row],[Weight_KG]]</f>
        <v>81540</v>
      </c>
      <c r="Q232" s="2" t="str">
        <f>VLOOKUP(tdata[[#This Row],[id_employee]],temployee[#All],2,0)</f>
        <v>Erwin Kurniawan</v>
      </c>
      <c r="R232" s="2" t="str">
        <f>VLOOKUP(tdata[[#This Row],[id_employee]],temployee[#All],4,0)</f>
        <v>internal</v>
      </c>
      <c r="S232" s="9" t="str">
        <f>VLOOKUP(tdata[[#This Row],[id_employee]],temployee[#All],5,0)</f>
        <v>driver</v>
      </c>
    </row>
    <row r="233" spans="2:19" x14ac:dyDescent="0.35">
      <c r="B233" s="8" t="s">
        <v>252</v>
      </c>
      <c r="C233" s="2" t="s">
        <v>1302</v>
      </c>
      <c r="D233" s="5">
        <v>45067</v>
      </c>
      <c r="E233" s="5">
        <f>D233+4</f>
        <v>45071</v>
      </c>
      <c r="F233" s="2" t="s">
        <v>49</v>
      </c>
      <c r="G233" s="2" t="s">
        <v>22</v>
      </c>
      <c r="H233" s="2" t="s">
        <v>1224</v>
      </c>
      <c r="I233" s="2" t="s">
        <v>13</v>
      </c>
      <c r="J233" s="2">
        <v>9.6999999999999993</v>
      </c>
      <c r="K233" s="2" t="str">
        <f t="shared" si="9"/>
        <v>&gt;5kg</v>
      </c>
      <c r="L233" s="2">
        <f>tdata[[#This Row],[Received_date]]-tdata[[#This Row],[Shipment_Date]]</f>
        <v>4</v>
      </c>
      <c r="M233" s="2">
        <f>VLOOKUP(tdata[[#This Row],[Service_Type]],Table2[#All],2,0)</f>
        <v>3</v>
      </c>
      <c r="N233" s="2" t="str">
        <f>IF(tdata[[#This Row],[Delivery_Days]]&lt;=tdata[[#This Row],[SLA_Days]],"On Time","Late")</f>
        <v>Late</v>
      </c>
      <c r="O233" s="2">
        <f>VLOOKUP(tdata[[#This Row],[Service_Type]],Table2[#All],4,0)</f>
        <v>10000</v>
      </c>
      <c r="P233" s="2">
        <f>tdata[[#This Row],[price_per_kilo]]*tdata[[#This Row],[Weight_KG]]</f>
        <v>97000</v>
      </c>
      <c r="Q233" s="2" t="str">
        <f>VLOOKUP(tdata[[#This Row],[id_employee]],temployee[#All],2,0)</f>
        <v>Fitri Handayani</v>
      </c>
      <c r="R233" s="2" t="str">
        <f>VLOOKUP(tdata[[#This Row],[id_employee]],temployee[#All],4,0)</f>
        <v>crowd source</v>
      </c>
      <c r="S233" s="9" t="str">
        <f>VLOOKUP(tdata[[#This Row],[id_employee]],temployee[#All],5,0)</f>
        <v>rider</v>
      </c>
    </row>
    <row r="234" spans="2:19" x14ac:dyDescent="0.35">
      <c r="B234" s="8" t="s">
        <v>253</v>
      </c>
      <c r="C234" s="2" t="s">
        <v>1303</v>
      </c>
      <c r="D234" s="5">
        <v>45228</v>
      </c>
      <c r="E234" s="5">
        <v>45237</v>
      </c>
      <c r="F234" s="2" t="s">
        <v>11</v>
      </c>
      <c r="G234" s="2" t="s">
        <v>26</v>
      </c>
      <c r="H234" s="2" t="s">
        <v>23</v>
      </c>
      <c r="I234" s="2" t="s">
        <v>13</v>
      </c>
      <c r="J234" s="2">
        <v>7.2</v>
      </c>
      <c r="K234" s="2" t="str">
        <f t="shared" si="9"/>
        <v>&gt;5kg</v>
      </c>
      <c r="L234" s="2">
        <f>tdata[[#This Row],[Received_date]]-tdata[[#This Row],[Shipment_Date]]</f>
        <v>9</v>
      </c>
      <c r="M234" s="2">
        <f>VLOOKUP(tdata[[#This Row],[Service_Type]],Table2[#All],2,0)</f>
        <v>5</v>
      </c>
      <c r="N234" s="2" t="str">
        <f>IF(tdata[[#This Row],[Delivery_Days]]&lt;=tdata[[#This Row],[SLA_Days]],"On Time","Late")</f>
        <v>Late</v>
      </c>
      <c r="O234" s="2">
        <f>VLOOKUP(tdata[[#This Row],[Service_Type]],Table2[#All],4,0)</f>
        <v>9000</v>
      </c>
      <c r="P234" s="2">
        <f>tdata[[#This Row],[price_per_kilo]]*tdata[[#This Row],[Weight_KG]]</f>
        <v>64800</v>
      </c>
      <c r="Q234" s="2" t="str">
        <f>VLOOKUP(tdata[[#This Row],[id_employee]],temployee[#All],2,0)</f>
        <v>Gilang Saputra</v>
      </c>
      <c r="R234" s="2" t="str">
        <f>VLOOKUP(tdata[[#This Row],[id_employee]],temployee[#All],4,0)</f>
        <v>internal</v>
      </c>
      <c r="S234" s="9" t="str">
        <f>VLOOKUP(tdata[[#This Row],[id_employee]],temployee[#All],5,0)</f>
        <v>rider</v>
      </c>
    </row>
    <row r="235" spans="2:19" x14ac:dyDescent="0.35">
      <c r="B235" s="8" t="s">
        <v>254</v>
      </c>
      <c r="C235" s="2" t="s">
        <v>1304</v>
      </c>
      <c r="D235" s="5">
        <v>45572</v>
      </c>
      <c r="E235" s="5">
        <v>45579</v>
      </c>
      <c r="F235" s="2" t="s">
        <v>15</v>
      </c>
      <c r="G235" s="2" t="s">
        <v>49</v>
      </c>
      <c r="H235" s="2" t="s">
        <v>1224</v>
      </c>
      <c r="I235" s="2" t="s">
        <v>13</v>
      </c>
      <c r="J235" s="2">
        <v>7.68</v>
      </c>
      <c r="K235" s="2" t="str">
        <f t="shared" si="9"/>
        <v>&gt;5kg</v>
      </c>
      <c r="L235" s="2">
        <f>tdata[[#This Row],[Received_date]]-tdata[[#This Row],[Shipment_Date]]</f>
        <v>7</v>
      </c>
      <c r="M235" s="2">
        <f>VLOOKUP(tdata[[#This Row],[Service_Type]],Table2[#All],2,0)</f>
        <v>3</v>
      </c>
      <c r="N235" s="2" t="str">
        <f>IF(tdata[[#This Row],[Delivery_Days]]&lt;=tdata[[#This Row],[SLA_Days]],"On Time","Late")</f>
        <v>Late</v>
      </c>
      <c r="O235" s="2">
        <f>VLOOKUP(tdata[[#This Row],[Service_Type]],Table2[#All],4,0)</f>
        <v>10000</v>
      </c>
      <c r="P235" s="2">
        <f>tdata[[#This Row],[price_per_kilo]]*tdata[[#This Row],[Weight_KG]]</f>
        <v>76800</v>
      </c>
      <c r="Q235" s="2" t="str">
        <f>VLOOKUP(tdata[[#This Row],[id_employee]],temployee[#All],2,0)</f>
        <v>Hariyanto</v>
      </c>
      <c r="R235" s="2" t="str">
        <f>VLOOKUP(tdata[[#This Row],[id_employee]],temployee[#All],4,0)</f>
        <v>crowd source</v>
      </c>
      <c r="S235" s="9" t="str">
        <f>VLOOKUP(tdata[[#This Row],[id_employee]],temployee[#All],5,0)</f>
        <v>driver</v>
      </c>
    </row>
    <row r="236" spans="2:19" x14ac:dyDescent="0.35">
      <c r="B236" s="8" t="s">
        <v>255</v>
      </c>
      <c r="C236" s="2" t="s">
        <v>1305</v>
      </c>
      <c r="D236" s="5">
        <v>45100</v>
      </c>
      <c r="E236" s="5">
        <f>D236+4</f>
        <v>45104</v>
      </c>
      <c r="F236" s="2" t="s">
        <v>20</v>
      </c>
      <c r="G236" s="2" t="s">
        <v>16</v>
      </c>
      <c r="H236" s="2" t="s">
        <v>1224</v>
      </c>
      <c r="I236" s="2" t="s">
        <v>13</v>
      </c>
      <c r="J236" s="2">
        <v>7.23</v>
      </c>
      <c r="K236" s="2" t="str">
        <f t="shared" si="9"/>
        <v>&gt;5kg</v>
      </c>
      <c r="L236" s="2">
        <f>tdata[[#This Row],[Received_date]]-tdata[[#This Row],[Shipment_Date]]</f>
        <v>4</v>
      </c>
      <c r="M236" s="2">
        <f>VLOOKUP(tdata[[#This Row],[Service_Type]],Table2[#All],2,0)</f>
        <v>3</v>
      </c>
      <c r="N236" s="2" t="str">
        <f>IF(tdata[[#This Row],[Delivery_Days]]&lt;=tdata[[#This Row],[SLA_Days]],"On Time","Late")</f>
        <v>Late</v>
      </c>
      <c r="O236" s="2">
        <f>VLOOKUP(tdata[[#This Row],[Service_Type]],Table2[#All],4,0)</f>
        <v>10000</v>
      </c>
      <c r="P236" s="2">
        <f>tdata[[#This Row],[price_per_kilo]]*tdata[[#This Row],[Weight_KG]]</f>
        <v>72300</v>
      </c>
      <c r="Q236" s="2" t="str">
        <f>VLOOKUP(tdata[[#This Row],[id_employee]],temployee[#All],2,0)</f>
        <v>Intan Maharani</v>
      </c>
      <c r="R236" s="2" t="str">
        <f>VLOOKUP(tdata[[#This Row],[id_employee]],temployee[#All],4,0)</f>
        <v>internal</v>
      </c>
      <c r="S236" s="9" t="str">
        <f>VLOOKUP(tdata[[#This Row],[id_employee]],temployee[#All],5,0)</f>
        <v>rider</v>
      </c>
    </row>
    <row r="237" spans="2:19" x14ac:dyDescent="0.35">
      <c r="B237" s="8" t="s">
        <v>256</v>
      </c>
      <c r="C237" s="2" t="s">
        <v>1306</v>
      </c>
      <c r="D237" s="5">
        <v>45655</v>
      </c>
      <c r="E237" s="5">
        <v>45658</v>
      </c>
      <c r="F237" s="2" t="s">
        <v>22</v>
      </c>
      <c r="G237" s="2" t="s">
        <v>12</v>
      </c>
      <c r="H237" s="2" t="s">
        <v>1224</v>
      </c>
      <c r="I237" s="2" t="s">
        <v>17</v>
      </c>
      <c r="J237" s="2">
        <v>0.66</v>
      </c>
      <c r="K237" s="2" t="str">
        <f t="shared" si="9"/>
        <v>&lt; 5kg</v>
      </c>
      <c r="L237" s="2">
        <f>tdata[[#This Row],[Received_date]]-tdata[[#This Row],[Shipment_Date]]</f>
        <v>3</v>
      </c>
      <c r="M237" s="2">
        <f>VLOOKUP(tdata[[#This Row],[Service_Type]],Table2[#All],2,0)</f>
        <v>3</v>
      </c>
      <c r="N237" s="2" t="str">
        <f>IF(tdata[[#This Row],[Delivery_Days]]&lt;=tdata[[#This Row],[SLA_Days]],"On Time","Late")</f>
        <v>On Time</v>
      </c>
      <c r="O237" s="2">
        <f>VLOOKUP(tdata[[#This Row],[Service_Type]],Table2[#All],4,0)</f>
        <v>10000</v>
      </c>
      <c r="P237" s="2">
        <f>tdata[[#This Row],[price_per_kilo]]*tdata[[#This Row],[Weight_KG]]</f>
        <v>6600</v>
      </c>
      <c r="Q237" s="2" t="str">
        <f>VLOOKUP(tdata[[#This Row],[id_employee]],temployee[#All],2,0)</f>
        <v>Jefri Alamsyah</v>
      </c>
      <c r="R237" s="2" t="str">
        <f>VLOOKUP(tdata[[#This Row],[id_employee]],temployee[#All],4,0)</f>
        <v>internal</v>
      </c>
      <c r="S237" s="9" t="str">
        <f>VLOOKUP(tdata[[#This Row],[id_employee]],temployee[#All],5,0)</f>
        <v>driver</v>
      </c>
    </row>
    <row r="238" spans="2:19" x14ac:dyDescent="0.35">
      <c r="B238" s="8" t="s">
        <v>257</v>
      </c>
      <c r="C238" s="2" t="s">
        <v>1307</v>
      </c>
      <c r="D238" s="5">
        <v>45071</v>
      </c>
      <c r="E238" s="5">
        <f>D238+4</f>
        <v>45075</v>
      </c>
      <c r="F238" s="2" t="s">
        <v>12</v>
      </c>
      <c r="G238" s="2" t="s">
        <v>20</v>
      </c>
      <c r="H238" s="2" t="s">
        <v>23</v>
      </c>
      <c r="I238" s="2" t="s">
        <v>17</v>
      </c>
      <c r="J238" s="2">
        <v>9.07</v>
      </c>
      <c r="K238" s="2" t="str">
        <f t="shared" si="9"/>
        <v>&gt;5kg</v>
      </c>
      <c r="L238" s="2">
        <f>tdata[[#This Row],[Received_date]]-tdata[[#This Row],[Shipment_Date]]</f>
        <v>4</v>
      </c>
      <c r="M238" s="2">
        <f>VLOOKUP(tdata[[#This Row],[Service_Type]],Table2[#All],2,0)</f>
        <v>5</v>
      </c>
      <c r="N238" s="2" t="str">
        <f>IF(tdata[[#This Row],[Delivery_Days]]&lt;=tdata[[#This Row],[SLA_Days]],"On Time","Late")</f>
        <v>On Time</v>
      </c>
      <c r="O238" s="2">
        <f>VLOOKUP(tdata[[#This Row],[Service_Type]],Table2[#All],4,0)</f>
        <v>9000</v>
      </c>
      <c r="P238" s="2">
        <f>tdata[[#This Row],[price_per_kilo]]*tdata[[#This Row],[Weight_KG]]</f>
        <v>81630</v>
      </c>
      <c r="Q238" s="2" t="str">
        <f>VLOOKUP(tdata[[#This Row],[id_employee]],temployee[#All],2,0)</f>
        <v>Kartika Sari</v>
      </c>
      <c r="R238" s="2" t="str">
        <f>VLOOKUP(tdata[[#This Row],[id_employee]],temployee[#All],4,0)</f>
        <v>crowd source</v>
      </c>
      <c r="S238" s="9" t="str">
        <f>VLOOKUP(tdata[[#This Row],[id_employee]],temployee[#All],5,0)</f>
        <v>rider</v>
      </c>
    </row>
    <row r="239" spans="2:19" x14ac:dyDescent="0.35">
      <c r="B239" s="8" t="s">
        <v>258</v>
      </c>
      <c r="C239" s="2" t="s">
        <v>1308</v>
      </c>
      <c r="D239" s="5">
        <v>44982</v>
      </c>
      <c r="E239" s="5">
        <v>44984</v>
      </c>
      <c r="F239" s="2" t="s">
        <v>30</v>
      </c>
      <c r="G239" s="2" t="s">
        <v>49</v>
      </c>
      <c r="H239" s="2" t="s">
        <v>1224</v>
      </c>
      <c r="I239" s="2" t="s">
        <v>17</v>
      </c>
      <c r="J239" s="2">
        <v>4.59</v>
      </c>
      <c r="K239" s="2" t="str">
        <f t="shared" si="9"/>
        <v>&lt; 5kg</v>
      </c>
      <c r="L239" s="2">
        <f>tdata[[#This Row],[Received_date]]-tdata[[#This Row],[Shipment_Date]]</f>
        <v>2</v>
      </c>
      <c r="M239" s="2">
        <f>VLOOKUP(tdata[[#This Row],[Service_Type]],Table2[#All],2,0)</f>
        <v>3</v>
      </c>
      <c r="N239" s="2" t="str">
        <f>IF(tdata[[#This Row],[Delivery_Days]]&lt;=tdata[[#This Row],[SLA_Days]],"On Time","Late")</f>
        <v>On Time</v>
      </c>
      <c r="O239" s="2">
        <f>VLOOKUP(tdata[[#This Row],[Service_Type]],Table2[#All],4,0)</f>
        <v>10000</v>
      </c>
      <c r="P239" s="2">
        <f>tdata[[#This Row],[price_per_kilo]]*tdata[[#This Row],[Weight_KG]]</f>
        <v>45900</v>
      </c>
      <c r="Q239" s="2" t="str">
        <f>VLOOKUP(tdata[[#This Row],[id_employee]],temployee[#All],2,0)</f>
        <v>Lukman Hakim</v>
      </c>
      <c r="R239" s="2" t="str">
        <f>VLOOKUP(tdata[[#This Row],[id_employee]],temployee[#All],4,0)</f>
        <v>internal</v>
      </c>
      <c r="S239" s="9" t="str">
        <f>VLOOKUP(tdata[[#This Row],[id_employee]],temployee[#All],5,0)</f>
        <v>driver</v>
      </c>
    </row>
    <row r="240" spans="2:19" x14ac:dyDescent="0.35">
      <c r="B240" s="8" t="s">
        <v>259</v>
      </c>
      <c r="C240" s="2" t="s">
        <v>1309</v>
      </c>
      <c r="D240" s="5">
        <v>45269</v>
      </c>
      <c r="E240" s="5">
        <f>D240+4</f>
        <v>45273</v>
      </c>
      <c r="F240" s="2" t="s">
        <v>32</v>
      </c>
      <c r="G240" s="2" t="s">
        <v>20</v>
      </c>
      <c r="H240" s="2" t="s">
        <v>1224</v>
      </c>
      <c r="I240" s="2" t="s">
        <v>17</v>
      </c>
      <c r="J240" s="2">
        <v>9.2899999999999991</v>
      </c>
      <c r="K240" s="2" t="str">
        <f t="shared" si="9"/>
        <v>&gt;5kg</v>
      </c>
      <c r="L240" s="2">
        <f>tdata[[#This Row],[Received_date]]-tdata[[#This Row],[Shipment_Date]]</f>
        <v>4</v>
      </c>
      <c r="M240" s="2">
        <f>VLOOKUP(tdata[[#This Row],[Service_Type]],Table2[#All],2,0)</f>
        <v>3</v>
      </c>
      <c r="N240" s="2" t="str">
        <f>IF(tdata[[#This Row],[Delivery_Days]]&lt;=tdata[[#This Row],[SLA_Days]],"On Time","Late")</f>
        <v>Late</v>
      </c>
      <c r="O240" s="2">
        <f>VLOOKUP(tdata[[#This Row],[Service_Type]],Table2[#All],4,0)</f>
        <v>10000</v>
      </c>
      <c r="P240" s="2">
        <f>tdata[[#This Row],[price_per_kilo]]*tdata[[#This Row],[Weight_KG]]</f>
        <v>92899.999999999985</v>
      </c>
      <c r="Q240" s="2" t="str">
        <f>VLOOKUP(tdata[[#This Row],[id_employee]],temployee[#All],2,0)</f>
        <v>Mega Puspitasari</v>
      </c>
      <c r="R240" s="2" t="str">
        <f>VLOOKUP(tdata[[#This Row],[id_employee]],temployee[#All],4,0)</f>
        <v>internal</v>
      </c>
      <c r="S240" s="9" t="str">
        <f>VLOOKUP(tdata[[#This Row],[id_employee]],temployee[#All],5,0)</f>
        <v>rider</v>
      </c>
    </row>
    <row r="241" spans="2:19" x14ac:dyDescent="0.35">
      <c r="B241" s="8" t="s">
        <v>260</v>
      </c>
      <c r="C241" s="2" t="s">
        <v>1310</v>
      </c>
      <c r="D241" s="5">
        <v>45462</v>
      </c>
      <c r="E241" s="5">
        <v>45473</v>
      </c>
      <c r="F241" s="2" t="s">
        <v>16</v>
      </c>
      <c r="G241" s="2" t="s">
        <v>12</v>
      </c>
      <c r="H241" s="2" t="s">
        <v>23</v>
      </c>
      <c r="I241" s="2" t="s">
        <v>17</v>
      </c>
      <c r="J241" s="2">
        <v>7.59</v>
      </c>
      <c r="K241" s="2" t="str">
        <f t="shared" si="9"/>
        <v>&gt;5kg</v>
      </c>
      <c r="L241" s="2">
        <f>tdata[[#This Row],[Received_date]]-tdata[[#This Row],[Shipment_Date]]</f>
        <v>11</v>
      </c>
      <c r="M241" s="2">
        <f>VLOOKUP(tdata[[#This Row],[Service_Type]],Table2[#All],2,0)</f>
        <v>5</v>
      </c>
      <c r="N241" s="2" t="str">
        <f>IF(tdata[[#This Row],[Delivery_Days]]&lt;=tdata[[#This Row],[SLA_Days]],"On Time","Late")</f>
        <v>Late</v>
      </c>
      <c r="O241" s="2">
        <f>VLOOKUP(tdata[[#This Row],[Service_Type]],Table2[#All],4,0)</f>
        <v>9000</v>
      </c>
      <c r="P241" s="2">
        <f>tdata[[#This Row],[price_per_kilo]]*tdata[[#This Row],[Weight_KG]]</f>
        <v>68310</v>
      </c>
      <c r="Q241" s="2" t="str">
        <f>VLOOKUP(tdata[[#This Row],[id_employee]],temployee[#All],2,0)</f>
        <v>Niko Prasetyo</v>
      </c>
      <c r="R241" s="2" t="str">
        <f>VLOOKUP(tdata[[#This Row],[id_employee]],temployee[#All],4,0)</f>
        <v>crowd source</v>
      </c>
      <c r="S241" s="9" t="str">
        <f>VLOOKUP(tdata[[#This Row],[id_employee]],temployee[#All],5,0)</f>
        <v>driver</v>
      </c>
    </row>
    <row r="242" spans="2:19" x14ac:dyDescent="0.35">
      <c r="B242" s="8" t="s">
        <v>261</v>
      </c>
      <c r="C242" s="2" t="s">
        <v>1311</v>
      </c>
      <c r="D242" s="5">
        <v>45486</v>
      </c>
      <c r="E242" s="5">
        <v>45489</v>
      </c>
      <c r="F242" s="2" t="s">
        <v>26</v>
      </c>
      <c r="G242" s="2" t="s">
        <v>49</v>
      </c>
      <c r="H242" s="2" t="s">
        <v>23</v>
      </c>
      <c r="I242" s="2" t="s">
        <v>13</v>
      </c>
      <c r="J242" s="2">
        <v>4.1500000000000004</v>
      </c>
      <c r="K242" s="2" t="str">
        <f t="shared" si="9"/>
        <v>&lt; 5kg</v>
      </c>
      <c r="L242" s="2">
        <f>tdata[[#This Row],[Received_date]]-tdata[[#This Row],[Shipment_Date]]</f>
        <v>3</v>
      </c>
      <c r="M242" s="2">
        <f>VLOOKUP(tdata[[#This Row],[Service_Type]],Table2[#All],2,0)</f>
        <v>5</v>
      </c>
      <c r="N242" s="2" t="str">
        <f>IF(tdata[[#This Row],[Delivery_Days]]&lt;=tdata[[#This Row],[SLA_Days]],"On Time","Late")</f>
        <v>On Time</v>
      </c>
      <c r="O242" s="2">
        <f>VLOOKUP(tdata[[#This Row],[Service_Type]],Table2[#All],4,0)</f>
        <v>9000</v>
      </c>
      <c r="P242" s="2">
        <f>tdata[[#This Row],[price_per_kilo]]*tdata[[#This Row],[Weight_KG]]</f>
        <v>37350</v>
      </c>
      <c r="Q242" s="2" t="str">
        <f>VLOOKUP(tdata[[#This Row],[id_employee]],temployee[#All],2,0)</f>
        <v>Olivia Putri</v>
      </c>
      <c r="R242" s="2" t="str">
        <f>VLOOKUP(tdata[[#This Row],[id_employee]],temployee[#All],4,0)</f>
        <v>internal</v>
      </c>
      <c r="S242" s="9" t="str">
        <f>VLOOKUP(tdata[[#This Row],[id_employee]],temployee[#All],5,0)</f>
        <v>rider</v>
      </c>
    </row>
    <row r="243" spans="2:19" x14ac:dyDescent="0.35">
      <c r="B243" s="8" t="s">
        <v>262</v>
      </c>
      <c r="C243" s="2" t="s">
        <v>1312</v>
      </c>
      <c r="D243" s="5">
        <v>45594</v>
      </c>
      <c r="E243" s="5">
        <v>45598</v>
      </c>
      <c r="F243" s="2" t="s">
        <v>49</v>
      </c>
      <c r="G243" s="2" t="s">
        <v>32</v>
      </c>
      <c r="H243" s="2" t="s">
        <v>1223</v>
      </c>
      <c r="I243" s="2" t="s">
        <v>13</v>
      </c>
      <c r="J243" s="2">
        <v>9.99</v>
      </c>
      <c r="K243" s="2" t="str">
        <f t="shared" si="9"/>
        <v>&gt;5kg</v>
      </c>
      <c r="L243" s="2">
        <f>tdata[[#This Row],[Received_date]]-tdata[[#This Row],[Shipment_Date]]</f>
        <v>4</v>
      </c>
      <c r="M243" s="2">
        <f>VLOOKUP(tdata[[#This Row],[Service_Type]],Table2[#All],2,0)</f>
        <v>1</v>
      </c>
      <c r="N243" s="2" t="str">
        <f>IF(tdata[[#This Row],[Delivery_Days]]&lt;=tdata[[#This Row],[SLA_Days]],"On Time","Late")</f>
        <v>Late</v>
      </c>
      <c r="O243" s="2">
        <f>VLOOKUP(tdata[[#This Row],[Service_Type]],Table2[#All],4,0)</f>
        <v>12000</v>
      </c>
      <c r="P243" s="2">
        <f>tdata[[#This Row],[price_per_kilo]]*tdata[[#This Row],[Weight_KG]]</f>
        <v>119880</v>
      </c>
      <c r="Q243" s="2" t="str">
        <f>VLOOKUP(tdata[[#This Row],[id_employee]],temployee[#All],2,0)</f>
        <v>Prasetyo Utomo</v>
      </c>
      <c r="R243" s="2" t="str">
        <f>VLOOKUP(tdata[[#This Row],[id_employee]],temployee[#All],4,0)</f>
        <v>internal</v>
      </c>
      <c r="S243" s="9" t="str">
        <f>VLOOKUP(tdata[[#This Row],[id_employee]],temployee[#All],5,0)</f>
        <v>driver</v>
      </c>
    </row>
    <row r="244" spans="2:19" x14ac:dyDescent="0.35">
      <c r="B244" s="8" t="s">
        <v>263</v>
      </c>
      <c r="C244" s="2" t="s">
        <v>1313</v>
      </c>
      <c r="D244" s="5">
        <v>45636</v>
      </c>
      <c r="E244" s="5">
        <v>45636</v>
      </c>
      <c r="F244" s="2" t="s">
        <v>11</v>
      </c>
      <c r="G244" s="2" t="s">
        <v>11</v>
      </c>
      <c r="H244" s="2" t="s">
        <v>1224</v>
      </c>
      <c r="I244" s="2" t="s">
        <v>13</v>
      </c>
      <c r="J244" s="2">
        <v>1.57</v>
      </c>
      <c r="K244" s="2" t="str">
        <f t="shared" si="9"/>
        <v>&lt; 5kg</v>
      </c>
      <c r="L244" s="2">
        <f>tdata[[#This Row],[Received_date]]-tdata[[#This Row],[Shipment_Date]]</f>
        <v>0</v>
      </c>
      <c r="M244" s="2">
        <f>VLOOKUP(tdata[[#This Row],[Service_Type]],Table2[#All],2,0)</f>
        <v>3</v>
      </c>
      <c r="N244" s="2" t="str">
        <f>IF(tdata[[#This Row],[Delivery_Days]]&lt;=tdata[[#This Row],[SLA_Days]],"On Time","Late")</f>
        <v>On Time</v>
      </c>
      <c r="O244" s="2">
        <f>VLOOKUP(tdata[[#This Row],[Service_Type]],Table2[#All],4,0)</f>
        <v>10000</v>
      </c>
      <c r="P244" s="2">
        <f>tdata[[#This Row],[price_per_kilo]]*tdata[[#This Row],[Weight_KG]]</f>
        <v>15700</v>
      </c>
      <c r="Q244" s="2" t="str">
        <f>VLOOKUP(tdata[[#This Row],[id_employee]],temployee[#All],2,0)</f>
        <v>Qori Annisa</v>
      </c>
      <c r="R244" s="2" t="str">
        <f>VLOOKUP(tdata[[#This Row],[id_employee]],temployee[#All],4,0)</f>
        <v>crowd source</v>
      </c>
      <c r="S244" s="9" t="str">
        <f>VLOOKUP(tdata[[#This Row],[id_employee]],temployee[#All],5,0)</f>
        <v>rider</v>
      </c>
    </row>
    <row r="245" spans="2:19" x14ac:dyDescent="0.35">
      <c r="B245" s="8" t="s">
        <v>264</v>
      </c>
      <c r="C245" s="2" t="s">
        <v>1314</v>
      </c>
      <c r="D245" s="5">
        <v>45554</v>
      </c>
      <c r="E245" s="5">
        <v>45554</v>
      </c>
      <c r="F245" s="2" t="s">
        <v>15</v>
      </c>
      <c r="G245" s="2" t="s">
        <v>15</v>
      </c>
      <c r="H245" s="2" t="s">
        <v>1223</v>
      </c>
      <c r="I245" s="2" t="s">
        <v>13</v>
      </c>
      <c r="J245" s="2">
        <v>4.0599999999999996</v>
      </c>
      <c r="K245" s="2" t="str">
        <f t="shared" si="9"/>
        <v>&lt; 5kg</v>
      </c>
      <c r="L245" s="2">
        <f>tdata[[#This Row],[Received_date]]-tdata[[#This Row],[Shipment_Date]]</f>
        <v>0</v>
      </c>
      <c r="M245" s="2">
        <f>VLOOKUP(tdata[[#This Row],[Service_Type]],Table2[#All],2,0)</f>
        <v>1</v>
      </c>
      <c r="N245" s="2" t="str">
        <f>IF(tdata[[#This Row],[Delivery_Days]]&lt;=tdata[[#This Row],[SLA_Days]],"On Time","Late")</f>
        <v>On Time</v>
      </c>
      <c r="O245" s="2">
        <f>VLOOKUP(tdata[[#This Row],[Service_Type]],Table2[#All],4,0)</f>
        <v>12000</v>
      </c>
      <c r="P245" s="2">
        <f>tdata[[#This Row],[price_per_kilo]]*tdata[[#This Row],[Weight_KG]]</f>
        <v>48719.999999999993</v>
      </c>
      <c r="Q245" s="2" t="str">
        <f>VLOOKUP(tdata[[#This Row],[id_employee]],temployee[#All],2,0)</f>
        <v>Rangga Saptonugroho</v>
      </c>
      <c r="R245" s="2" t="str">
        <f>VLOOKUP(tdata[[#This Row],[id_employee]],temployee[#All],4,0)</f>
        <v>crowd source</v>
      </c>
      <c r="S245" s="9" t="str">
        <f>VLOOKUP(tdata[[#This Row],[id_employee]],temployee[#All],5,0)</f>
        <v>driver</v>
      </c>
    </row>
    <row r="246" spans="2:19" x14ac:dyDescent="0.35">
      <c r="B246" s="8" t="s">
        <v>265</v>
      </c>
      <c r="C246" s="2" t="s">
        <v>1315</v>
      </c>
      <c r="D246" s="5">
        <v>45414</v>
      </c>
      <c r="E246" s="5">
        <f>D246+4</f>
        <v>45418</v>
      </c>
      <c r="F246" s="2" t="s">
        <v>20</v>
      </c>
      <c r="G246" s="2" t="s">
        <v>49</v>
      </c>
      <c r="H246" s="2" t="s">
        <v>1224</v>
      </c>
      <c r="I246" s="2" t="s">
        <v>17</v>
      </c>
      <c r="J246" s="2">
        <v>6.14</v>
      </c>
      <c r="K246" s="2" t="str">
        <f t="shared" si="9"/>
        <v>&gt;5kg</v>
      </c>
      <c r="L246" s="2">
        <f>tdata[[#This Row],[Received_date]]-tdata[[#This Row],[Shipment_Date]]</f>
        <v>4</v>
      </c>
      <c r="M246" s="2">
        <f>VLOOKUP(tdata[[#This Row],[Service_Type]],Table2[#All],2,0)</f>
        <v>3</v>
      </c>
      <c r="N246" s="2" t="str">
        <f>IF(tdata[[#This Row],[Delivery_Days]]&lt;=tdata[[#This Row],[SLA_Days]],"On Time","Late")</f>
        <v>Late</v>
      </c>
      <c r="O246" s="2">
        <f>VLOOKUP(tdata[[#This Row],[Service_Type]],Table2[#All],4,0)</f>
        <v>10000</v>
      </c>
      <c r="P246" s="2">
        <f>tdata[[#This Row],[price_per_kilo]]*tdata[[#This Row],[Weight_KG]]</f>
        <v>61400</v>
      </c>
      <c r="Q246" s="2" t="str">
        <f>VLOOKUP(tdata[[#This Row],[id_employee]],temployee[#All],2,0)</f>
        <v>Sinta Dewi</v>
      </c>
      <c r="R246" s="2" t="str">
        <f>VLOOKUP(tdata[[#This Row],[id_employee]],temployee[#All],4,0)</f>
        <v>internal</v>
      </c>
      <c r="S246" s="9" t="str">
        <f>VLOOKUP(tdata[[#This Row],[id_employee]],temployee[#All],5,0)</f>
        <v>rider</v>
      </c>
    </row>
    <row r="247" spans="2:19" x14ac:dyDescent="0.35">
      <c r="B247" s="8" t="s">
        <v>266</v>
      </c>
      <c r="C247" s="2" t="s">
        <v>1316</v>
      </c>
      <c r="D247" s="5">
        <v>45095</v>
      </c>
      <c r="E247" s="5">
        <v>45103</v>
      </c>
      <c r="F247" s="2" t="s">
        <v>22</v>
      </c>
      <c r="G247" s="2" t="s">
        <v>12</v>
      </c>
      <c r="H247" s="2" t="s">
        <v>1224</v>
      </c>
      <c r="I247" s="2" t="s">
        <v>17</v>
      </c>
      <c r="J247" s="2">
        <v>10.48</v>
      </c>
      <c r="K247" s="2" t="str">
        <f t="shared" si="9"/>
        <v>&gt;5kg</v>
      </c>
      <c r="L247" s="2">
        <f>tdata[[#This Row],[Received_date]]-tdata[[#This Row],[Shipment_Date]]</f>
        <v>8</v>
      </c>
      <c r="M247" s="2">
        <f>VLOOKUP(tdata[[#This Row],[Service_Type]],Table2[#All],2,0)</f>
        <v>3</v>
      </c>
      <c r="N247" s="2" t="str">
        <f>IF(tdata[[#This Row],[Delivery_Days]]&lt;=tdata[[#This Row],[SLA_Days]],"On Time","Late")</f>
        <v>Late</v>
      </c>
      <c r="O247" s="2">
        <f>VLOOKUP(tdata[[#This Row],[Service_Type]],Table2[#All],4,0)</f>
        <v>10000</v>
      </c>
      <c r="P247" s="2">
        <f>tdata[[#This Row],[price_per_kilo]]*tdata[[#This Row],[Weight_KG]]</f>
        <v>104800</v>
      </c>
      <c r="Q247" s="2" t="str">
        <f>VLOOKUP(tdata[[#This Row],[id_employee]],temployee[#All],2,0)</f>
        <v>Taufik Hidayat</v>
      </c>
      <c r="R247" s="2" t="str">
        <f>VLOOKUP(tdata[[#This Row],[id_employee]],temployee[#All],4,0)</f>
        <v>internal</v>
      </c>
      <c r="S247" s="9" t="str">
        <f>VLOOKUP(tdata[[#This Row],[id_employee]],temployee[#All],5,0)</f>
        <v>driver</v>
      </c>
    </row>
    <row r="248" spans="2:19" x14ac:dyDescent="0.35">
      <c r="B248" s="8" t="s">
        <v>267</v>
      </c>
      <c r="C248" s="2" t="s">
        <v>1317</v>
      </c>
      <c r="D248" s="5">
        <v>45318</v>
      </c>
      <c r="E248" s="5">
        <v>45318</v>
      </c>
      <c r="F248" s="2" t="s">
        <v>12</v>
      </c>
      <c r="G248" s="2" t="s">
        <v>32</v>
      </c>
      <c r="H248" s="2" t="s">
        <v>23</v>
      </c>
      <c r="I248" s="2" t="s">
        <v>13</v>
      </c>
      <c r="J248" s="2">
        <v>3.96</v>
      </c>
      <c r="K248" s="2" t="str">
        <f t="shared" si="9"/>
        <v>&lt; 5kg</v>
      </c>
      <c r="L248" s="2">
        <f>tdata[[#This Row],[Received_date]]-tdata[[#This Row],[Shipment_Date]]</f>
        <v>0</v>
      </c>
      <c r="M248" s="2">
        <f>VLOOKUP(tdata[[#This Row],[Service_Type]],Table2[#All],2,0)</f>
        <v>5</v>
      </c>
      <c r="N248" s="2" t="str">
        <f>IF(tdata[[#This Row],[Delivery_Days]]&lt;=tdata[[#This Row],[SLA_Days]],"On Time","Late")</f>
        <v>On Time</v>
      </c>
      <c r="O248" s="2">
        <f>VLOOKUP(tdata[[#This Row],[Service_Type]],Table2[#All],4,0)</f>
        <v>9000</v>
      </c>
      <c r="P248" s="2">
        <f>tdata[[#This Row],[price_per_kilo]]*tdata[[#This Row],[Weight_KG]]</f>
        <v>35640</v>
      </c>
      <c r="Q248" s="2" t="str">
        <f>VLOOKUP(tdata[[#This Row],[id_employee]],temployee[#All],2,0)</f>
        <v>Usman Ali</v>
      </c>
      <c r="R248" s="2" t="str">
        <f>VLOOKUP(tdata[[#This Row],[id_employee]],temployee[#All],4,0)</f>
        <v>crowd source</v>
      </c>
      <c r="S248" s="9" t="str">
        <f>VLOOKUP(tdata[[#This Row],[id_employee]],temployee[#All],5,0)</f>
        <v>rider</v>
      </c>
    </row>
    <row r="249" spans="2:19" x14ac:dyDescent="0.35">
      <c r="B249" s="8" t="s">
        <v>268</v>
      </c>
      <c r="C249" s="2" t="s">
        <v>1318</v>
      </c>
      <c r="D249" s="5">
        <v>44979</v>
      </c>
      <c r="E249" s="5">
        <v>44980</v>
      </c>
      <c r="F249" s="2" t="s">
        <v>30</v>
      </c>
      <c r="G249" s="2" t="s">
        <v>15</v>
      </c>
      <c r="H249" s="2" t="s">
        <v>1223</v>
      </c>
      <c r="I249" s="2" t="s">
        <v>17</v>
      </c>
      <c r="J249" s="2">
        <v>1.31</v>
      </c>
      <c r="K249" s="2" t="str">
        <f t="shared" si="9"/>
        <v>&lt; 5kg</v>
      </c>
      <c r="L249" s="2">
        <f>tdata[[#This Row],[Received_date]]-tdata[[#This Row],[Shipment_Date]]</f>
        <v>1</v>
      </c>
      <c r="M249" s="2">
        <f>VLOOKUP(tdata[[#This Row],[Service_Type]],Table2[#All],2,0)</f>
        <v>1</v>
      </c>
      <c r="N249" s="2" t="str">
        <f>IF(tdata[[#This Row],[Delivery_Days]]&lt;=tdata[[#This Row],[SLA_Days]],"On Time","Late")</f>
        <v>On Time</v>
      </c>
      <c r="O249" s="2">
        <f>VLOOKUP(tdata[[#This Row],[Service_Type]],Table2[#All],4,0)</f>
        <v>12000</v>
      </c>
      <c r="P249" s="2">
        <f>tdata[[#This Row],[price_per_kilo]]*tdata[[#This Row],[Weight_KG]]</f>
        <v>15720</v>
      </c>
      <c r="Q249" s="2" t="str">
        <f>VLOOKUP(tdata[[#This Row],[id_employee]],temployee[#All],2,0)</f>
        <v>Vivi Lestari</v>
      </c>
      <c r="R249" s="2" t="str">
        <f>VLOOKUP(tdata[[#This Row],[id_employee]],temployee[#All],4,0)</f>
        <v>internal</v>
      </c>
      <c r="S249" s="9" t="str">
        <f>VLOOKUP(tdata[[#This Row],[id_employee]],temployee[#All],5,0)</f>
        <v>rider</v>
      </c>
    </row>
    <row r="250" spans="2:19" x14ac:dyDescent="0.35">
      <c r="B250" s="8" t="s">
        <v>269</v>
      </c>
      <c r="C250" s="2" t="s">
        <v>1319</v>
      </c>
      <c r="D250" s="5">
        <v>45566</v>
      </c>
      <c r="E250" s="5">
        <v>45569</v>
      </c>
      <c r="F250" s="2" t="s">
        <v>32</v>
      </c>
      <c r="G250" s="2" t="s">
        <v>32</v>
      </c>
      <c r="H250" s="2" t="s">
        <v>1224</v>
      </c>
      <c r="I250" s="2" t="s">
        <v>13</v>
      </c>
      <c r="J250" s="2">
        <v>10.41</v>
      </c>
      <c r="K250" s="2" t="str">
        <f t="shared" si="9"/>
        <v>&gt;5kg</v>
      </c>
      <c r="L250" s="2">
        <f>tdata[[#This Row],[Received_date]]-tdata[[#This Row],[Shipment_Date]]</f>
        <v>3</v>
      </c>
      <c r="M250" s="2">
        <f>VLOOKUP(tdata[[#This Row],[Service_Type]],Table2[#All],2,0)</f>
        <v>3</v>
      </c>
      <c r="N250" s="2" t="str">
        <f>IF(tdata[[#This Row],[Delivery_Days]]&lt;=tdata[[#This Row],[SLA_Days]],"On Time","Late")</f>
        <v>On Time</v>
      </c>
      <c r="O250" s="2">
        <f>VLOOKUP(tdata[[#This Row],[Service_Type]],Table2[#All],4,0)</f>
        <v>10000</v>
      </c>
      <c r="P250" s="2">
        <f>tdata[[#This Row],[price_per_kilo]]*tdata[[#This Row],[Weight_KG]]</f>
        <v>104100</v>
      </c>
      <c r="Q250" s="2" t="str">
        <f>VLOOKUP(tdata[[#This Row],[id_employee]],temployee[#All],2,0)</f>
        <v>Wawan Setiabudi</v>
      </c>
      <c r="R250" s="2" t="str">
        <f>VLOOKUP(tdata[[#This Row],[id_employee]],temployee[#All],4,0)</f>
        <v>internal</v>
      </c>
      <c r="S250" s="9" t="str">
        <f>VLOOKUP(tdata[[#This Row],[id_employee]],temployee[#All],5,0)</f>
        <v>driver</v>
      </c>
    </row>
    <row r="251" spans="2:19" x14ac:dyDescent="0.35">
      <c r="B251" s="8" t="s">
        <v>270</v>
      </c>
      <c r="C251" s="2" t="s">
        <v>1320</v>
      </c>
      <c r="D251" s="5">
        <v>45031</v>
      </c>
      <c r="E251" s="5">
        <f>D251+4</f>
        <v>45035</v>
      </c>
      <c r="F251" s="2" t="s">
        <v>16</v>
      </c>
      <c r="G251" s="2" t="s">
        <v>15</v>
      </c>
      <c r="H251" s="2" t="s">
        <v>23</v>
      </c>
      <c r="I251" s="2" t="s">
        <v>13</v>
      </c>
      <c r="J251" s="2">
        <v>10.08</v>
      </c>
      <c r="K251" s="2" t="str">
        <f t="shared" si="9"/>
        <v>&gt;5kg</v>
      </c>
      <c r="L251" s="2">
        <f>tdata[[#This Row],[Received_date]]-tdata[[#This Row],[Shipment_Date]]</f>
        <v>4</v>
      </c>
      <c r="M251" s="2">
        <f>VLOOKUP(tdata[[#This Row],[Service_Type]],Table2[#All],2,0)</f>
        <v>5</v>
      </c>
      <c r="N251" s="2" t="str">
        <f>IF(tdata[[#This Row],[Delivery_Days]]&lt;=tdata[[#This Row],[SLA_Days]],"On Time","Late")</f>
        <v>On Time</v>
      </c>
      <c r="O251" s="2">
        <f>VLOOKUP(tdata[[#This Row],[Service_Type]],Table2[#All],4,0)</f>
        <v>9000</v>
      </c>
      <c r="P251" s="2">
        <f>tdata[[#This Row],[price_per_kilo]]*tdata[[#This Row],[Weight_KG]]</f>
        <v>90720</v>
      </c>
      <c r="Q251" s="2" t="str">
        <f>VLOOKUP(tdata[[#This Row],[id_employee]],temployee[#All],2,0)</f>
        <v>Xenia Maharani</v>
      </c>
      <c r="R251" s="2" t="str">
        <f>VLOOKUP(tdata[[#This Row],[id_employee]],temployee[#All],4,0)</f>
        <v>crowd source</v>
      </c>
      <c r="S251" s="9" t="str">
        <f>VLOOKUP(tdata[[#This Row],[id_employee]],temployee[#All],5,0)</f>
        <v>rider</v>
      </c>
    </row>
    <row r="252" spans="2:19" x14ac:dyDescent="0.35">
      <c r="B252" s="8" t="s">
        <v>271</v>
      </c>
      <c r="C252" s="2" t="s">
        <v>1321</v>
      </c>
      <c r="D252" s="5">
        <v>45239</v>
      </c>
      <c r="E252" s="5">
        <v>45246</v>
      </c>
      <c r="F252" s="2" t="s">
        <v>26</v>
      </c>
      <c r="G252" s="2" t="s">
        <v>30</v>
      </c>
      <c r="H252" s="2" t="s">
        <v>1223</v>
      </c>
      <c r="I252" s="2" t="s">
        <v>17</v>
      </c>
      <c r="J252" s="2">
        <v>9.6199999999999992</v>
      </c>
      <c r="K252" s="2" t="str">
        <f t="shared" si="9"/>
        <v>&gt;5kg</v>
      </c>
      <c r="L252" s="2">
        <f>tdata[[#This Row],[Received_date]]-tdata[[#This Row],[Shipment_Date]]</f>
        <v>7</v>
      </c>
      <c r="M252" s="2">
        <f>VLOOKUP(tdata[[#This Row],[Service_Type]],Table2[#All],2,0)</f>
        <v>1</v>
      </c>
      <c r="N252" s="2" t="str">
        <f>IF(tdata[[#This Row],[Delivery_Days]]&lt;=tdata[[#This Row],[SLA_Days]],"On Time","Late")</f>
        <v>Late</v>
      </c>
      <c r="O252" s="2">
        <f>VLOOKUP(tdata[[#This Row],[Service_Type]],Table2[#All],4,0)</f>
        <v>12000</v>
      </c>
      <c r="P252" s="2">
        <f>tdata[[#This Row],[price_per_kilo]]*tdata[[#This Row],[Weight_KG]]</f>
        <v>115439.99999999999</v>
      </c>
      <c r="Q252" s="2" t="str">
        <f>VLOOKUP(tdata[[#This Row],[id_employee]],temployee[#All],2,0)</f>
        <v>Yoga Pradana</v>
      </c>
      <c r="R252" s="2" t="str">
        <f>VLOOKUP(tdata[[#This Row],[id_employee]],temployee[#All],4,0)</f>
        <v>internal</v>
      </c>
      <c r="S252" s="9" t="str">
        <f>VLOOKUP(tdata[[#This Row],[id_employee]],temployee[#All],5,0)</f>
        <v>rider</v>
      </c>
    </row>
    <row r="253" spans="2:19" x14ac:dyDescent="0.35">
      <c r="B253" s="8" t="s">
        <v>272</v>
      </c>
      <c r="C253" s="2" t="s">
        <v>1322</v>
      </c>
      <c r="D253" s="5">
        <v>45146</v>
      </c>
      <c r="E253" s="5">
        <v>45153</v>
      </c>
      <c r="F253" s="2" t="s">
        <v>49</v>
      </c>
      <c r="G253" s="2" t="s">
        <v>12</v>
      </c>
      <c r="H253" s="2" t="s">
        <v>23</v>
      </c>
      <c r="I253" s="2" t="s">
        <v>13</v>
      </c>
      <c r="J253" s="2">
        <v>1.65</v>
      </c>
      <c r="K253" s="2" t="str">
        <f t="shared" si="9"/>
        <v>&lt; 5kg</v>
      </c>
      <c r="L253" s="2">
        <f>tdata[[#This Row],[Received_date]]-tdata[[#This Row],[Shipment_Date]]</f>
        <v>7</v>
      </c>
      <c r="M253" s="2">
        <f>VLOOKUP(tdata[[#This Row],[Service_Type]],Table2[#All],2,0)</f>
        <v>5</v>
      </c>
      <c r="N253" s="2" t="str">
        <f>IF(tdata[[#This Row],[Delivery_Days]]&lt;=tdata[[#This Row],[SLA_Days]],"On Time","Late")</f>
        <v>Late</v>
      </c>
      <c r="O253" s="2">
        <f>VLOOKUP(tdata[[#This Row],[Service_Type]],Table2[#All],4,0)</f>
        <v>9000</v>
      </c>
      <c r="P253" s="2">
        <f>tdata[[#This Row],[price_per_kilo]]*tdata[[#This Row],[Weight_KG]]</f>
        <v>14850</v>
      </c>
      <c r="Q253" s="2" t="str">
        <f>VLOOKUP(tdata[[#This Row],[id_employee]],temployee[#All],2,0)</f>
        <v>Zulfikar Ramadhan</v>
      </c>
      <c r="R253" s="2" t="str">
        <f>VLOOKUP(tdata[[#This Row],[id_employee]],temployee[#All],4,0)</f>
        <v>crowd source</v>
      </c>
      <c r="S253" s="9" t="str">
        <f>VLOOKUP(tdata[[#This Row],[id_employee]],temployee[#All],5,0)</f>
        <v>driver</v>
      </c>
    </row>
    <row r="254" spans="2:19" x14ac:dyDescent="0.35">
      <c r="B254" s="8" t="s">
        <v>273</v>
      </c>
      <c r="C254" s="2" t="s">
        <v>1323</v>
      </c>
      <c r="D254" s="5">
        <v>45067</v>
      </c>
      <c r="E254" s="5">
        <f>D254+4</f>
        <v>45071</v>
      </c>
      <c r="F254" s="2" t="s">
        <v>11</v>
      </c>
      <c r="G254" s="2" t="s">
        <v>22</v>
      </c>
      <c r="H254" s="2" t="s">
        <v>1224</v>
      </c>
      <c r="I254" s="2" t="s">
        <v>17</v>
      </c>
      <c r="J254" s="2">
        <v>7.7</v>
      </c>
      <c r="K254" s="2" t="str">
        <f t="shared" si="9"/>
        <v>&gt;5kg</v>
      </c>
      <c r="L254" s="2">
        <f>tdata[[#This Row],[Received_date]]-tdata[[#This Row],[Shipment_Date]]</f>
        <v>4</v>
      </c>
      <c r="M254" s="2">
        <f>VLOOKUP(tdata[[#This Row],[Service_Type]],Table2[#All],2,0)</f>
        <v>3</v>
      </c>
      <c r="N254" s="2" t="str">
        <f>IF(tdata[[#This Row],[Delivery_Days]]&lt;=tdata[[#This Row],[SLA_Days]],"On Time","Late")</f>
        <v>Late</v>
      </c>
      <c r="O254" s="2">
        <f>VLOOKUP(tdata[[#This Row],[Service_Type]],Table2[#All],4,0)</f>
        <v>10000</v>
      </c>
      <c r="P254" s="2">
        <f>tdata[[#This Row],[price_per_kilo]]*tdata[[#This Row],[Weight_KG]]</f>
        <v>77000</v>
      </c>
      <c r="Q254" s="2" t="str">
        <f>VLOOKUP(tdata[[#This Row],[id_employee]],temployee[#All],2,0)</f>
        <v>Aditya Saputra</v>
      </c>
      <c r="R254" s="2" t="str">
        <f>VLOOKUP(tdata[[#This Row],[id_employee]],temployee[#All],4,0)</f>
        <v>internal</v>
      </c>
      <c r="S254" s="9" t="str">
        <f>VLOOKUP(tdata[[#This Row],[id_employee]],temployee[#All],5,0)</f>
        <v>rider</v>
      </c>
    </row>
    <row r="255" spans="2:19" x14ac:dyDescent="0.35">
      <c r="B255" s="8" t="s">
        <v>274</v>
      </c>
      <c r="C255" s="2" t="s">
        <v>1324</v>
      </c>
      <c r="D255" s="5">
        <v>45531</v>
      </c>
      <c r="E255" s="5">
        <v>45538</v>
      </c>
      <c r="F255" s="2" t="s">
        <v>15</v>
      </c>
      <c r="G255" s="2" t="s">
        <v>32</v>
      </c>
      <c r="H255" s="2" t="s">
        <v>23</v>
      </c>
      <c r="I255" s="2" t="s">
        <v>13</v>
      </c>
      <c r="J255" s="2">
        <v>8.9700000000000006</v>
      </c>
      <c r="K255" s="2" t="str">
        <f t="shared" si="9"/>
        <v>&gt;5kg</v>
      </c>
      <c r="L255" s="2">
        <f>tdata[[#This Row],[Received_date]]-tdata[[#This Row],[Shipment_Date]]</f>
        <v>7</v>
      </c>
      <c r="M255" s="2">
        <f>VLOOKUP(tdata[[#This Row],[Service_Type]],Table2[#All],2,0)</f>
        <v>5</v>
      </c>
      <c r="N255" s="2" t="str">
        <f>IF(tdata[[#This Row],[Delivery_Days]]&lt;=tdata[[#This Row],[SLA_Days]],"On Time","Late")</f>
        <v>Late</v>
      </c>
      <c r="O255" s="2">
        <f>VLOOKUP(tdata[[#This Row],[Service_Type]],Table2[#All],4,0)</f>
        <v>9000</v>
      </c>
      <c r="P255" s="2">
        <f>tdata[[#This Row],[price_per_kilo]]*tdata[[#This Row],[Weight_KG]]</f>
        <v>80730</v>
      </c>
      <c r="Q255" s="2" t="str">
        <f>VLOOKUP(tdata[[#This Row],[id_employee]],temployee[#All],2,0)</f>
        <v>Bella Oktaviani</v>
      </c>
      <c r="R255" s="2" t="str">
        <f>VLOOKUP(tdata[[#This Row],[id_employee]],temployee[#All],4,0)</f>
        <v>internal</v>
      </c>
      <c r="S255" s="9" t="str">
        <f>VLOOKUP(tdata[[#This Row],[id_employee]],temployee[#All],5,0)</f>
        <v>rider</v>
      </c>
    </row>
    <row r="256" spans="2:19" x14ac:dyDescent="0.35">
      <c r="B256" s="8" t="s">
        <v>275</v>
      </c>
      <c r="C256" s="2" t="s">
        <v>1325</v>
      </c>
      <c r="D256" s="5">
        <v>44961</v>
      </c>
      <c r="E256" s="5">
        <v>44963</v>
      </c>
      <c r="F256" s="2" t="s">
        <v>20</v>
      </c>
      <c r="G256" s="2" t="s">
        <v>49</v>
      </c>
      <c r="H256" s="2" t="s">
        <v>1224</v>
      </c>
      <c r="I256" s="2" t="s">
        <v>13</v>
      </c>
      <c r="J256" s="2">
        <v>2.5099999999999998</v>
      </c>
      <c r="K256" s="2" t="str">
        <f t="shared" si="9"/>
        <v>&lt; 5kg</v>
      </c>
      <c r="L256" s="2">
        <f>tdata[[#This Row],[Received_date]]-tdata[[#This Row],[Shipment_Date]]</f>
        <v>2</v>
      </c>
      <c r="M256" s="2">
        <f>VLOOKUP(tdata[[#This Row],[Service_Type]],Table2[#All],2,0)</f>
        <v>3</v>
      </c>
      <c r="N256" s="2" t="str">
        <f>IF(tdata[[#This Row],[Delivery_Days]]&lt;=tdata[[#This Row],[SLA_Days]],"On Time","Late")</f>
        <v>On Time</v>
      </c>
      <c r="O256" s="2">
        <f>VLOOKUP(tdata[[#This Row],[Service_Type]],Table2[#All],4,0)</f>
        <v>10000</v>
      </c>
      <c r="P256" s="2">
        <f>tdata[[#This Row],[price_per_kilo]]*tdata[[#This Row],[Weight_KG]]</f>
        <v>25099.999999999996</v>
      </c>
      <c r="Q256" s="2" t="str">
        <f>VLOOKUP(tdata[[#This Row],[id_employee]],temployee[#All],2,0)</f>
        <v>Chandra Wijaya</v>
      </c>
      <c r="R256" s="2" t="str">
        <f>VLOOKUP(tdata[[#This Row],[id_employee]],temployee[#All],4,0)</f>
        <v>crowd source</v>
      </c>
      <c r="S256" s="9" t="str">
        <f>VLOOKUP(tdata[[#This Row],[id_employee]],temployee[#All],5,0)</f>
        <v>driver</v>
      </c>
    </row>
    <row r="257" spans="2:19" x14ac:dyDescent="0.35">
      <c r="B257" s="8" t="s">
        <v>276</v>
      </c>
      <c r="C257" s="2" t="s">
        <v>1326</v>
      </c>
      <c r="D257" s="5">
        <v>45057</v>
      </c>
      <c r="E257" s="5">
        <f>D257+4</f>
        <v>45061</v>
      </c>
      <c r="F257" s="2" t="s">
        <v>22</v>
      </c>
      <c r="G257" s="2" t="s">
        <v>30</v>
      </c>
      <c r="H257" s="2" t="s">
        <v>1223</v>
      </c>
      <c r="I257" s="2" t="s">
        <v>17</v>
      </c>
      <c r="J257" s="2">
        <v>8.6</v>
      </c>
      <c r="K257" s="2" t="str">
        <f t="shared" si="9"/>
        <v>&gt;5kg</v>
      </c>
      <c r="L257" s="2">
        <f>tdata[[#This Row],[Received_date]]-tdata[[#This Row],[Shipment_Date]]</f>
        <v>4</v>
      </c>
      <c r="M257" s="2">
        <f>VLOOKUP(tdata[[#This Row],[Service_Type]],Table2[#All],2,0)</f>
        <v>1</v>
      </c>
      <c r="N257" s="2" t="str">
        <f>IF(tdata[[#This Row],[Delivery_Days]]&lt;=tdata[[#This Row],[SLA_Days]],"On Time","Late")</f>
        <v>Late</v>
      </c>
      <c r="O257" s="2">
        <f>VLOOKUP(tdata[[#This Row],[Service_Type]],Table2[#All],4,0)</f>
        <v>12000</v>
      </c>
      <c r="P257" s="2">
        <f>tdata[[#This Row],[price_per_kilo]]*tdata[[#This Row],[Weight_KG]]</f>
        <v>103200</v>
      </c>
      <c r="Q257" s="2" t="str">
        <f>VLOOKUP(tdata[[#This Row],[id_employee]],temployee[#All],2,0)</f>
        <v>Dewi Sartika</v>
      </c>
      <c r="R257" s="2" t="str">
        <f>VLOOKUP(tdata[[#This Row],[id_employee]],temployee[#All],4,0)</f>
        <v>internal</v>
      </c>
      <c r="S257" s="9" t="str">
        <f>VLOOKUP(tdata[[#This Row],[id_employee]],temployee[#All],5,0)</f>
        <v>rider</v>
      </c>
    </row>
    <row r="258" spans="2:19" x14ac:dyDescent="0.35">
      <c r="B258" s="8" t="s">
        <v>277</v>
      </c>
      <c r="C258" s="2" t="s">
        <v>1327</v>
      </c>
      <c r="D258" s="5">
        <v>45327</v>
      </c>
      <c r="E258" s="5">
        <v>45327</v>
      </c>
      <c r="F258" s="2" t="s">
        <v>12</v>
      </c>
      <c r="G258" s="2" t="s">
        <v>11</v>
      </c>
      <c r="H258" s="2" t="s">
        <v>1223</v>
      </c>
      <c r="I258" s="2" t="s">
        <v>13</v>
      </c>
      <c r="J258" s="2">
        <v>1.67</v>
      </c>
      <c r="K258" s="2" t="str">
        <f t="shared" si="9"/>
        <v>&lt; 5kg</v>
      </c>
      <c r="L258" s="2">
        <f>tdata[[#This Row],[Received_date]]-tdata[[#This Row],[Shipment_Date]]</f>
        <v>0</v>
      </c>
      <c r="M258" s="2">
        <f>VLOOKUP(tdata[[#This Row],[Service_Type]],Table2[#All],2,0)</f>
        <v>1</v>
      </c>
      <c r="N258" s="2" t="str">
        <f>IF(tdata[[#This Row],[Delivery_Days]]&lt;=tdata[[#This Row],[SLA_Days]],"On Time","Late")</f>
        <v>On Time</v>
      </c>
      <c r="O258" s="2">
        <f>VLOOKUP(tdata[[#This Row],[Service_Type]],Table2[#All],4,0)</f>
        <v>12000</v>
      </c>
      <c r="P258" s="2">
        <f>tdata[[#This Row],[price_per_kilo]]*tdata[[#This Row],[Weight_KG]]</f>
        <v>20040</v>
      </c>
      <c r="Q258" s="2" t="str">
        <f>VLOOKUP(tdata[[#This Row],[id_employee]],temployee[#All],2,0)</f>
        <v>Edi Kurniawan</v>
      </c>
      <c r="R258" s="2" t="str">
        <f>VLOOKUP(tdata[[#This Row],[id_employee]],temployee[#All],4,0)</f>
        <v>internal</v>
      </c>
      <c r="S258" s="9" t="str">
        <f>VLOOKUP(tdata[[#This Row],[id_employee]],temployee[#All],5,0)</f>
        <v>driver</v>
      </c>
    </row>
    <row r="259" spans="2:19" x14ac:dyDescent="0.35">
      <c r="B259" s="8" t="s">
        <v>278</v>
      </c>
      <c r="C259" s="2" t="s">
        <v>1328</v>
      </c>
      <c r="D259" s="5">
        <v>45252</v>
      </c>
      <c r="E259" s="5">
        <f>D259+4</f>
        <v>45256</v>
      </c>
      <c r="F259" s="2" t="s">
        <v>30</v>
      </c>
      <c r="G259" s="2" t="s">
        <v>30</v>
      </c>
      <c r="H259" s="2" t="s">
        <v>23</v>
      </c>
      <c r="I259" s="2" t="s">
        <v>13</v>
      </c>
      <c r="J259" s="2">
        <v>8.1300000000000008</v>
      </c>
      <c r="K259" s="2" t="str">
        <f t="shared" si="9"/>
        <v>&gt;5kg</v>
      </c>
      <c r="L259" s="2">
        <f>tdata[[#This Row],[Received_date]]-tdata[[#This Row],[Shipment_Date]]</f>
        <v>4</v>
      </c>
      <c r="M259" s="2">
        <f>VLOOKUP(tdata[[#This Row],[Service_Type]],Table2[#All],2,0)</f>
        <v>5</v>
      </c>
      <c r="N259" s="2" t="str">
        <f>IF(tdata[[#This Row],[Delivery_Days]]&lt;=tdata[[#This Row],[SLA_Days]],"On Time","Late")</f>
        <v>On Time</v>
      </c>
      <c r="O259" s="2">
        <f>VLOOKUP(tdata[[#This Row],[Service_Type]],Table2[#All],4,0)</f>
        <v>9000</v>
      </c>
      <c r="P259" s="2">
        <f>tdata[[#This Row],[price_per_kilo]]*tdata[[#This Row],[Weight_KG]]</f>
        <v>73170</v>
      </c>
      <c r="Q259" s="2" t="str">
        <f>VLOOKUP(tdata[[#This Row],[id_employee]],temployee[#All],2,0)</f>
        <v>Farah Nabila</v>
      </c>
      <c r="R259" s="2" t="str">
        <f>VLOOKUP(tdata[[#This Row],[id_employee]],temployee[#All],4,0)</f>
        <v>crowd source</v>
      </c>
      <c r="S259" s="9" t="str">
        <f>VLOOKUP(tdata[[#This Row],[id_employee]],temployee[#All],5,0)</f>
        <v>rider</v>
      </c>
    </row>
    <row r="260" spans="2:19" x14ac:dyDescent="0.35">
      <c r="B260" s="8" t="s">
        <v>279</v>
      </c>
      <c r="C260" s="2" t="s">
        <v>1329</v>
      </c>
      <c r="D260" s="5">
        <v>44953</v>
      </c>
      <c r="E260" s="5">
        <v>44957</v>
      </c>
      <c r="F260" s="2" t="s">
        <v>32</v>
      </c>
      <c r="G260" s="2" t="s">
        <v>30</v>
      </c>
      <c r="H260" s="2" t="s">
        <v>1223</v>
      </c>
      <c r="I260" s="2" t="s">
        <v>17</v>
      </c>
      <c r="J260" s="2">
        <v>2.13</v>
      </c>
      <c r="K260" s="2" t="str">
        <f t="shared" si="9"/>
        <v>&lt; 5kg</v>
      </c>
      <c r="L260" s="2">
        <f>tdata[[#This Row],[Received_date]]-tdata[[#This Row],[Shipment_Date]]</f>
        <v>4</v>
      </c>
      <c r="M260" s="2">
        <f>VLOOKUP(tdata[[#This Row],[Service_Type]],Table2[#All],2,0)</f>
        <v>1</v>
      </c>
      <c r="N260" s="2" t="str">
        <f>IF(tdata[[#This Row],[Delivery_Days]]&lt;=tdata[[#This Row],[SLA_Days]],"On Time","Late")</f>
        <v>Late</v>
      </c>
      <c r="O260" s="2">
        <f>VLOOKUP(tdata[[#This Row],[Service_Type]],Table2[#All],4,0)</f>
        <v>12000</v>
      </c>
      <c r="P260" s="2">
        <f>tdata[[#This Row],[price_per_kilo]]*tdata[[#This Row],[Weight_KG]]</f>
        <v>25560</v>
      </c>
      <c r="Q260" s="2" t="str">
        <f>VLOOKUP(tdata[[#This Row],[id_employee]],temployee[#All],2,0)</f>
        <v>Galih Pratomo</v>
      </c>
      <c r="R260" s="2" t="str">
        <f>VLOOKUP(tdata[[#This Row],[id_employee]],temployee[#All],4,0)</f>
        <v>internal</v>
      </c>
      <c r="S260" s="9" t="str">
        <f>VLOOKUP(tdata[[#This Row],[id_employee]],temployee[#All],5,0)</f>
        <v>rider</v>
      </c>
    </row>
    <row r="261" spans="2:19" x14ac:dyDescent="0.35">
      <c r="B261" s="8" t="s">
        <v>280</v>
      </c>
      <c r="C261" s="2" t="s">
        <v>1330</v>
      </c>
      <c r="D261" s="5">
        <v>45191</v>
      </c>
      <c r="E261" s="5">
        <v>45191</v>
      </c>
      <c r="F261" s="2" t="s">
        <v>16</v>
      </c>
      <c r="G261" s="2" t="s">
        <v>11</v>
      </c>
      <c r="H261" s="2" t="s">
        <v>1223</v>
      </c>
      <c r="I261" s="2" t="s">
        <v>13</v>
      </c>
      <c r="J261" s="2">
        <v>2.2400000000000002</v>
      </c>
      <c r="K261" s="2" t="str">
        <f t="shared" ref="K261:K324" si="12">IF(J261&lt;5,"&lt; 5kg", "&gt;5kg")</f>
        <v>&lt; 5kg</v>
      </c>
      <c r="L261" s="2">
        <f>tdata[[#This Row],[Received_date]]-tdata[[#This Row],[Shipment_Date]]</f>
        <v>0</v>
      </c>
      <c r="M261" s="2">
        <f>VLOOKUP(tdata[[#This Row],[Service_Type]],Table2[#All],2,0)</f>
        <v>1</v>
      </c>
      <c r="N261" s="2" t="str">
        <f>IF(tdata[[#This Row],[Delivery_Days]]&lt;=tdata[[#This Row],[SLA_Days]],"On Time","Late")</f>
        <v>On Time</v>
      </c>
      <c r="O261" s="2">
        <f>VLOOKUP(tdata[[#This Row],[Service_Type]],Table2[#All],4,0)</f>
        <v>12000</v>
      </c>
      <c r="P261" s="2">
        <f>tdata[[#This Row],[price_per_kilo]]*tdata[[#This Row],[Weight_KG]]</f>
        <v>26880.000000000004</v>
      </c>
      <c r="Q261" s="2" t="str">
        <f>VLOOKUP(tdata[[#This Row],[id_employee]],temployee[#All],2,0)</f>
        <v>Hadi Purnomo</v>
      </c>
      <c r="R261" s="2" t="str">
        <f>VLOOKUP(tdata[[#This Row],[id_employee]],temployee[#All],4,0)</f>
        <v>crowd source</v>
      </c>
      <c r="S261" s="9" t="str">
        <f>VLOOKUP(tdata[[#This Row],[id_employee]],temployee[#All],5,0)</f>
        <v>driver</v>
      </c>
    </row>
    <row r="262" spans="2:19" x14ac:dyDescent="0.35">
      <c r="B262" s="8" t="s">
        <v>281</v>
      </c>
      <c r="C262" s="2" t="s">
        <v>1331</v>
      </c>
      <c r="D262" s="5">
        <v>45062</v>
      </c>
      <c r="E262" s="5">
        <f>D262+4</f>
        <v>45066</v>
      </c>
      <c r="F262" s="2" t="s">
        <v>26</v>
      </c>
      <c r="G262" s="2" t="s">
        <v>49</v>
      </c>
      <c r="H262" s="2" t="s">
        <v>1224</v>
      </c>
      <c r="I262" s="2" t="s">
        <v>17</v>
      </c>
      <c r="J262" s="2">
        <v>9.68</v>
      </c>
      <c r="K262" s="2" t="str">
        <f t="shared" si="12"/>
        <v>&gt;5kg</v>
      </c>
      <c r="L262" s="2">
        <f>tdata[[#This Row],[Received_date]]-tdata[[#This Row],[Shipment_Date]]</f>
        <v>4</v>
      </c>
      <c r="M262" s="2">
        <f>VLOOKUP(tdata[[#This Row],[Service_Type]],Table2[#All],2,0)</f>
        <v>3</v>
      </c>
      <c r="N262" s="2" t="str">
        <f>IF(tdata[[#This Row],[Delivery_Days]]&lt;=tdata[[#This Row],[SLA_Days]],"On Time","Late")</f>
        <v>Late</v>
      </c>
      <c r="O262" s="2">
        <f>VLOOKUP(tdata[[#This Row],[Service_Type]],Table2[#All],4,0)</f>
        <v>10000</v>
      </c>
      <c r="P262" s="2">
        <f>tdata[[#This Row],[price_per_kilo]]*tdata[[#This Row],[Weight_KG]]</f>
        <v>96800</v>
      </c>
      <c r="Q262" s="2" t="str">
        <f>VLOOKUP(tdata[[#This Row],[id_employee]],temployee[#All],2,0)</f>
        <v>Ika Lestari</v>
      </c>
      <c r="R262" s="2" t="str">
        <f>VLOOKUP(tdata[[#This Row],[id_employee]],temployee[#All],4,0)</f>
        <v>internal</v>
      </c>
      <c r="S262" s="9" t="str">
        <f>VLOOKUP(tdata[[#This Row],[id_employee]],temployee[#All],5,0)</f>
        <v>rider</v>
      </c>
    </row>
    <row r="263" spans="2:19" x14ac:dyDescent="0.35">
      <c r="B263" s="8" t="s">
        <v>282</v>
      </c>
      <c r="C263" s="2" t="s">
        <v>1332</v>
      </c>
      <c r="D263" s="5">
        <v>45405</v>
      </c>
      <c r="E263" s="5">
        <v>45407</v>
      </c>
      <c r="F263" s="2" t="s">
        <v>49</v>
      </c>
      <c r="G263" s="2" t="s">
        <v>26</v>
      </c>
      <c r="H263" s="2" t="s">
        <v>23</v>
      </c>
      <c r="I263" s="2" t="s">
        <v>17</v>
      </c>
      <c r="J263" s="2">
        <v>7.09</v>
      </c>
      <c r="K263" s="2" t="str">
        <f t="shared" si="12"/>
        <v>&gt;5kg</v>
      </c>
      <c r="L263" s="2">
        <f>tdata[[#This Row],[Received_date]]-tdata[[#This Row],[Shipment_Date]]</f>
        <v>2</v>
      </c>
      <c r="M263" s="2">
        <f>VLOOKUP(tdata[[#This Row],[Service_Type]],Table2[#All],2,0)</f>
        <v>5</v>
      </c>
      <c r="N263" s="2" t="str">
        <f>IF(tdata[[#This Row],[Delivery_Days]]&lt;=tdata[[#This Row],[SLA_Days]],"On Time","Late")</f>
        <v>On Time</v>
      </c>
      <c r="O263" s="2">
        <f>VLOOKUP(tdata[[#This Row],[Service_Type]],Table2[#All],4,0)</f>
        <v>9000</v>
      </c>
      <c r="P263" s="2">
        <f>tdata[[#This Row],[price_per_kilo]]*tdata[[#This Row],[Weight_KG]]</f>
        <v>63810</v>
      </c>
      <c r="Q263" s="2" t="str">
        <f>VLOOKUP(tdata[[#This Row],[id_employee]],temployee[#All],2,0)</f>
        <v>Jamil Akbar</v>
      </c>
      <c r="R263" s="2" t="str">
        <f>VLOOKUP(tdata[[#This Row],[id_employee]],temployee[#All],4,0)</f>
        <v>internal</v>
      </c>
      <c r="S263" s="9" t="str">
        <f>VLOOKUP(tdata[[#This Row],[id_employee]],temployee[#All],5,0)</f>
        <v>driver</v>
      </c>
    </row>
    <row r="264" spans="2:19" x14ac:dyDescent="0.35">
      <c r="B264" s="8" t="s">
        <v>283</v>
      </c>
      <c r="C264" s="2" t="s">
        <v>1333</v>
      </c>
      <c r="D264" s="5">
        <v>45230</v>
      </c>
      <c r="E264" s="5">
        <v>45237</v>
      </c>
      <c r="F264" s="2" t="s">
        <v>11</v>
      </c>
      <c r="G264" s="2" t="s">
        <v>32</v>
      </c>
      <c r="H264" s="2" t="s">
        <v>1223</v>
      </c>
      <c r="I264" s="2" t="s">
        <v>13</v>
      </c>
      <c r="J264" s="2">
        <v>8.8800000000000008</v>
      </c>
      <c r="K264" s="2" t="str">
        <f t="shared" si="12"/>
        <v>&gt;5kg</v>
      </c>
      <c r="L264" s="2">
        <f>tdata[[#This Row],[Received_date]]-tdata[[#This Row],[Shipment_Date]]</f>
        <v>7</v>
      </c>
      <c r="M264" s="2">
        <f>VLOOKUP(tdata[[#This Row],[Service_Type]],Table2[#All],2,0)</f>
        <v>1</v>
      </c>
      <c r="N264" s="2" t="str">
        <f>IF(tdata[[#This Row],[Delivery_Days]]&lt;=tdata[[#This Row],[SLA_Days]],"On Time","Late")</f>
        <v>Late</v>
      </c>
      <c r="O264" s="2">
        <f>VLOOKUP(tdata[[#This Row],[Service_Type]],Table2[#All],4,0)</f>
        <v>12000</v>
      </c>
      <c r="P264" s="2">
        <f>tdata[[#This Row],[price_per_kilo]]*tdata[[#This Row],[Weight_KG]]</f>
        <v>106560.00000000001</v>
      </c>
      <c r="Q264" s="2" t="str">
        <f>VLOOKUP(tdata[[#This Row],[id_employee]],temployee[#All],2,0)</f>
        <v>Kevin Sanjaya</v>
      </c>
      <c r="R264" s="2" t="str">
        <f>VLOOKUP(tdata[[#This Row],[id_employee]],temployee[#All],4,0)</f>
        <v>crowd source</v>
      </c>
      <c r="S264" s="9" t="str">
        <f>VLOOKUP(tdata[[#This Row],[id_employee]],temployee[#All],5,0)</f>
        <v>rider</v>
      </c>
    </row>
    <row r="265" spans="2:19" x14ac:dyDescent="0.35">
      <c r="B265" s="8" t="s">
        <v>284</v>
      </c>
      <c r="C265" s="2" t="s">
        <v>1334</v>
      </c>
      <c r="D265" s="5">
        <v>45319</v>
      </c>
      <c r="E265" s="5">
        <v>45319</v>
      </c>
      <c r="F265" s="2" t="s">
        <v>15</v>
      </c>
      <c r="G265" s="2" t="s">
        <v>15</v>
      </c>
      <c r="H265" s="2" t="s">
        <v>1223</v>
      </c>
      <c r="I265" s="2" t="s">
        <v>17</v>
      </c>
      <c r="J265" s="2">
        <v>2.16</v>
      </c>
      <c r="K265" s="2" t="str">
        <f t="shared" si="12"/>
        <v>&lt; 5kg</v>
      </c>
      <c r="L265" s="2">
        <f>tdata[[#This Row],[Received_date]]-tdata[[#This Row],[Shipment_Date]]</f>
        <v>0</v>
      </c>
      <c r="M265" s="2">
        <f>VLOOKUP(tdata[[#This Row],[Service_Type]],Table2[#All],2,0)</f>
        <v>1</v>
      </c>
      <c r="N265" s="2" t="str">
        <f>IF(tdata[[#This Row],[Delivery_Days]]&lt;=tdata[[#This Row],[SLA_Days]],"On Time","Late")</f>
        <v>On Time</v>
      </c>
      <c r="O265" s="2">
        <f>VLOOKUP(tdata[[#This Row],[Service_Type]],Table2[#All],4,0)</f>
        <v>12000</v>
      </c>
      <c r="P265" s="2">
        <f>tdata[[#This Row],[price_per_kilo]]*tdata[[#This Row],[Weight_KG]]</f>
        <v>25920</v>
      </c>
      <c r="Q265" s="2" t="str">
        <f>VLOOKUP(tdata[[#This Row],[id_employee]],temployee[#All],2,0)</f>
        <v>Laila Nuraini</v>
      </c>
      <c r="R265" s="2" t="str">
        <f>VLOOKUP(tdata[[#This Row],[id_employee]],temployee[#All],4,0)</f>
        <v>internal</v>
      </c>
      <c r="S265" s="9" t="str">
        <f>VLOOKUP(tdata[[#This Row],[id_employee]],temployee[#All],5,0)</f>
        <v>rider</v>
      </c>
    </row>
    <row r="266" spans="2:19" x14ac:dyDescent="0.35">
      <c r="B266" s="8" t="s">
        <v>285</v>
      </c>
      <c r="C266" s="2" t="s">
        <v>1335</v>
      </c>
      <c r="D266" s="5">
        <v>45413</v>
      </c>
      <c r="E266" s="5">
        <v>45415</v>
      </c>
      <c r="F266" s="2" t="s">
        <v>20</v>
      </c>
      <c r="G266" s="2" t="s">
        <v>22</v>
      </c>
      <c r="H266" s="2" t="s">
        <v>1223</v>
      </c>
      <c r="I266" s="2" t="s">
        <v>17</v>
      </c>
      <c r="J266" s="2">
        <v>9.19</v>
      </c>
      <c r="K266" s="2" t="str">
        <f t="shared" si="12"/>
        <v>&gt;5kg</v>
      </c>
      <c r="L266" s="2">
        <f>tdata[[#This Row],[Received_date]]-tdata[[#This Row],[Shipment_Date]]</f>
        <v>2</v>
      </c>
      <c r="M266" s="2">
        <f>VLOOKUP(tdata[[#This Row],[Service_Type]],Table2[#All],2,0)</f>
        <v>1</v>
      </c>
      <c r="N266" s="2" t="str">
        <f>IF(tdata[[#This Row],[Delivery_Days]]&lt;=tdata[[#This Row],[SLA_Days]],"On Time","Late")</f>
        <v>Late</v>
      </c>
      <c r="O266" s="2">
        <f>VLOOKUP(tdata[[#This Row],[Service_Type]],Table2[#All],4,0)</f>
        <v>12000</v>
      </c>
      <c r="P266" s="2">
        <f>tdata[[#This Row],[price_per_kilo]]*tdata[[#This Row],[Weight_KG]]</f>
        <v>110280</v>
      </c>
      <c r="Q266" s="2" t="str">
        <f>VLOOKUP(tdata[[#This Row],[id_employee]],temployee[#All],2,0)</f>
        <v>Miko Setiawan</v>
      </c>
      <c r="R266" s="2" t="str">
        <f>VLOOKUP(tdata[[#This Row],[id_employee]],temployee[#All],4,0)</f>
        <v>crowd source</v>
      </c>
      <c r="S266" s="9" t="str">
        <f>VLOOKUP(tdata[[#This Row],[id_employee]],temployee[#All],5,0)</f>
        <v>driver</v>
      </c>
    </row>
    <row r="267" spans="2:19" x14ac:dyDescent="0.35">
      <c r="B267" s="8" t="s">
        <v>286</v>
      </c>
      <c r="C267" s="2" t="s">
        <v>1336</v>
      </c>
      <c r="D267" s="5">
        <v>45612</v>
      </c>
      <c r="E267" s="5">
        <v>45613</v>
      </c>
      <c r="F267" s="2" t="s">
        <v>22</v>
      </c>
      <c r="G267" s="2" t="s">
        <v>15</v>
      </c>
      <c r="H267" s="2" t="s">
        <v>1224</v>
      </c>
      <c r="I267" s="2" t="s">
        <v>13</v>
      </c>
      <c r="J267" s="2">
        <v>1.96</v>
      </c>
      <c r="K267" s="2" t="str">
        <f t="shared" si="12"/>
        <v>&lt; 5kg</v>
      </c>
      <c r="L267" s="2">
        <f>tdata[[#This Row],[Received_date]]-tdata[[#This Row],[Shipment_Date]]</f>
        <v>1</v>
      </c>
      <c r="M267" s="2">
        <f>VLOOKUP(tdata[[#This Row],[Service_Type]],Table2[#All],2,0)</f>
        <v>3</v>
      </c>
      <c r="N267" s="2" t="str">
        <f>IF(tdata[[#This Row],[Delivery_Days]]&lt;=tdata[[#This Row],[SLA_Days]],"On Time","Late")</f>
        <v>On Time</v>
      </c>
      <c r="O267" s="2">
        <f>VLOOKUP(tdata[[#This Row],[Service_Type]],Table2[#All],4,0)</f>
        <v>10000</v>
      </c>
      <c r="P267" s="2">
        <f>tdata[[#This Row],[price_per_kilo]]*tdata[[#This Row],[Weight_KG]]</f>
        <v>19600</v>
      </c>
      <c r="Q267" s="2" t="str">
        <f>VLOOKUP(tdata[[#This Row],[id_employee]],temployee[#All],2,0)</f>
        <v>Nisa Aulia</v>
      </c>
      <c r="R267" s="2" t="str">
        <f>VLOOKUP(tdata[[#This Row],[id_employee]],temployee[#All],4,0)</f>
        <v>internal</v>
      </c>
      <c r="S267" s="9" t="str">
        <f>VLOOKUP(tdata[[#This Row],[id_employee]],temployee[#All],5,0)</f>
        <v>rider</v>
      </c>
    </row>
    <row r="268" spans="2:19" x14ac:dyDescent="0.35">
      <c r="B268" s="8" t="s">
        <v>287</v>
      </c>
      <c r="C268" s="2" t="s">
        <v>1337</v>
      </c>
      <c r="D268" s="5">
        <v>44949</v>
      </c>
      <c r="E268" s="5">
        <v>44957</v>
      </c>
      <c r="F268" s="2" t="s">
        <v>12</v>
      </c>
      <c r="G268" s="2" t="s">
        <v>22</v>
      </c>
      <c r="H268" s="2" t="s">
        <v>1224</v>
      </c>
      <c r="I268" s="2" t="s">
        <v>13</v>
      </c>
      <c r="J268" s="2">
        <v>5.88</v>
      </c>
      <c r="K268" s="2" t="str">
        <f t="shared" si="12"/>
        <v>&gt;5kg</v>
      </c>
      <c r="L268" s="2">
        <f>tdata[[#This Row],[Received_date]]-tdata[[#This Row],[Shipment_Date]]</f>
        <v>8</v>
      </c>
      <c r="M268" s="2">
        <f>VLOOKUP(tdata[[#This Row],[Service_Type]],Table2[#All],2,0)</f>
        <v>3</v>
      </c>
      <c r="N268" s="2" t="str">
        <f>IF(tdata[[#This Row],[Delivery_Days]]&lt;=tdata[[#This Row],[SLA_Days]],"On Time","Late")</f>
        <v>Late</v>
      </c>
      <c r="O268" s="2">
        <f>VLOOKUP(tdata[[#This Row],[Service_Type]],Table2[#All],4,0)</f>
        <v>10000</v>
      </c>
      <c r="P268" s="2">
        <f>tdata[[#This Row],[price_per_kilo]]*tdata[[#This Row],[Weight_KG]]</f>
        <v>58800</v>
      </c>
      <c r="Q268" s="2" t="str">
        <f>VLOOKUP(tdata[[#This Row],[id_employee]],temployee[#All],2,0)</f>
        <v>Oki Pramono</v>
      </c>
      <c r="R268" s="2" t="str">
        <f>VLOOKUP(tdata[[#This Row],[id_employee]],temployee[#All],4,0)</f>
        <v>internal</v>
      </c>
      <c r="S268" s="9" t="str">
        <f>VLOOKUP(tdata[[#This Row],[id_employee]],temployee[#All],5,0)</f>
        <v>driver</v>
      </c>
    </row>
    <row r="269" spans="2:19" x14ac:dyDescent="0.35">
      <c r="B269" s="8" t="s">
        <v>288</v>
      </c>
      <c r="C269" s="2" t="s">
        <v>1338</v>
      </c>
      <c r="D269" s="5">
        <v>45190</v>
      </c>
      <c r="E269" s="5">
        <v>45194</v>
      </c>
      <c r="F269" s="2" t="s">
        <v>30</v>
      </c>
      <c r="G269" s="2" t="s">
        <v>26</v>
      </c>
      <c r="H269" s="2" t="s">
        <v>1224</v>
      </c>
      <c r="I269" s="2" t="s">
        <v>17</v>
      </c>
      <c r="J269" s="2">
        <v>4.26</v>
      </c>
      <c r="K269" s="2" t="str">
        <f t="shared" si="12"/>
        <v>&lt; 5kg</v>
      </c>
      <c r="L269" s="2">
        <f>tdata[[#This Row],[Received_date]]-tdata[[#This Row],[Shipment_Date]]</f>
        <v>4</v>
      </c>
      <c r="M269" s="2">
        <f>VLOOKUP(tdata[[#This Row],[Service_Type]],Table2[#All],2,0)</f>
        <v>3</v>
      </c>
      <c r="N269" s="2" t="str">
        <f>IF(tdata[[#This Row],[Delivery_Days]]&lt;=tdata[[#This Row],[SLA_Days]],"On Time","Late")</f>
        <v>Late</v>
      </c>
      <c r="O269" s="2">
        <f>VLOOKUP(tdata[[#This Row],[Service_Type]],Table2[#All],4,0)</f>
        <v>10000</v>
      </c>
      <c r="P269" s="2">
        <f>tdata[[#This Row],[price_per_kilo]]*tdata[[#This Row],[Weight_KG]]</f>
        <v>42600</v>
      </c>
      <c r="Q269" s="2" t="str">
        <f>VLOOKUP(tdata[[#This Row],[id_employee]],temployee[#All],2,0)</f>
        <v>Putra Mahendra</v>
      </c>
      <c r="R269" s="2" t="str">
        <f>VLOOKUP(tdata[[#This Row],[id_employee]],temployee[#All],4,0)</f>
        <v>crowd source</v>
      </c>
      <c r="S269" s="9" t="str">
        <f>VLOOKUP(tdata[[#This Row],[id_employee]],temployee[#All],5,0)</f>
        <v>rider</v>
      </c>
    </row>
    <row r="270" spans="2:19" x14ac:dyDescent="0.35">
      <c r="B270" s="8" t="s">
        <v>289</v>
      </c>
      <c r="C270" s="2" t="s">
        <v>1339</v>
      </c>
      <c r="D270" s="5">
        <v>45412</v>
      </c>
      <c r="E270" s="5">
        <v>45414</v>
      </c>
      <c r="F270" s="2" t="s">
        <v>32</v>
      </c>
      <c r="G270" s="2" t="s">
        <v>20</v>
      </c>
      <c r="H270" s="2" t="s">
        <v>1223</v>
      </c>
      <c r="I270" s="2" t="s">
        <v>17</v>
      </c>
      <c r="J270" s="2">
        <v>10.11</v>
      </c>
      <c r="K270" s="2" t="str">
        <f t="shared" si="12"/>
        <v>&gt;5kg</v>
      </c>
      <c r="L270" s="2">
        <f>tdata[[#This Row],[Received_date]]-tdata[[#This Row],[Shipment_Date]]</f>
        <v>2</v>
      </c>
      <c r="M270" s="2">
        <f>VLOOKUP(tdata[[#This Row],[Service_Type]],Table2[#All],2,0)</f>
        <v>1</v>
      </c>
      <c r="N270" s="2" t="str">
        <f>IF(tdata[[#This Row],[Delivery_Days]]&lt;=tdata[[#This Row],[SLA_Days]],"On Time","Late")</f>
        <v>Late</v>
      </c>
      <c r="O270" s="2">
        <f>VLOOKUP(tdata[[#This Row],[Service_Type]],Table2[#All],4,0)</f>
        <v>12000</v>
      </c>
      <c r="P270" s="2">
        <f>tdata[[#This Row],[price_per_kilo]]*tdata[[#This Row],[Weight_KG]]</f>
        <v>121320</v>
      </c>
      <c r="Q270" s="2" t="str">
        <f>VLOOKUP(tdata[[#This Row],[id_employee]],temployee[#All],2,0)</f>
        <v>Qolbi Ramadhani</v>
      </c>
      <c r="R270" s="2" t="str">
        <f>VLOOKUP(tdata[[#This Row],[id_employee]],temployee[#All],4,0)</f>
        <v>internal</v>
      </c>
      <c r="S270" s="9" t="str">
        <f>VLOOKUP(tdata[[#This Row],[id_employee]],temployee[#All],5,0)</f>
        <v>rider</v>
      </c>
    </row>
    <row r="271" spans="2:19" x14ac:dyDescent="0.35">
      <c r="B271" s="8" t="s">
        <v>290</v>
      </c>
      <c r="C271" s="2" t="s">
        <v>1340</v>
      </c>
      <c r="D271" s="5">
        <v>45291</v>
      </c>
      <c r="E271" s="5">
        <v>45294</v>
      </c>
      <c r="F271" s="2" t="s">
        <v>16</v>
      </c>
      <c r="G271" s="2" t="s">
        <v>30</v>
      </c>
      <c r="H271" s="2" t="s">
        <v>23</v>
      </c>
      <c r="I271" s="2" t="s">
        <v>17</v>
      </c>
      <c r="J271" s="2">
        <v>10.36</v>
      </c>
      <c r="K271" s="2" t="str">
        <f t="shared" si="12"/>
        <v>&gt;5kg</v>
      </c>
      <c r="L271" s="2">
        <f>tdata[[#This Row],[Received_date]]-tdata[[#This Row],[Shipment_Date]]</f>
        <v>3</v>
      </c>
      <c r="M271" s="2">
        <f>VLOOKUP(tdata[[#This Row],[Service_Type]],Table2[#All],2,0)</f>
        <v>5</v>
      </c>
      <c r="N271" s="2" t="str">
        <f>IF(tdata[[#This Row],[Delivery_Days]]&lt;=tdata[[#This Row],[SLA_Days]],"On Time","Late")</f>
        <v>On Time</v>
      </c>
      <c r="O271" s="2">
        <f>VLOOKUP(tdata[[#This Row],[Service_Type]],Table2[#All],4,0)</f>
        <v>9000</v>
      </c>
      <c r="P271" s="2">
        <f>tdata[[#This Row],[price_per_kilo]]*tdata[[#This Row],[Weight_KG]]</f>
        <v>93240</v>
      </c>
      <c r="Q271" s="2" t="str">
        <f>VLOOKUP(tdata[[#This Row],[id_employee]],temployee[#All],2,0)</f>
        <v>Reza Firmansyah</v>
      </c>
      <c r="R271" s="2" t="str">
        <f>VLOOKUP(tdata[[#This Row],[id_employee]],temployee[#All],4,0)</f>
        <v>crowd source</v>
      </c>
      <c r="S271" s="9" t="str">
        <f>VLOOKUP(tdata[[#This Row],[id_employee]],temployee[#All],5,0)</f>
        <v>driver</v>
      </c>
    </row>
    <row r="272" spans="2:19" x14ac:dyDescent="0.35">
      <c r="B272" s="8" t="s">
        <v>291</v>
      </c>
      <c r="C272" s="2" t="s">
        <v>1341</v>
      </c>
      <c r="D272" s="5">
        <v>45607</v>
      </c>
      <c r="E272" s="5">
        <f>D272+4</f>
        <v>45611</v>
      </c>
      <c r="F272" s="2" t="s">
        <v>26</v>
      </c>
      <c r="G272" s="2" t="s">
        <v>15</v>
      </c>
      <c r="H272" s="2" t="s">
        <v>1223</v>
      </c>
      <c r="I272" s="2" t="s">
        <v>13</v>
      </c>
      <c r="J272" s="2">
        <v>5.56</v>
      </c>
      <c r="K272" s="2" t="str">
        <f t="shared" si="12"/>
        <v>&gt;5kg</v>
      </c>
      <c r="L272" s="2">
        <f>tdata[[#This Row],[Received_date]]-tdata[[#This Row],[Shipment_Date]]</f>
        <v>4</v>
      </c>
      <c r="M272" s="2">
        <f>VLOOKUP(tdata[[#This Row],[Service_Type]],Table2[#All],2,0)</f>
        <v>1</v>
      </c>
      <c r="N272" s="2" t="str">
        <f>IF(tdata[[#This Row],[Delivery_Days]]&lt;=tdata[[#This Row],[SLA_Days]],"On Time","Late")</f>
        <v>Late</v>
      </c>
      <c r="O272" s="2">
        <f>VLOOKUP(tdata[[#This Row],[Service_Type]],Table2[#All],4,0)</f>
        <v>12000</v>
      </c>
      <c r="P272" s="2">
        <f>tdata[[#This Row],[price_per_kilo]]*tdata[[#This Row],[Weight_KG]]</f>
        <v>66720</v>
      </c>
      <c r="Q272" s="2" t="str">
        <f>VLOOKUP(tdata[[#This Row],[id_employee]],temployee[#All],2,0)</f>
        <v>Siska Amelia</v>
      </c>
      <c r="R272" s="2" t="str">
        <f>VLOOKUP(tdata[[#This Row],[id_employee]],temployee[#All],4,0)</f>
        <v>internal</v>
      </c>
      <c r="S272" s="9" t="str">
        <f>VLOOKUP(tdata[[#This Row],[id_employee]],temployee[#All],5,0)</f>
        <v>rider</v>
      </c>
    </row>
    <row r="273" spans="2:19" x14ac:dyDescent="0.35">
      <c r="B273" s="8" t="s">
        <v>292</v>
      </c>
      <c r="C273" s="2" t="s">
        <v>1342</v>
      </c>
      <c r="D273" s="5">
        <v>45057</v>
      </c>
      <c r="E273" s="5">
        <v>45057</v>
      </c>
      <c r="F273" s="2" t="s">
        <v>49</v>
      </c>
      <c r="G273" s="2" t="s">
        <v>30</v>
      </c>
      <c r="H273" s="2" t="s">
        <v>23</v>
      </c>
      <c r="I273" s="2" t="s">
        <v>17</v>
      </c>
      <c r="J273" s="2">
        <v>8.57</v>
      </c>
      <c r="K273" s="2" t="str">
        <f t="shared" si="12"/>
        <v>&gt;5kg</v>
      </c>
      <c r="L273" s="2">
        <f>tdata[[#This Row],[Received_date]]-tdata[[#This Row],[Shipment_Date]]</f>
        <v>0</v>
      </c>
      <c r="M273" s="2">
        <f>VLOOKUP(tdata[[#This Row],[Service_Type]],Table2[#All],2,0)</f>
        <v>5</v>
      </c>
      <c r="N273" s="2" t="str">
        <f>IF(tdata[[#This Row],[Delivery_Days]]&lt;=tdata[[#This Row],[SLA_Days]],"On Time","Late")</f>
        <v>On Time</v>
      </c>
      <c r="O273" s="2">
        <f>VLOOKUP(tdata[[#This Row],[Service_Type]],Table2[#All],4,0)</f>
        <v>9000</v>
      </c>
      <c r="P273" s="2">
        <f>tdata[[#This Row],[price_per_kilo]]*tdata[[#This Row],[Weight_KG]]</f>
        <v>77130</v>
      </c>
      <c r="Q273" s="2" t="str">
        <f>VLOOKUP(tdata[[#This Row],[id_employee]],temployee[#All],2,0)</f>
        <v>Tri Wibowo</v>
      </c>
      <c r="R273" s="2" t="str">
        <f>VLOOKUP(tdata[[#This Row],[id_employee]],temployee[#All],4,0)</f>
        <v>internal</v>
      </c>
      <c r="S273" s="9" t="str">
        <f>VLOOKUP(tdata[[#This Row],[id_employee]],temployee[#All],5,0)</f>
        <v>driver</v>
      </c>
    </row>
    <row r="274" spans="2:19" x14ac:dyDescent="0.35">
      <c r="B274" s="8" t="s">
        <v>293</v>
      </c>
      <c r="C274" s="2" t="s">
        <v>1343</v>
      </c>
      <c r="D274" s="5">
        <v>44999</v>
      </c>
      <c r="E274" s="5">
        <v>44999</v>
      </c>
      <c r="F274" s="2" t="s">
        <v>11</v>
      </c>
      <c r="G274" s="2" t="s">
        <v>12</v>
      </c>
      <c r="H274" s="2" t="s">
        <v>1223</v>
      </c>
      <c r="I274" s="2" t="s">
        <v>13</v>
      </c>
      <c r="J274" s="2">
        <v>3.24</v>
      </c>
      <c r="K274" s="2" t="str">
        <f t="shared" si="12"/>
        <v>&lt; 5kg</v>
      </c>
      <c r="L274" s="2">
        <f>tdata[[#This Row],[Received_date]]-tdata[[#This Row],[Shipment_Date]]</f>
        <v>0</v>
      </c>
      <c r="M274" s="2">
        <f>VLOOKUP(tdata[[#This Row],[Service_Type]],Table2[#All],2,0)</f>
        <v>1</v>
      </c>
      <c r="N274" s="2" t="str">
        <f>IF(tdata[[#This Row],[Delivery_Days]]&lt;=tdata[[#This Row],[SLA_Days]],"On Time","Late")</f>
        <v>On Time</v>
      </c>
      <c r="O274" s="2">
        <f>VLOOKUP(tdata[[#This Row],[Service_Type]],Table2[#All],4,0)</f>
        <v>12000</v>
      </c>
      <c r="P274" s="2">
        <f>tdata[[#This Row],[price_per_kilo]]*tdata[[#This Row],[Weight_KG]]</f>
        <v>38880</v>
      </c>
      <c r="Q274" s="2" t="str">
        <f>VLOOKUP(tdata[[#This Row],[id_employee]],temployee[#All],2,0)</f>
        <v>Ubay Prakoso</v>
      </c>
      <c r="R274" s="2" t="str">
        <f>VLOOKUP(tdata[[#This Row],[id_employee]],temployee[#All],4,0)</f>
        <v>crowd source</v>
      </c>
      <c r="S274" s="9" t="str">
        <f>VLOOKUP(tdata[[#This Row],[id_employee]],temployee[#All],5,0)</f>
        <v>rider</v>
      </c>
    </row>
    <row r="275" spans="2:19" x14ac:dyDescent="0.35">
      <c r="B275" s="8" t="s">
        <v>294</v>
      </c>
      <c r="C275" s="2" t="s">
        <v>1344</v>
      </c>
      <c r="D275" s="5">
        <v>45496</v>
      </c>
      <c r="E275" s="5">
        <f>D275+4</f>
        <v>45500</v>
      </c>
      <c r="F275" s="2" t="s">
        <v>15</v>
      </c>
      <c r="G275" s="2" t="s">
        <v>20</v>
      </c>
      <c r="H275" s="2" t="s">
        <v>1224</v>
      </c>
      <c r="I275" s="2" t="s">
        <v>17</v>
      </c>
      <c r="J275" s="2">
        <v>5.4</v>
      </c>
      <c r="K275" s="2" t="str">
        <f t="shared" si="12"/>
        <v>&gt;5kg</v>
      </c>
      <c r="L275" s="2">
        <f>tdata[[#This Row],[Received_date]]-tdata[[#This Row],[Shipment_Date]]</f>
        <v>4</v>
      </c>
      <c r="M275" s="2">
        <f>VLOOKUP(tdata[[#This Row],[Service_Type]],Table2[#All],2,0)</f>
        <v>3</v>
      </c>
      <c r="N275" s="2" t="str">
        <f>IF(tdata[[#This Row],[Delivery_Days]]&lt;=tdata[[#This Row],[SLA_Days]],"On Time","Late")</f>
        <v>Late</v>
      </c>
      <c r="O275" s="2">
        <f>VLOOKUP(tdata[[#This Row],[Service_Type]],Table2[#All],4,0)</f>
        <v>10000</v>
      </c>
      <c r="P275" s="2">
        <f>tdata[[#This Row],[price_per_kilo]]*tdata[[#This Row],[Weight_KG]]</f>
        <v>54000</v>
      </c>
      <c r="Q275" s="2" t="str">
        <f>VLOOKUP(tdata[[#This Row],[id_employee]],temployee[#All],2,0)</f>
        <v>Vania Putri</v>
      </c>
      <c r="R275" s="2" t="str">
        <f>VLOOKUP(tdata[[#This Row],[id_employee]],temployee[#All],4,0)</f>
        <v>internal</v>
      </c>
      <c r="S275" s="9" t="str">
        <f>VLOOKUP(tdata[[#This Row],[id_employee]],temployee[#All],5,0)</f>
        <v>rider</v>
      </c>
    </row>
    <row r="276" spans="2:19" x14ac:dyDescent="0.35">
      <c r="B276" s="8" t="s">
        <v>295</v>
      </c>
      <c r="C276" s="2" t="s">
        <v>1345</v>
      </c>
      <c r="D276" s="5">
        <v>45522</v>
      </c>
      <c r="E276" s="5">
        <v>45524</v>
      </c>
      <c r="F276" s="2" t="s">
        <v>20</v>
      </c>
      <c r="G276" s="2" t="s">
        <v>22</v>
      </c>
      <c r="H276" s="2" t="s">
        <v>1224</v>
      </c>
      <c r="I276" s="2" t="s">
        <v>13</v>
      </c>
      <c r="J276" s="2">
        <v>9.36</v>
      </c>
      <c r="K276" s="2" t="str">
        <f t="shared" si="12"/>
        <v>&gt;5kg</v>
      </c>
      <c r="L276" s="2">
        <f>tdata[[#This Row],[Received_date]]-tdata[[#This Row],[Shipment_Date]]</f>
        <v>2</v>
      </c>
      <c r="M276" s="2">
        <f>VLOOKUP(tdata[[#This Row],[Service_Type]],Table2[#All],2,0)</f>
        <v>3</v>
      </c>
      <c r="N276" s="2" t="str">
        <f>IF(tdata[[#This Row],[Delivery_Days]]&lt;=tdata[[#This Row],[SLA_Days]],"On Time","Late")</f>
        <v>On Time</v>
      </c>
      <c r="O276" s="2">
        <f>VLOOKUP(tdata[[#This Row],[Service_Type]],Table2[#All],4,0)</f>
        <v>10000</v>
      </c>
      <c r="P276" s="2">
        <f>tdata[[#This Row],[price_per_kilo]]*tdata[[#This Row],[Weight_KG]]</f>
        <v>93600</v>
      </c>
      <c r="Q276" s="2" t="str">
        <f>VLOOKUP(tdata[[#This Row],[id_employee]],temployee[#All],2,0)</f>
        <v>Wira Nugraha</v>
      </c>
      <c r="R276" s="2" t="str">
        <f>VLOOKUP(tdata[[#This Row],[id_employee]],temployee[#All],4,0)</f>
        <v>internal</v>
      </c>
      <c r="S276" s="9" t="str">
        <f>VLOOKUP(tdata[[#This Row],[id_employee]],temployee[#All],5,0)</f>
        <v>driver</v>
      </c>
    </row>
    <row r="277" spans="2:19" x14ac:dyDescent="0.35">
      <c r="B277" s="8" t="s">
        <v>296</v>
      </c>
      <c r="C277" s="2" t="s">
        <v>1346</v>
      </c>
      <c r="D277" s="5">
        <v>45468</v>
      </c>
      <c r="E277" s="5">
        <v>45469</v>
      </c>
      <c r="F277" s="2" t="s">
        <v>22</v>
      </c>
      <c r="G277" s="2" t="s">
        <v>26</v>
      </c>
      <c r="H277" s="2" t="s">
        <v>1224</v>
      </c>
      <c r="I277" s="2" t="s">
        <v>13</v>
      </c>
      <c r="J277" s="2">
        <v>6.88</v>
      </c>
      <c r="K277" s="2" t="str">
        <f t="shared" si="12"/>
        <v>&gt;5kg</v>
      </c>
      <c r="L277" s="2">
        <f>tdata[[#This Row],[Received_date]]-tdata[[#This Row],[Shipment_Date]]</f>
        <v>1</v>
      </c>
      <c r="M277" s="2">
        <f>VLOOKUP(tdata[[#This Row],[Service_Type]],Table2[#All],2,0)</f>
        <v>3</v>
      </c>
      <c r="N277" s="2" t="str">
        <f>IF(tdata[[#This Row],[Delivery_Days]]&lt;=tdata[[#This Row],[SLA_Days]],"On Time","Late")</f>
        <v>On Time</v>
      </c>
      <c r="O277" s="2">
        <f>VLOOKUP(tdata[[#This Row],[Service_Type]],Table2[#All],4,0)</f>
        <v>10000</v>
      </c>
      <c r="P277" s="2">
        <f>tdata[[#This Row],[price_per_kilo]]*tdata[[#This Row],[Weight_KG]]</f>
        <v>68800</v>
      </c>
      <c r="Q277" s="2" t="str">
        <f>VLOOKUP(tdata[[#This Row],[id_employee]],temployee[#All],2,0)</f>
        <v>Xaverius Adi</v>
      </c>
      <c r="R277" s="2" t="str">
        <f>VLOOKUP(tdata[[#This Row],[id_employee]],temployee[#All],4,0)</f>
        <v>crowd source</v>
      </c>
      <c r="S277" s="9" t="str">
        <f>VLOOKUP(tdata[[#This Row],[id_employee]],temployee[#All],5,0)</f>
        <v>driver</v>
      </c>
    </row>
    <row r="278" spans="2:19" x14ac:dyDescent="0.35">
      <c r="B278" s="8" t="s">
        <v>297</v>
      </c>
      <c r="C278" s="2" t="s">
        <v>1347</v>
      </c>
      <c r="D278" s="5">
        <v>45590</v>
      </c>
      <c r="E278" s="5">
        <v>45592</v>
      </c>
      <c r="F278" s="2" t="s">
        <v>12</v>
      </c>
      <c r="G278" s="2" t="s">
        <v>30</v>
      </c>
      <c r="H278" s="2" t="s">
        <v>23</v>
      </c>
      <c r="I278" s="2" t="s">
        <v>17</v>
      </c>
      <c r="J278" s="2">
        <v>4.2</v>
      </c>
      <c r="K278" s="2" t="str">
        <f t="shared" si="12"/>
        <v>&lt; 5kg</v>
      </c>
      <c r="L278" s="2">
        <f>tdata[[#This Row],[Received_date]]-tdata[[#This Row],[Shipment_Date]]</f>
        <v>2</v>
      </c>
      <c r="M278" s="2">
        <f>VLOOKUP(tdata[[#This Row],[Service_Type]],Table2[#All],2,0)</f>
        <v>5</v>
      </c>
      <c r="N278" s="2" t="str">
        <f>IF(tdata[[#This Row],[Delivery_Days]]&lt;=tdata[[#This Row],[SLA_Days]],"On Time","Late")</f>
        <v>On Time</v>
      </c>
      <c r="O278" s="2">
        <f>VLOOKUP(tdata[[#This Row],[Service_Type]],Table2[#All],4,0)</f>
        <v>9000</v>
      </c>
      <c r="P278" s="2">
        <f>tdata[[#This Row],[price_per_kilo]]*tdata[[#This Row],[Weight_KG]]</f>
        <v>37800</v>
      </c>
      <c r="Q278" s="2" t="str">
        <f>VLOOKUP(tdata[[#This Row],[id_employee]],temployee[#All],2,0)</f>
        <v>Yuliana Kartini</v>
      </c>
      <c r="R278" s="2" t="str">
        <f>VLOOKUP(tdata[[#This Row],[id_employee]],temployee[#All],4,0)</f>
        <v>internal</v>
      </c>
      <c r="S278" s="9" t="str">
        <f>VLOOKUP(tdata[[#This Row],[id_employee]],temployee[#All],5,0)</f>
        <v>rider</v>
      </c>
    </row>
    <row r="279" spans="2:19" x14ac:dyDescent="0.35">
      <c r="B279" s="8" t="s">
        <v>298</v>
      </c>
      <c r="C279" s="2" t="s">
        <v>1348</v>
      </c>
      <c r="D279" s="5">
        <v>44962</v>
      </c>
      <c r="E279" s="5">
        <v>44966</v>
      </c>
      <c r="F279" s="2" t="s">
        <v>30</v>
      </c>
      <c r="G279" s="2" t="s">
        <v>49</v>
      </c>
      <c r="H279" s="2" t="s">
        <v>1223</v>
      </c>
      <c r="I279" s="2" t="s">
        <v>17</v>
      </c>
      <c r="J279" s="2">
        <v>9.39</v>
      </c>
      <c r="K279" s="2" t="str">
        <f t="shared" si="12"/>
        <v>&gt;5kg</v>
      </c>
      <c r="L279" s="2">
        <f>tdata[[#This Row],[Received_date]]-tdata[[#This Row],[Shipment_Date]]</f>
        <v>4</v>
      </c>
      <c r="M279" s="2">
        <f>VLOOKUP(tdata[[#This Row],[Service_Type]],Table2[#All],2,0)</f>
        <v>1</v>
      </c>
      <c r="N279" s="2" t="str">
        <f>IF(tdata[[#This Row],[Delivery_Days]]&lt;=tdata[[#This Row],[SLA_Days]],"On Time","Late")</f>
        <v>Late</v>
      </c>
      <c r="O279" s="2">
        <f>VLOOKUP(tdata[[#This Row],[Service_Type]],Table2[#All],4,0)</f>
        <v>12000</v>
      </c>
      <c r="P279" s="2">
        <f>tdata[[#This Row],[price_per_kilo]]*tdata[[#This Row],[Weight_KG]]</f>
        <v>112680</v>
      </c>
      <c r="Q279" s="2" t="str">
        <f>VLOOKUP(tdata[[#This Row],[id_employee]],temployee[#All],2,0)</f>
        <v>Zaki Alamsyah</v>
      </c>
      <c r="R279" s="2" t="str">
        <f>VLOOKUP(tdata[[#This Row],[id_employee]],temployee[#All],4,0)</f>
        <v>internal</v>
      </c>
      <c r="S279" s="9" t="str">
        <f>VLOOKUP(tdata[[#This Row],[id_employee]],temployee[#All],5,0)</f>
        <v>rider</v>
      </c>
    </row>
    <row r="280" spans="2:19" x14ac:dyDescent="0.35">
      <c r="B280" s="8" t="s">
        <v>299</v>
      </c>
      <c r="C280" s="2" t="s">
        <v>1349</v>
      </c>
      <c r="D280" s="5">
        <v>45103</v>
      </c>
      <c r="E280" s="5">
        <v>45105</v>
      </c>
      <c r="F280" s="2" t="s">
        <v>32</v>
      </c>
      <c r="G280" s="2" t="s">
        <v>30</v>
      </c>
      <c r="H280" s="2" t="s">
        <v>23</v>
      </c>
      <c r="I280" s="2" t="s">
        <v>13</v>
      </c>
      <c r="J280" s="2">
        <v>8.41</v>
      </c>
      <c r="K280" s="2" t="str">
        <f t="shared" si="12"/>
        <v>&gt;5kg</v>
      </c>
      <c r="L280" s="2">
        <f>tdata[[#This Row],[Received_date]]-tdata[[#This Row],[Shipment_Date]]</f>
        <v>2</v>
      </c>
      <c r="M280" s="2">
        <f>VLOOKUP(tdata[[#This Row],[Service_Type]],Table2[#All],2,0)</f>
        <v>5</v>
      </c>
      <c r="N280" s="2" t="str">
        <f>IF(tdata[[#This Row],[Delivery_Days]]&lt;=tdata[[#This Row],[SLA_Days]],"On Time","Late")</f>
        <v>On Time</v>
      </c>
      <c r="O280" s="2">
        <f>VLOOKUP(tdata[[#This Row],[Service_Type]],Table2[#All],4,0)</f>
        <v>9000</v>
      </c>
      <c r="P280" s="2">
        <f>tdata[[#This Row],[price_per_kilo]]*tdata[[#This Row],[Weight_KG]]</f>
        <v>75690</v>
      </c>
      <c r="Q280" s="2" t="str">
        <f>VLOOKUP(tdata[[#This Row],[id_employee]],temployee[#All],2,0)</f>
        <v>Arief Setyawan</v>
      </c>
      <c r="R280" s="2" t="str">
        <f>VLOOKUP(tdata[[#This Row],[id_employee]],temployee[#All],4,0)</f>
        <v>crowd source</v>
      </c>
      <c r="S280" s="9" t="str">
        <f>VLOOKUP(tdata[[#This Row],[id_employee]],temployee[#All],5,0)</f>
        <v>driver</v>
      </c>
    </row>
    <row r="281" spans="2:19" x14ac:dyDescent="0.35">
      <c r="B281" s="8" t="s">
        <v>300</v>
      </c>
      <c r="C281" s="2" t="s">
        <v>1350</v>
      </c>
      <c r="D281" s="5">
        <v>45146</v>
      </c>
      <c r="E281" s="5">
        <v>45147</v>
      </c>
      <c r="F281" s="2" t="s">
        <v>16</v>
      </c>
      <c r="G281" s="2" t="s">
        <v>20</v>
      </c>
      <c r="H281" s="2" t="s">
        <v>1224</v>
      </c>
      <c r="I281" s="2" t="s">
        <v>13</v>
      </c>
      <c r="J281" s="2">
        <v>1.54</v>
      </c>
      <c r="K281" s="2" t="str">
        <f t="shared" si="12"/>
        <v>&lt; 5kg</v>
      </c>
      <c r="L281" s="2">
        <f>tdata[[#This Row],[Received_date]]-tdata[[#This Row],[Shipment_Date]]</f>
        <v>1</v>
      </c>
      <c r="M281" s="2">
        <f>VLOOKUP(tdata[[#This Row],[Service_Type]],Table2[#All],2,0)</f>
        <v>3</v>
      </c>
      <c r="N281" s="2" t="str">
        <f>IF(tdata[[#This Row],[Delivery_Days]]&lt;=tdata[[#This Row],[SLA_Days]],"On Time","Late")</f>
        <v>On Time</v>
      </c>
      <c r="O281" s="2">
        <f>VLOOKUP(tdata[[#This Row],[Service_Type]],Table2[#All],4,0)</f>
        <v>10000</v>
      </c>
      <c r="P281" s="2">
        <f>tdata[[#This Row],[price_per_kilo]]*tdata[[#This Row],[Weight_KG]]</f>
        <v>15400</v>
      </c>
      <c r="Q281" s="2" t="str">
        <f>VLOOKUP(tdata[[#This Row],[id_employee]],temployee[#All],2,0)</f>
        <v>Bunga Cahyani</v>
      </c>
      <c r="R281" s="2" t="str">
        <f>VLOOKUP(tdata[[#This Row],[id_employee]],temployee[#All],4,0)</f>
        <v>internal</v>
      </c>
      <c r="S281" s="9" t="str">
        <f>VLOOKUP(tdata[[#This Row],[id_employee]],temployee[#All],5,0)</f>
        <v>rider</v>
      </c>
    </row>
    <row r="282" spans="2:19" x14ac:dyDescent="0.35">
      <c r="B282" s="8" t="s">
        <v>301</v>
      </c>
      <c r="C282" s="2" t="s">
        <v>1351</v>
      </c>
      <c r="D282" s="5">
        <v>45583</v>
      </c>
      <c r="E282" s="5">
        <v>45583</v>
      </c>
      <c r="F282" s="2" t="s">
        <v>26</v>
      </c>
      <c r="G282" s="2" t="s">
        <v>15</v>
      </c>
      <c r="H282" s="2" t="s">
        <v>1223</v>
      </c>
      <c r="I282" s="2" t="s">
        <v>13</v>
      </c>
      <c r="J282" s="2">
        <v>9.09</v>
      </c>
      <c r="K282" s="2" t="str">
        <f t="shared" si="12"/>
        <v>&gt;5kg</v>
      </c>
      <c r="L282" s="2">
        <f>tdata[[#This Row],[Received_date]]-tdata[[#This Row],[Shipment_Date]]</f>
        <v>0</v>
      </c>
      <c r="M282" s="2">
        <f>VLOOKUP(tdata[[#This Row],[Service_Type]],Table2[#All],2,0)</f>
        <v>1</v>
      </c>
      <c r="N282" s="2" t="str">
        <f>IF(tdata[[#This Row],[Delivery_Days]]&lt;=tdata[[#This Row],[SLA_Days]],"On Time","Late")</f>
        <v>On Time</v>
      </c>
      <c r="O282" s="2">
        <f>VLOOKUP(tdata[[#This Row],[Service_Type]],Table2[#All],4,0)</f>
        <v>12000</v>
      </c>
      <c r="P282" s="2">
        <f>tdata[[#This Row],[price_per_kilo]]*tdata[[#This Row],[Weight_KG]]</f>
        <v>109080</v>
      </c>
      <c r="Q282" s="2" t="str">
        <f>VLOOKUP(tdata[[#This Row],[id_employee]],temployee[#All],2,0)</f>
        <v>Cahyo Prabowo</v>
      </c>
      <c r="R282" s="2" t="str">
        <f>VLOOKUP(tdata[[#This Row],[id_employee]],temployee[#All],4,0)</f>
        <v>internal</v>
      </c>
      <c r="S282" s="9" t="str">
        <f>VLOOKUP(tdata[[#This Row],[id_employee]],temployee[#All],5,0)</f>
        <v>driver</v>
      </c>
    </row>
    <row r="283" spans="2:19" x14ac:dyDescent="0.35">
      <c r="B283" s="8" t="s">
        <v>302</v>
      </c>
      <c r="C283" s="2" t="s">
        <v>1352</v>
      </c>
      <c r="D283" s="5">
        <v>45304</v>
      </c>
      <c r="E283" s="5">
        <f t="shared" ref="E283:E284" si="13">D283+4</f>
        <v>45308</v>
      </c>
      <c r="F283" s="2" t="s">
        <v>49</v>
      </c>
      <c r="G283" s="2" t="s">
        <v>22</v>
      </c>
      <c r="H283" s="2" t="s">
        <v>1224</v>
      </c>
      <c r="I283" s="2" t="s">
        <v>13</v>
      </c>
      <c r="J283" s="2">
        <v>6.19</v>
      </c>
      <c r="K283" s="2" t="str">
        <f t="shared" si="12"/>
        <v>&gt;5kg</v>
      </c>
      <c r="L283" s="2">
        <f>tdata[[#This Row],[Received_date]]-tdata[[#This Row],[Shipment_Date]]</f>
        <v>4</v>
      </c>
      <c r="M283" s="2">
        <f>VLOOKUP(tdata[[#This Row],[Service_Type]],Table2[#All],2,0)</f>
        <v>3</v>
      </c>
      <c r="N283" s="2" t="str">
        <f>IF(tdata[[#This Row],[Delivery_Days]]&lt;=tdata[[#This Row],[SLA_Days]],"On Time","Late")</f>
        <v>Late</v>
      </c>
      <c r="O283" s="2">
        <f>VLOOKUP(tdata[[#This Row],[Service_Type]],Table2[#All],4,0)</f>
        <v>10000</v>
      </c>
      <c r="P283" s="2">
        <f>tdata[[#This Row],[price_per_kilo]]*tdata[[#This Row],[Weight_KG]]</f>
        <v>61900.000000000007</v>
      </c>
      <c r="Q283" s="2" t="str">
        <f>VLOOKUP(tdata[[#This Row],[id_employee]],temployee[#All],2,0)</f>
        <v>Diah Permata</v>
      </c>
      <c r="R283" s="2" t="str">
        <f>VLOOKUP(tdata[[#This Row],[id_employee]],temployee[#All],4,0)</f>
        <v>crowd source</v>
      </c>
      <c r="S283" s="9" t="str">
        <f>VLOOKUP(tdata[[#This Row],[id_employee]],temployee[#All],5,0)</f>
        <v>rider</v>
      </c>
    </row>
    <row r="284" spans="2:19" x14ac:dyDescent="0.35">
      <c r="B284" s="8" t="s">
        <v>303</v>
      </c>
      <c r="C284" s="2" t="s">
        <v>1353</v>
      </c>
      <c r="D284" s="5">
        <v>45476</v>
      </c>
      <c r="E284" s="5">
        <f t="shared" si="13"/>
        <v>45480</v>
      </c>
      <c r="F284" s="2" t="s">
        <v>11</v>
      </c>
      <c r="G284" s="2" t="s">
        <v>20</v>
      </c>
      <c r="H284" s="2" t="s">
        <v>23</v>
      </c>
      <c r="I284" s="2" t="s">
        <v>13</v>
      </c>
      <c r="J284" s="2">
        <v>6.27</v>
      </c>
      <c r="K284" s="2" t="str">
        <f t="shared" si="12"/>
        <v>&gt;5kg</v>
      </c>
      <c r="L284" s="2">
        <f>tdata[[#This Row],[Received_date]]-tdata[[#This Row],[Shipment_Date]]</f>
        <v>4</v>
      </c>
      <c r="M284" s="2">
        <f>VLOOKUP(tdata[[#This Row],[Service_Type]],Table2[#All],2,0)</f>
        <v>5</v>
      </c>
      <c r="N284" s="2" t="str">
        <f>IF(tdata[[#This Row],[Delivery_Days]]&lt;=tdata[[#This Row],[SLA_Days]],"On Time","Late")</f>
        <v>On Time</v>
      </c>
      <c r="O284" s="2">
        <f>VLOOKUP(tdata[[#This Row],[Service_Type]],Table2[#All],4,0)</f>
        <v>9000</v>
      </c>
      <c r="P284" s="2">
        <f>tdata[[#This Row],[price_per_kilo]]*tdata[[#This Row],[Weight_KG]]</f>
        <v>56429.999999999993</v>
      </c>
      <c r="Q284" s="2" t="str">
        <f>VLOOKUP(tdata[[#This Row],[id_employee]],temployee[#All],2,0)</f>
        <v>Evania Putri</v>
      </c>
      <c r="R284" s="2" t="str">
        <f>VLOOKUP(tdata[[#This Row],[id_employee]],temployee[#All],4,0)</f>
        <v>internal</v>
      </c>
      <c r="S284" s="9" t="str">
        <f>VLOOKUP(tdata[[#This Row],[id_employee]],temployee[#All],5,0)</f>
        <v>rider</v>
      </c>
    </row>
    <row r="285" spans="2:19" x14ac:dyDescent="0.35">
      <c r="B285" s="8" t="s">
        <v>304</v>
      </c>
      <c r="C285" s="2" t="s">
        <v>1354</v>
      </c>
      <c r="D285" s="5">
        <v>45053</v>
      </c>
      <c r="E285" s="5">
        <v>45059</v>
      </c>
      <c r="F285" s="2" t="s">
        <v>15</v>
      </c>
      <c r="G285" s="2" t="s">
        <v>12</v>
      </c>
      <c r="H285" s="2" t="s">
        <v>1224</v>
      </c>
      <c r="I285" s="2" t="s">
        <v>13</v>
      </c>
      <c r="J285" s="2">
        <v>10.36</v>
      </c>
      <c r="K285" s="2" t="str">
        <f t="shared" si="12"/>
        <v>&gt;5kg</v>
      </c>
      <c r="L285" s="2">
        <f>tdata[[#This Row],[Received_date]]-tdata[[#This Row],[Shipment_Date]]</f>
        <v>6</v>
      </c>
      <c r="M285" s="2">
        <f>VLOOKUP(tdata[[#This Row],[Service_Type]],Table2[#All],2,0)</f>
        <v>3</v>
      </c>
      <c r="N285" s="2" t="str">
        <f>IF(tdata[[#This Row],[Delivery_Days]]&lt;=tdata[[#This Row],[SLA_Days]],"On Time","Late")</f>
        <v>Late</v>
      </c>
      <c r="O285" s="2">
        <f>VLOOKUP(tdata[[#This Row],[Service_Type]],Table2[#All],4,0)</f>
        <v>10000</v>
      </c>
      <c r="P285" s="2">
        <f>tdata[[#This Row],[price_per_kilo]]*tdata[[#This Row],[Weight_KG]]</f>
        <v>103600</v>
      </c>
      <c r="Q285" s="2" t="str">
        <f>VLOOKUP(tdata[[#This Row],[id_employee]],temployee[#All],2,0)</f>
        <v>Fikri Ramadhan</v>
      </c>
      <c r="R285" s="2" t="str">
        <f>VLOOKUP(tdata[[#This Row],[id_employee]],temployee[#All],4,0)</f>
        <v>crowd source</v>
      </c>
      <c r="S285" s="9" t="str">
        <f>VLOOKUP(tdata[[#This Row],[id_employee]],temployee[#All],5,0)</f>
        <v>driver</v>
      </c>
    </row>
    <row r="286" spans="2:19" x14ac:dyDescent="0.35">
      <c r="B286" s="8" t="s">
        <v>305</v>
      </c>
      <c r="C286" s="2" t="s">
        <v>1355</v>
      </c>
      <c r="D286" s="5">
        <v>45585</v>
      </c>
      <c r="E286" s="5">
        <v>45593</v>
      </c>
      <c r="F286" s="2" t="s">
        <v>20</v>
      </c>
      <c r="G286" s="2" t="s">
        <v>49</v>
      </c>
      <c r="H286" s="2" t="s">
        <v>1224</v>
      </c>
      <c r="I286" s="2" t="s">
        <v>13</v>
      </c>
      <c r="J286" s="2">
        <v>9.5399999999999991</v>
      </c>
      <c r="K286" s="2" t="str">
        <f t="shared" si="12"/>
        <v>&gt;5kg</v>
      </c>
      <c r="L286" s="2">
        <f>tdata[[#This Row],[Received_date]]-tdata[[#This Row],[Shipment_Date]]</f>
        <v>8</v>
      </c>
      <c r="M286" s="2">
        <f>VLOOKUP(tdata[[#This Row],[Service_Type]],Table2[#All],2,0)</f>
        <v>3</v>
      </c>
      <c r="N286" s="2" t="str">
        <f>IF(tdata[[#This Row],[Delivery_Days]]&lt;=tdata[[#This Row],[SLA_Days]],"On Time","Late")</f>
        <v>Late</v>
      </c>
      <c r="O286" s="2">
        <f>VLOOKUP(tdata[[#This Row],[Service_Type]],Table2[#All],4,0)</f>
        <v>10000</v>
      </c>
      <c r="P286" s="2">
        <f>tdata[[#This Row],[price_per_kilo]]*tdata[[#This Row],[Weight_KG]]</f>
        <v>95399.999999999985</v>
      </c>
      <c r="Q286" s="2" t="str">
        <f>VLOOKUP(tdata[[#This Row],[id_employee]],temployee[#All],2,0)</f>
        <v>Gilang Ramli</v>
      </c>
      <c r="R286" s="2" t="str">
        <f>VLOOKUP(tdata[[#This Row],[id_employee]],temployee[#All],4,0)</f>
        <v>internal</v>
      </c>
      <c r="S286" s="9" t="str">
        <f>VLOOKUP(tdata[[#This Row],[id_employee]],temployee[#All],5,0)</f>
        <v>rider</v>
      </c>
    </row>
    <row r="287" spans="2:19" x14ac:dyDescent="0.35">
      <c r="B287" s="8" t="s">
        <v>306</v>
      </c>
      <c r="C287" s="2" t="s">
        <v>1356</v>
      </c>
      <c r="D287" s="5">
        <v>45328</v>
      </c>
      <c r="E287" s="5">
        <f>D287+4</f>
        <v>45332</v>
      </c>
      <c r="F287" s="2" t="s">
        <v>22</v>
      </c>
      <c r="G287" s="2" t="s">
        <v>26</v>
      </c>
      <c r="H287" s="2" t="s">
        <v>1224</v>
      </c>
      <c r="I287" s="2" t="s">
        <v>13</v>
      </c>
      <c r="J287" s="2">
        <v>9.56</v>
      </c>
      <c r="K287" s="2" t="str">
        <f t="shared" si="12"/>
        <v>&gt;5kg</v>
      </c>
      <c r="L287" s="2">
        <f>tdata[[#This Row],[Received_date]]-tdata[[#This Row],[Shipment_Date]]</f>
        <v>4</v>
      </c>
      <c r="M287" s="2">
        <f>VLOOKUP(tdata[[#This Row],[Service_Type]],Table2[#All],2,0)</f>
        <v>3</v>
      </c>
      <c r="N287" s="2" t="str">
        <f>IF(tdata[[#This Row],[Delivery_Days]]&lt;=tdata[[#This Row],[SLA_Days]],"On Time","Late")</f>
        <v>Late</v>
      </c>
      <c r="O287" s="2">
        <f>VLOOKUP(tdata[[#This Row],[Service_Type]],Table2[#All],4,0)</f>
        <v>10000</v>
      </c>
      <c r="P287" s="2">
        <f>tdata[[#This Row],[price_per_kilo]]*tdata[[#This Row],[Weight_KG]]</f>
        <v>95600</v>
      </c>
      <c r="Q287" s="2" t="str">
        <f>VLOOKUP(tdata[[#This Row],[id_employee]],temployee[#All],2,0)</f>
        <v>Hana Zahra</v>
      </c>
      <c r="R287" s="2" t="str">
        <f>VLOOKUP(tdata[[#This Row],[id_employee]],temployee[#All],4,0)</f>
        <v>internal</v>
      </c>
      <c r="S287" s="9" t="str">
        <f>VLOOKUP(tdata[[#This Row],[id_employee]],temployee[#All],5,0)</f>
        <v>rider</v>
      </c>
    </row>
    <row r="288" spans="2:19" x14ac:dyDescent="0.35">
      <c r="B288" s="8" t="s">
        <v>307</v>
      </c>
      <c r="C288" s="2" t="s">
        <v>1357</v>
      </c>
      <c r="D288" s="5">
        <v>45271</v>
      </c>
      <c r="E288" s="5">
        <v>45271</v>
      </c>
      <c r="F288" s="2" t="s">
        <v>12</v>
      </c>
      <c r="G288" s="2" t="s">
        <v>26</v>
      </c>
      <c r="H288" s="2" t="s">
        <v>1224</v>
      </c>
      <c r="I288" s="2" t="s">
        <v>17</v>
      </c>
      <c r="J288" s="2">
        <v>2.34</v>
      </c>
      <c r="K288" s="2" t="str">
        <f t="shared" si="12"/>
        <v>&lt; 5kg</v>
      </c>
      <c r="L288" s="2">
        <f>tdata[[#This Row],[Received_date]]-tdata[[#This Row],[Shipment_Date]]</f>
        <v>0</v>
      </c>
      <c r="M288" s="2">
        <f>VLOOKUP(tdata[[#This Row],[Service_Type]],Table2[#All],2,0)</f>
        <v>3</v>
      </c>
      <c r="N288" s="2" t="str">
        <f>IF(tdata[[#This Row],[Delivery_Days]]&lt;=tdata[[#This Row],[SLA_Days]],"On Time","Late")</f>
        <v>On Time</v>
      </c>
      <c r="O288" s="2">
        <f>VLOOKUP(tdata[[#This Row],[Service_Type]],Table2[#All],4,0)</f>
        <v>10000</v>
      </c>
      <c r="P288" s="2">
        <f>tdata[[#This Row],[price_per_kilo]]*tdata[[#This Row],[Weight_KG]]</f>
        <v>23400</v>
      </c>
      <c r="Q288" s="2" t="str">
        <f>VLOOKUP(tdata[[#This Row],[id_employee]],temployee[#All],2,0)</f>
        <v>Irfan Maulana</v>
      </c>
      <c r="R288" s="2" t="str">
        <f>VLOOKUP(tdata[[#This Row],[id_employee]],temployee[#All],4,0)</f>
        <v>internal</v>
      </c>
      <c r="S288" s="9" t="str">
        <f>VLOOKUP(tdata[[#This Row],[id_employee]],temployee[#All],5,0)</f>
        <v>driver</v>
      </c>
    </row>
    <row r="289" spans="2:19" x14ac:dyDescent="0.35">
      <c r="B289" s="8" t="s">
        <v>308</v>
      </c>
      <c r="C289" s="2" t="s">
        <v>1358</v>
      </c>
      <c r="D289" s="5">
        <v>45616</v>
      </c>
      <c r="E289" s="5">
        <f>D289+4</f>
        <v>45620</v>
      </c>
      <c r="F289" s="2" t="s">
        <v>30</v>
      </c>
      <c r="G289" s="2" t="s">
        <v>16</v>
      </c>
      <c r="H289" s="2" t="s">
        <v>1223</v>
      </c>
      <c r="I289" s="2" t="s">
        <v>17</v>
      </c>
      <c r="J289" s="2">
        <v>10.49</v>
      </c>
      <c r="K289" s="2" t="str">
        <f t="shared" si="12"/>
        <v>&gt;5kg</v>
      </c>
      <c r="L289" s="2">
        <f>tdata[[#This Row],[Received_date]]-tdata[[#This Row],[Shipment_Date]]</f>
        <v>4</v>
      </c>
      <c r="M289" s="2">
        <f>VLOOKUP(tdata[[#This Row],[Service_Type]],Table2[#All],2,0)</f>
        <v>1</v>
      </c>
      <c r="N289" s="2" t="str">
        <f>IF(tdata[[#This Row],[Delivery_Days]]&lt;=tdata[[#This Row],[SLA_Days]],"On Time","Late")</f>
        <v>Late</v>
      </c>
      <c r="O289" s="2">
        <f>VLOOKUP(tdata[[#This Row],[Service_Type]],Table2[#All],4,0)</f>
        <v>12000</v>
      </c>
      <c r="P289" s="2">
        <f>tdata[[#This Row],[price_per_kilo]]*tdata[[#This Row],[Weight_KG]]</f>
        <v>125880</v>
      </c>
      <c r="Q289" s="2" t="str">
        <f>VLOOKUP(tdata[[#This Row],[id_employee]],temployee[#All],2,0)</f>
        <v>Jihan Salsabila</v>
      </c>
      <c r="R289" s="2" t="str">
        <f>VLOOKUP(tdata[[#This Row],[id_employee]],temployee[#All],4,0)</f>
        <v>crowd source</v>
      </c>
      <c r="S289" s="9" t="str">
        <f>VLOOKUP(tdata[[#This Row],[id_employee]],temployee[#All],5,0)</f>
        <v>rider</v>
      </c>
    </row>
    <row r="290" spans="2:19" x14ac:dyDescent="0.35">
      <c r="B290" s="8" t="s">
        <v>309</v>
      </c>
      <c r="C290" s="2" t="s">
        <v>1359</v>
      </c>
      <c r="D290" s="5">
        <v>45537</v>
      </c>
      <c r="E290" s="5">
        <v>45539</v>
      </c>
      <c r="F290" s="2" t="s">
        <v>32</v>
      </c>
      <c r="G290" s="2" t="s">
        <v>11</v>
      </c>
      <c r="H290" s="2" t="s">
        <v>23</v>
      </c>
      <c r="I290" s="2" t="s">
        <v>13</v>
      </c>
      <c r="J290" s="2">
        <v>3.09</v>
      </c>
      <c r="K290" s="2" t="str">
        <f t="shared" si="12"/>
        <v>&lt; 5kg</v>
      </c>
      <c r="L290" s="2">
        <f>tdata[[#This Row],[Received_date]]-tdata[[#This Row],[Shipment_Date]]</f>
        <v>2</v>
      </c>
      <c r="M290" s="2">
        <f>VLOOKUP(tdata[[#This Row],[Service_Type]],Table2[#All],2,0)</f>
        <v>5</v>
      </c>
      <c r="N290" s="2" t="str">
        <f>IF(tdata[[#This Row],[Delivery_Days]]&lt;=tdata[[#This Row],[SLA_Days]],"On Time","Late")</f>
        <v>On Time</v>
      </c>
      <c r="O290" s="2">
        <f>VLOOKUP(tdata[[#This Row],[Service_Type]],Table2[#All],4,0)</f>
        <v>9000</v>
      </c>
      <c r="P290" s="2">
        <f>tdata[[#This Row],[price_per_kilo]]*tdata[[#This Row],[Weight_KG]]</f>
        <v>27810</v>
      </c>
      <c r="Q290" s="2" t="str">
        <f>VLOOKUP(tdata[[#This Row],[id_employee]],temployee[#All],2,0)</f>
        <v>Koko Santoso</v>
      </c>
      <c r="R290" s="2" t="str">
        <f>VLOOKUP(tdata[[#This Row],[id_employee]],temployee[#All],4,0)</f>
        <v>internal</v>
      </c>
      <c r="S290" s="9" t="str">
        <f>VLOOKUP(tdata[[#This Row],[id_employee]],temployee[#All],5,0)</f>
        <v>rider</v>
      </c>
    </row>
    <row r="291" spans="2:19" x14ac:dyDescent="0.35">
      <c r="B291" s="8" t="s">
        <v>310</v>
      </c>
      <c r="C291" s="2" t="s">
        <v>1360</v>
      </c>
      <c r="D291" s="5">
        <v>45563</v>
      </c>
      <c r="E291" s="5">
        <v>45569</v>
      </c>
      <c r="F291" s="2" t="s">
        <v>16</v>
      </c>
      <c r="G291" s="2" t="s">
        <v>26</v>
      </c>
      <c r="H291" s="2" t="s">
        <v>1224</v>
      </c>
      <c r="I291" s="2" t="s">
        <v>13</v>
      </c>
      <c r="J291" s="2">
        <v>3.19</v>
      </c>
      <c r="K291" s="2" t="str">
        <f t="shared" si="12"/>
        <v>&lt; 5kg</v>
      </c>
      <c r="L291" s="2">
        <f>tdata[[#This Row],[Received_date]]-tdata[[#This Row],[Shipment_Date]]</f>
        <v>6</v>
      </c>
      <c r="M291" s="2">
        <f>VLOOKUP(tdata[[#This Row],[Service_Type]],Table2[#All],2,0)</f>
        <v>3</v>
      </c>
      <c r="N291" s="2" t="str">
        <f>IF(tdata[[#This Row],[Delivery_Days]]&lt;=tdata[[#This Row],[SLA_Days]],"On Time","Late")</f>
        <v>Late</v>
      </c>
      <c r="O291" s="2">
        <f>VLOOKUP(tdata[[#This Row],[Service_Type]],Table2[#All],4,0)</f>
        <v>10000</v>
      </c>
      <c r="P291" s="2">
        <f>tdata[[#This Row],[price_per_kilo]]*tdata[[#This Row],[Weight_KG]]</f>
        <v>31900</v>
      </c>
      <c r="Q291" s="2" t="str">
        <f>VLOOKUP(tdata[[#This Row],[id_employee]],temployee[#All],2,0)</f>
        <v>Luthfi Hakim</v>
      </c>
      <c r="R291" s="2" t="str">
        <f>VLOOKUP(tdata[[#This Row],[id_employee]],temployee[#All],4,0)</f>
        <v>crowd source</v>
      </c>
      <c r="S291" s="9" t="str">
        <f>VLOOKUP(tdata[[#This Row],[id_employee]],temployee[#All],5,0)</f>
        <v>driver</v>
      </c>
    </row>
    <row r="292" spans="2:19" x14ac:dyDescent="0.35">
      <c r="B292" s="8" t="s">
        <v>311</v>
      </c>
      <c r="C292" s="2" t="s">
        <v>1361</v>
      </c>
      <c r="D292" s="5">
        <v>45327</v>
      </c>
      <c r="E292" s="5">
        <f>D292+4</f>
        <v>45331</v>
      </c>
      <c r="F292" s="2" t="s">
        <v>26</v>
      </c>
      <c r="G292" s="2" t="s">
        <v>26</v>
      </c>
      <c r="H292" s="2" t="s">
        <v>1224</v>
      </c>
      <c r="I292" s="2" t="s">
        <v>17</v>
      </c>
      <c r="J292" s="2">
        <v>8.98</v>
      </c>
      <c r="K292" s="2" t="str">
        <f t="shared" si="12"/>
        <v>&gt;5kg</v>
      </c>
      <c r="L292" s="2">
        <f>tdata[[#This Row],[Received_date]]-tdata[[#This Row],[Shipment_Date]]</f>
        <v>4</v>
      </c>
      <c r="M292" s="2">
        <f>VLOOKUP(tdata[[#This Row],[Service_Type]],Table2[#All],2,0)</f>
        <v>3</v>
      </c>
      <c r="N292" s="2" t="str">
        <f>IF(tdata[[#This Row],[Delivery_Days]]&lt;=tdata[[#This Row],[SLA_Days]],"On Time","Late")</f>
        <v>Late</v>
      </c>
      <c r="O292" s="2">
        <f>VLOOKUP(tdata[[#This Row],[Service_Type]],Table2[#All],4,0)</f>
        <v>10000</v>
      </c>
      <c r="P292" s="2">
        <f>tdata[[#This Row],[price_per_kilo]]*tdata[[#This Row],[Weight_KG]]</f>
        <v>89800</v>
      </c>
      <c r="Q292" s="2" t="str">
        <f>VLOOKUP(tdata[[#This Row],[id_employee]],temployee[#All],2,0)</f>
        <v>Melati Anggraini</v>
      </c>
      <c r="R292" s="2" t="str">
        <f>VLOOKUP(tdata[[#This Row],[id_employee]],temployee[#All],4,0)</f>
        <v>internal</v>
      </c>
      <c r="S292" s="9" t="str">
        <f>VLOOKUP(tdata[[#This Row],[id_employee]],temployee[#All],5,0)</f>
        <v>rider</v>
      </c>
    </row>
    <row r="293" spans="2:19" x14ac:dyDescent="0.35">
      <c r="B293" s="8" t="s">
        <v>312</v>
      </c>
      <c r="C293" s="2" t="s">
        <v>1362</v>
      </c>
      <c r="D293" s="5">
        <v>44945</v>
      </c>
      <c r="E293" s="5">
        <v>44950</v>
      </c>
      <c r="F293" s="2" t="s">
        <v>49</v>
      </c>
      <c r="G293" s="2" t="s">
        <v>20</v>
      </c>
      <c r="H293" s="2" t="s">
        <v>23</v>
      </c>
      <c r="I293" s="2" t="s">
        <v>13</v>
      </c>
      <c r="J293" s="2">
        <v>10.32</v>
      </c>
      <c r="K293" s="2" t="str">
        <f t="shared" si="12"/>
        <v>&gt;5kg</v>
      </c>
      <c r="L293" s="2">
        <f>tdata[[#This Row],[Received_date]]-tdata[[#This Row],[Shipment_Date]]</f>
        <v>5</v>
      </c>
      <c r="M293" s="2">
        <f>VLOOKUP(tdata[[#This Row],[Service_Type]],Table2[#All],2,0)</f>
        <v>5</v>
      </c>
      <c r="N293" s="2" t="str">
        <f>IF(tdata[[#This Row],[Delivery_Days]]&lt;=tdata[[#This Row],[SLA_Days]],"On Time","Late")</f>
        <v>On Time</v>
      </c>
      <c r="O293" s="2">
        <f>VLOOKUP(tdata[[#This Row],[Service_Type]],Table2[#All],4,0)</f>
        <v>9000</v>
      </c>
      <c r="P293" s="2">
        <f>tdata[[#This Row],[price_per_kilo]]*tdata[[#This Row],[Weight_KG]]</f>
        <v>92880</v>
      </c>
      <c r="Q293" s="2" t="str">
        <f>VLOOKUP(tdata[[#This Row],[id_employee]],temployee[#All],2,0)</f>
        <v>Naufal Rizky</v>
      </c>
      <c r="R293" s="2" t="str">
        <f>VLOOKUP(tdata[[#This Row],[id_employee]],temployee[#All],4,0)</f>
        <v>internal</v>
      </c>
      <c r="S293" s="9" t="str">
        <f>VLOOKUP(tdata[[#This Row],[id_employee]],temployee[#All],5,0)</f>
        <v>driver</v>
      </c>
    </row>
    <row r="294" spans="2:19" x14ac:dyDescent="0.35">
      <c r="B294" s="8" t="s">
        <v>313</v>
      </c>
      <c r="C294" s="2" t="s">
        <v>1363</v>
      </c>
      <c r="D294" s="5">
        <v>45480</v>
      </c>
      <c r="E294" s="5">
        <f>D294+4</f>
        <v>45484</v>
      </c>
      <c r="F294" s="2" t="s">
        <v>11</v>
      </c>
      <c r="G294" s="2" t="s">
        <v>26</v>
      </c>
      <c r="H294" s="2" t="s">
        <v>1223</v>
      </c>
      <c r="I294" s="2" t="s">
        <v>17</v>
      </c>
      <c r="J294" s="2">
        <v>6.67</v>
      </c>
      <c r="K294" s="2" t="str">
        <f t="shared" si="12"/>
        <v>&gt;5kg</v>
      </c>
      <c r="L294" s="2">
        <f>tdata[[#This Row],[Received_date]]-tdata[[#This Row],[Shipment_Date]]</f>
        <v>4</v>
      </c>
      <c r="M294" s="2">
        <f>VLOOKUP(tdata[[#This Row],[Service_Type]],Table2[#All],2,0)</f>
        <v>1</v>
      </c>
      <c r="N294" s="2" t="str">
        <f>IF(tdata[[#This Row],[Delivery_Days]]&lt;=tdata[[#This Row],[SLA_Days]],"On Time","Late")</f>
        <v>Late</v>
      </c>
      <c r="O294" s="2">
        <f>VLOOKUP(tdata[[#This Row],[Service_Type]],Table2[#All],4,0)</f>
        <v>12000</v>
      </c>
      <c r="P294" s="2">
        <f>tdata[[#This Row],[price_per_kilo]]*tdata[[#This Row],[Weight_KG]]</f>
        <v>80040</v>
      </c>
      <c r="Q294" s="2" t="str">
        <f>VLOOKUP(tdata[[#This Row],[id_employee]],temployee[#All],2,0)</f>
        <v>Olin Febriani</v>
      </c>
      <c r="R294" s="2" t="str">
        <f>VLOOKUP(tdata[[#This Row],[id_employee]],temployee[#All],4,0)</f>
        <v>crowd source</v>
      </c>
      <c r="S294" s="9" t="str">
        <f>VLOOKUP(tdata[[#This Row],[id_employee]],temployee[#All],5,0)</f>
        <v>rider</v>
      </c>
    </row>
    <row r="295" spans="2:19" x14ac:dyDescent="0.35">
      <c r="B295" s="8" t="s">
        <v>314</v>
      </c>
      <c r="C295" s="2" t="s">
        <v>1364</v>
      </c>
      <c r="D295" s="5">
        <v>45600</v>
      </c>
      <c r="E295" s="5">
        <v>45601</v>
      </c>
      <c r="F295" s="2" t="s">
        <v>15</v>
      </c>
      <c r="G295" s="2" t="s">
        <v>11</v>
      </c>
      <c r="H295" s="2" t="s">
        <v>23</v>
      </c>
      <c r="I295" s="2" t="s">
        <v>13</v>
      </c>
      <c r="J295" s="2">
        <v>4.6500000000000004</v>
      </c>
      <c r="K295" s="2" t="str">
        <f t="shared" si="12"/>
        <v>&lt; 5kg</v>
      </c>
      <c r="L295" s="2">
        <f>tdata[[#This Row],[Received_date]]-tdata[[#This Row],[Shipment_Date]]</f>
        <v>1</v>
      </c>
      <c r="M295" s="2">
        <f>VLOOKUP(tdata[[#This Row],[Service_Type]],Table2[#All],2,0)</f>
        <v>5</v>
      </c>
      <c r="N295" s="2" t="str">
        <f>IF(tdata[[#This Row],[Delivery_Days]]&lt;=tdata[[#This Row],[SLA_Days]],"On Time","Late")</f>
        <v>On Time</v>
      </c>
      <c r="O295" s="2">
        <f>VLOOKUP(tdata[[#This Row],[Service_Type]],Table2[#All],4,0)</f>
        <v>9000</v>
      </c>
      <c r="P295" s="2">
        <f>tdata[[#This Row],[price_per_kilo]]*tdata[[#This Row],[Weight_KG]]</f>
        <v>41850</v>
      </c>
      <c r="Q295" s="2" t="str">
        <f>VLOOKUP(tdata[[#This Row],[id_employee]],temployee[#All],2,0)</f>
        <v>Praditya Wicaksono</v>
      </c>
      <c r="R295" s="2" t="str">
        <f>VLOOKUP(tdata[[#This Row],[id_employee]],temployee[#All],4,0)</f>
        <v>internal</v>
      </c>
      <c r="S295" s="9" t="str">
        <f>VLOOKUP(tdata[[#This Row],[id_employee]],temployee[#All],5,0)</f>
        <v>driver</v>
      </c>
    </row>
    <row r="296" spans="2:19" x14ac:dyDescent="0.35">
      <c r="B296" s="8" t="s">
        <v>315</v>
      </c>
      <c r="C296" s="2" t="s">
        <v>1365</v>
      </c>
      <c r="D296" s="5">
        <v>45653</v>
      </c>
      <c r="E296" s="5">
        <v>45661</v>
      </c>
      <c r="F296" s="2" t="s">
        <v>20</v>
      </c>
      <c r="G296" s="2" t="s">
        <v>26</v>
      </c>
      <c r="H296" s="2" t="s">
        <v>1224</v>
      </c>
      <c r="I296" s="2" t="s">
        <v>13</v>
      </c>
      <c r="J296" s="2">
        <v>6.98</v>
      </c>
      <c r="K296" s="2" t="str">
        <f t="shared" si="12"/>
        <v>&gt;5kg</v>
      </c>
      <c r="L296" s="2">
        <f>tdata[[#This Row],[Received_date]]-tdata[[#This Row],[Shipment_Date]]</f>
        <v>8</v>
      </c>
      <c r="M296" s="2">
        <f>VLOOKUP(tdata[[#This Row],[Service_Type]],Table2[#All],2,0)</f>
        <v>3</v>
      </c>
      <c r="N296" s="2" t="str">
        <f>IF(tdata[[#This Row],[Delivery_Days]]&lt;=tdata[[#This Row],[SLA_Days]],"On Time","Late")</f>
        <v>Late</v>
      </c>
      <c r="O296" s="2">
        <f>VLOOKUP(tdata[[#This Row],[Service_Type]],Table2[#All],4,0)</f>
        <v>10000</v>
      </c>
      <c r="P296" s="2">
        <f>tdata[[#This Row],[price_per_kilo]]*tdata[[#This Row],[Weight_KG]]</f>
        <v>69800</v>
      </c>
      <c r="Q296" s="2" t="str">
        <f>VLOOKUP(tdata[[#This Row],[id_employee]],temployee[#All],2,0)</f>
        <v>Qory Azzahra</v>
      </c>
      <c r="R296" s="2" t="str">
        <f>VLOOKUP(tdata[[#This Row],[id_employee]],temployee[#All],4,0)</f>
        <v>internal</v>
      </c>
      <c r="S296" s="9" t="str">
        <f>VLOOKUP(tdata[[#This Row],[id_employee]],temployee[#All],5,0)</f>
        <v>rider</v>
      </c>
    </row>
    <row r="297" spans="2:19" x14ac:dyDescent="0.35">
      <c r="B297" s="8" t="s">
        <v>316</v>
      </c>
      <c r="C297" s="2" t="s">
        <v>1366</v>
      </c>
      <c r="D297" s="5">
        <v>45258</v>
      </c>
      <c r="E297" s="5">
        <v>45258</v>
      </c>
      <c r="F297" s="2" t="s">
        <v>22</v>
      </c>
      <c r="G297" s="2" t="s">
        <v>15</v>
      </c>
      <c r="H297" s="2" t="s">
        <v>1223</v>
      </c>
      <c r="I297" s="2" t="s">
        <v>13</v>
      </c>
      <c r="J297" s="2">
        <v>6.73</v>
      </c>
      <c r="K297" s="2" t="str">
        <f t="shared" si="12"/>
        <v>&gt;5kg</v>
      </c>
      <c r="L297" s="2">
        <f>tdata[[#This Row],[Received_date]]-tdata[[#This Row],[Shipment_Date]]</f>
        <v>0</v>
      </c>
      <c r="M297" s="2">
        <f>VLOOKUP(tdata[[#This Row],[Service_Type]],Table2[#All],2,0)</f>
        <v>1</v>
      </c>
      <c r="N297" s="2" t="str">
        <f>IF(tdata[[#This Row],[Delivery_Days]]&lt;=tdata[[#This Row],[SLA_Days]],"On Time","Late")</f>
        <v>On Time</v>
      </c>
      <c r="O297" s="2">
        <f>VLOOKUP(tdata[[#This Row],[Service_Type]],Table2[#All],4,0)</f>
        <v>12000</v>
      </c>
      <c r="P297" s="2">
        <f>tdata[[#This Row],[price_per_kilo]]*tdata[[#This Row],[Weight_KG]]</f>
        <v>80760</v>
      </c>
      <c r="Q297" s="2" t="str">
        <f>VLOOKUP(tdata[[#This Row],[id_employee]],temployee[#All],2,0)</f>
        <v>Rendi Saputra</v>
      </c>
      <c r="R297" s="2" t="str">
        <f>VLOOKUP(tdata[[#This Row],[id_employee]],temployee[#All],4,0)</f>
        <v>crowd source</v>
      </c>
      <c r="S297" s="9" t="str">
        <f>VLOOKUP(tdata[[#This Row],[id_employee]],temployee[#All],5,0)</f>
        <v>driver</v>
      </c>
    </row>
    <row r="298" spans="2:19" x14ac:dyDescent="0.35">
      <c r="B298" s="8" t="s">
        <v>317</v>
      </c>
      <c r="C298" s="2" t="s">
        <v>1367</v>
      </c>
      <c r="D298" s="5">
        <v>44986</v>
      </c>
      <c r="E298" s="5">
        <v>44987</v>
      </c>
      <c r="F298" s="2" t="s">
        <v>12</v>
      </c>
      <c r="G298" s="2" t="s">
        <v>11</v>
      </c>
      <c r="H298" s="2" t="s">
        <v>1223</v>
      </c>
      <c r="I298" s="2" t="s">
        <v>13</v>
      </c>
      <c r="J298" s="2">
        <v>2.6</v>
      </c>
      <c r="K298" s="2" t="str">
        <f t="shared" si="12"/>
        <v>&lt; 5kg</v>
      </c>
      <c r="L298" s="2">
        <f>tdata[[#This Row],[Received_date]]-tdata[[#This Row],[Shipment_Date]]</f>
        <v>1</v>
      </c>
      <c r="M298" s="2">
        <f>VLOOKUP(tdata[[#This Row],[Service_Type]],Table2[#All],2,0)</f>
        <v>1</v>
      </c>
      <c r="N298" s="2" t="str">
        <f>IF(tdata[[#This Row],[Delivery_Days]]&lt;=tdata[[#This Row],[SLA_Days]],"On Time","Late")</f>
        <v>On Time</v>
      </c>
      <c r="O298" s="2">
        <f>VLOOKUP(tdata[[#This Row],[Service_Type]],Table2[#All],4,0)</f>
        <v>12000</v>
      </c>
      <c r="P298" s="2">
        <f>tdata[[#This Row],[price_per_kilo]]*tdata[[#This Row],[Weight_KG]]</f>
        <v>31200</v>
      </c>
      <c r="Q298" s="2" t="str">
        <f>VLOOKUP(tdata[[#This Row],[id_employee]],temployee[#All],2,0)</f>
        <v>Salma Nuraini</v>
      </c>
      <c r="R298" s="2" t="str">
        <f>VLOOKUP(tdata[[#This Row],[id_employee]],temployee[#All],4,0)</f>
        <v>internal</v>
      </c>
      <c r="S298" s="9" t="str">
        <f>VLOOKUP(tdata[[#This Row],[id_employee]],temployee[#All],5,0)</f>
        <v>rider</v>
      </c>
    </row>
    <row r="299" spans="2:19" x14ac:dyDescent="0.35">
      <c r="B299" s="8" t="s">
        <v>318</v>
      </c>
      <c r="C299" s="2" t="s">
        <v>1368</v>
      </c>
      <c r="D299" s="5">
        <v>45306</v>
      </c>
      <c r="E299" s="5">
        <v>45307</v>
      </c>
      <c r="F299" s="2" t="s">
        <v>30</v>
      </c>
      <c r="G299" s="2" t="s">
        <v>15</v>
      </c>
      <c r="H299" s="2" t="s">
        <v>1224</v>
      </c>
      <c r="I299" s="2" t="s">
        <v>17</v>
      </c>
      <c r="J299" s="2">
        <v>7.85</v>
      </c>
      <c r="K299" s="2" t="str">
        <f t="shared" si="12"/>
        <v>&gt;5kg</v>
      </c>
      <c r="L299" s="2">
        <f>tdata[[#This Row],[Received_date]]-tdata[[#This Row],[Shipment_Date]]</f>
        <v>1</v>
      </c>
      <c r="M299" s="2">
        <f>VLOOKUP(tdata[[#This Row],[Service_Type]],Table2[#All],2,0)</f>
        <v>3</v>
      </c>
      <c r="N299" s="2" t="str">
        <f>IF(tdata[[#This Row],[Delivery_Days]]&lt;=tdata[[#This Row],[SLA_Days]],"On Time","Late")</f>
        <v>On Time</v>
      </c>
      <c r="O299" s="2">
        <f>VLOOKUP(tdata[[#This Row],[Service_Type]],Table2[#All],4,0)</f>
        <v>10000</v>
      </c>
      <c r="P299" s="2">
        <f>tdata[[#This Row],[price_per_kilo]]*tdata[[#This Row],[Weight_KG]]</f>
        <v>78500</v>
      </c>
      <c r="Q299" s="2" t="str">
        <f>VLOOKUP(tdata[[#This Row],[id_employee]],temployee[#All],2,0)</f>
        <v>Tegar Prakoso</v>
      </c>
      <c r="R299" s="2" t="str">
        <f>VLOOKUP(tdata[[#This Row],[id_employee]],temployee[#All],4,0)</f>
        <v>internal</v>
      </c>
      <c r="S299" s="9" t="str">
        <f>VLOOKUP(tdata[[#This Row],[id_employee]],temployee[#All],5,0)</f>
        <v>driver</v>
      </c>
    </row>
    <row r="300" spans="2:19" x14ac:dyDescent="0.35">
      <c r="B300" s="8" t="s">
        <v>319</v>
      </c>
      <c r="C300" s="2" t="s">
        <v>1369</v>
      </c>
      <c r="D300" s="5">
        <v>44969</v>
      </c>
      <c r="E300" s="5">
        <f>D300+4</f>
        <v>44973</v>
      </c>
      <c r="F300" s="2" t="s">
        <v>32</v>
      </c>
      <c r="G300" s="2" t="s">
        <v>15</v>
      </c>
      <c r="H300" s="2" t="s">
        <v>1224</v>
      </c>
      <c r="I300" s="2" t="s">
        <v>13</v>
      </c>
      <c r="J300" s="2">
        <v>8.16</v>
      </c>
      <c r="K300" s="2" t="str">
        <f t="shared" si="12"/>
        <v>&gt;5kg</v>
      </c>
      <c r="L300" s="2">
        <f>tdata[[#This Row],[Received_date]]-tdata[[#This Row],[Shipment_Date]]</f>
        <v>4</v>
      </c>
      <c r="M300" s="2">
        <f>VLOOKUP(tdata[[#This Row],[Service_Type]],Table2[#All],2,0)</f>
        <v>3</v>
      </c>
      <c r="N300" s="2" t="str">
        <f>IF(tdata[[#This Row],[Delivery_Days]]&lt;=tdata[[#This Row],[SLA_Days]],"On Time","Late")</f>
        <v>Late</v>
      </c>
      <c r="O300" s="2">
        <f>VLOOKUP(tdata[[#This Row],[Service_Type]],Table2[#All],4,0)</f>
        <v>10000</v>
      </c>
      <c r="P300" s="2">
        <f>tdata[[#This Row],[price_per_kilo]]*tdata[[#This Row],[Weight_KG]]</f>
        <v>81600</v>
      </c>
      <c r="Q300" s="2" t="str">
        <f>VLOOKUP(tdata[[#This Row],[id_employee]],temployee[#All],2,0)</f>
        <v>Ulfa Khairunnisa</v>
      </c>
      <c r="R300" s="2" t="str">
        <f>VLOOKUP(tdata[[#This Row],[id_employee]],temployee[#All],4,0)</f>
        <v>crowd source</v>
      </c>
      <c r="S300" s="9" t="str">
        <f>VLOOKUP(tdata[[#This Row],[id_employee]],temployee[#All],5,0)</f>
        <v>rider</v>
      </c>
    </row>
    <row r="301" spans="2:19" x14ac:dyDescent="0.35">
      <c r="B301" s="8" t="s">
        <v>320</v>
      </c>
      <c r="C301" s="2" t="s">
        <v>1370</v>
      </c>
      <c r="D301" s="5">
        <v>45394</v>
      </c>
      <c r="E301" s="5">
        <v>45395</v>
      </c>
      <c r="F301" s="2" t="s">
        <v>16</v>
      </c>
      <c r="G301" s="2" t="s">
        <v>20</v>
      </c>
      <c r="H301" s="2" t="s">
        <v>1224</v>
      </c>
      <c r="I301" s="2" t="s">
        <v>17</v>
      </c>
      <c r="J301" s="2">
        <v>3.97</v>
      </c>
      <c r="K301" s="2" t="str">
        <f t="shared" si="12"/>
        <v>&lt; 5kg</v>
      </c>
      <c r="L301" s="2">
        <f>tdata[[#This Row],[Received_date]]-tdata[[#This Row],[Shipment_Date]]</f>
        <v>1</v>
      </c>
      <c r="M301" s="2">
        <f>VLOOKUP(tdata[[#This Row],[Service_Type]],Table2[#All],2,0)</f>
        <v>3</v>
      </c>
      <c r="N301" s="2" t="str">
        <f>IF(tdata[[#This Row],[Delivery_Days]]&lt;=tdata[[#This Row],[SLA_Days]],"On Time","Late")</f>
        <v>On Time</v>
      </c>
      <c r="O301" s="2">
        <f>VLOOKUP(tdata[[#This Row],[Service_Type]],Table2[#All],4,0)</f>
        <v>10000</v>
      </c>
      <c r="P301" s="2">
        <f>tdata[[#This Row],[price_per_kilo]]*tdata[[#This Row],[Weight_KG]]</f>
        <v>39700</v>
      </c>
      <c r="Q301" s="2" t="str">
        <f>VLOOKUP(tdata[[#This Row],[id_employee]],temployee[#All],2,0)</f>
        <v>Vito Mahendra</v>
      </c>
      <c r="R301" s="2" t="str">
        <f>VLOOKUP(tdata[[#This Row],[id_employee]],temployee[#All],4,0)</f>
        <v>internal</v>
      </c>
      <c r="S301" s="9" t="str">
        <f>VLOOKUP(tdata[[#This Row],[id_employee]],temployee[#All],5,0)</f>
        <v>rider</v>
      </c>
    </row>
    <row r="302" spans="2:19" x14ac:dyDescent="0.35">
      <c r="B302" s="8" t="s">
        <v>321</v>
      </c>
      <c r="C302" s="2" t="s">
        <v>1371</v>
      </c>
      <c r="D302" s="5">
        <v>45467</v>
      </c>
      <c r="E302" s="5">
        <v>45475</v>
      </c>
      <c r="F302" s="2" t="s">
        <v>26</v>
      </c>
      <c r="G302" s="2" t="s">
        <v>32</v>
      </c>
      <c r="H302" s="2" t="s">
        <v>23</v>
      </c>
      <c r="I302" s="2" t="s">
        <v>17</v>
      </c>
      <c r="J302" s="2">
        <v>3.64</v>
      </c>
      <c r="K302" s="2" t="str">
        <f t="shared" si="12"/>
        <v>&lt; 5kg</v>
      </c>
      <c r="L302" s="2">
        <f>tdata[[#This Row],[Received_date]]-tdata[[#This Row],[Shipment_Date]]</f>
        <v>8</v>
      </c>
      <c r="M302" s="2">
        <f>VLOOKUP(tdata[[#This Row],[Service_Type]],Table2[#All],2,0)</f>
        <v>5</v>
      </c>
      <c r="N302" s="2" t="str">
        <f>IF(tdata[[#This Row],[Delivery_Days]]&lt;=tdata[[#This Row],[SLA_Days]],"On Time","Late")</f>
        <v>Late</v>
      </c>
      <c r="O302" s="2">
        <f>VLOOKUP(tdata[[#This Row],[Service_Type]],Table2[#All],4,0)</f>
        <v>9000</v>
      </c>
      <c r="P302" s="2">
        <f>tdata[[#This Row],[price_per_kilo]]*tdata[[#This Row],[Weight_KG]]</f>
        <v>32760</v>
      </c>
      <c r="Q302" s="2" t="str">
        <f>VLOOKUP(tdata[[#This Row],[id_employee]],temployee[#All],2,0)</f>
        <v>Winda Sari</v>
      </c>
      <c r="R302" s="2" t="str">
        <f>VLOOKUP(tdata[[#This Row],[id_employee]],temployee[#All],4,0)</f>
        <v>internal</v>
      </c>
      <c r="S302" s="9" t="str">
        <f>VLOOKUP(tdata[[#This Row],[id_employee]],temployee[#All],5,0)</f>
        <v>rider</v>
      </c>
    </row>
    <row r="303" spans="2:19" x14ac:dyDescent="0.35">
      <c r="B303" s="8" t="s">
        <v>322</v>
      </c>
      <c r="C303" s="2" t="s">
        <v>1372</v>
      </c>
      <c r="D303" s="5">
        <v>45605</v>
      </c>
      <c r="E303" s="5">
        <v>45611</v>
      </c>
      <c r="F303" s="2" t="s">
        <v>49</v>
      </c>
      <c r="G303" s="2" t="s">
        <v>32</v>
      </c>
      <c r="H303" s="2" t="s">
        <v>1223</v>
      </c>
      <c r="I303" s="2" t="s">
        <v>17</v>
      </c>
      <c r="J303" s="2">
        <v>3.26</v>
      </c>
      <c r="K303" s="2" t="str">
        <f t="shared" si="12"/>
        <v>&lt; 5kg</v>
      </c>
      <c r="L303" s="2">
        <f>tdata[[#This Row],[Received_date]]-tdata[[#This Row],[Shipment_Date]]</f>
        <v>6</v>
      </c>
      <c r="M303" s="2">
        <f>VLOOKUP(tdata[[#This Row],[Service_Type]],Table2[#All],2,0)</f>
        <v>1</v>
      </c>
      <c r="N303" s="2" t="str">
        <f>IF(tdata[[#This Row],[Delivery_Days]]&lt;=tdata[[#This Row],[SLA_Days]],"On Time","Late")</f>
        <v>Late</v>
      </c>
      <c r="O303" s="2">
        <f>VLOOKUP(tdata[[#This Row],[Service_Type]],Table2[#All],4,0)</f>
        <v>12000</v>
      </c>
      <c r="P303" s="2">
        <f>tdata[[#This Row],[price_per_kilo]]*tdata[[#This Row],[Weight_KG]]</f>
        <v>39120</v>
      </c>
      <c r="Q303" s="2" t="str">
        <f>VLOOKUP(tdata[[#This Row],[id_employee]],temployee[#All],2,0)</f>
        <v>Yusuf Al Ghazali</v>
      </c>
      <c r="R303" s="2" t="str">
        <f>VLOOKUP(tdata[[#This Row],[id_employee]],temployee[#All],4,0)</f>
        <v>crowd source</v>
      </c>
      <c r="S303" s="9" t="str">
        <f>VLOOKUP(tdata[[#This Row],[id_employee]],temployee[#All],5,0)</f>
        <v>driver</v>
      </c>
    </row>
    <row r="304" spans="2:19" x14ac:dyDescent="0.35">
      <c r="B304" s="8" t="s">
        <v>323</v>
      </c>
      <c r="C304" s="2" t="s">
        <v>1273</v>
      </c>
      <c r="D304" s="5">
        <v>45068</v>
      </c>
      <c r="E304" s="5">
        <f>D304+4</f>
        <v>45072</v>
      </c>
      <c r="F304" s="2" t="s">
        <v>11</v>
      </c>
      <c r="G304" s="2" t="s">
        <v>32</v>
      </c>
      <c r="H304" s="2" t="s">
        <v>23</v>
      </c>
      <c r="I304" s="2" t="s">
        <v>17</v>
      </c>
      <c r="J304" s="2">
        <v>6.26</v>
      </c>
      <c r="K304" s="2" t="str">
        <f t="shared" si="12"/>
        <v>&gt;5kg</v>
      </c>
      <c r="L304" s="2">
        <f>tdata[[#This Row],[Received_date]]-tdata[[#This Row],[Shipment_Date]]</f>
        <v>4</v>
      </c>
      <c r="M304" s="2">
        <f>VLOOKUP(tdata[[#This Row],[Service_Type]],Table2[#All],2,0)</f>
        <v>5</v>
      </c>
      <c r="N304" s="2" t="str">
        <f>IF(tdata[[#This Row],[Delivery_Days]]&lt;=tdata[[#This Row],[SLA_Days]],"On Time","Late")</f>
        <v>On Time</v>
      </c>
      <c r="O304" s="2">
        <f>VLOOKUP(tdata[[#This Row],[Service_Type]],Table2[#All],4,0)</f>
        <v>9000</v>
      </c>
      <c r="P304" s="2">
        <f>tdata[[#This Row],[price_per_kilo]]*tdata[[#This Row],[Weight_KG]]</f>
        <v>56340</v>
      </c>
      <c r="Q304" s="2" t="str">
        <f>VLOOKUP(tdata[[#This Row],[id_employee]],temployee[#All],2,0)</f>
        <v>Andi Pratama</v>
      </c>
      <c r="R304" s="2" t="str">
        <f>VLOOKUP(tdata[[#This Row],[id_employee]],temployee[#All],4,0)</f>
        <v>internal</v>
      </c>
      <c r="S304" s="9" t="str">
        <f>VLOOKUP(tdata[[#This Row],[id_employee]],temployee[#All],5,0)</f>
        <v>rider</v>
      </c>
    </row>
    <row r="305" spans="2:19" x14ac:dyDescent="0.35">
      <c r="B305" s="8" t="s">
        <v>324</v>
      </c>
      <c r="C305" s="2" t="s">
        <v>1274</v>
      </c>
      <c r="D305" s="5">
        <v>45637</v>
      </c>
      <c r="E305" s="5">
        <v>45638</v>
      </c>
      <c r="F305" s="2" t="s">
        <v>15</v>
      </c>
      <c r="G305" s="2" t="s">
        <v>30</v>
      </c>
      <c r="H305" s="2" t="s">
        <v>1223</v>
      </c>
      <c r="I305" s="2" t="s">
        <v>17</v>
      </c>
      <c r="J305" s="2">
        <v>6.94</v>
      </c>
      <c r="K305" s="2" t="str">
        <f t="shared" si="12"/>
        <v>&gt;5kg</v>
      </c>
      <c r="L305" s="2">
        <f>tdata[[#This Row],[Received_date]]-tdata[[#This Row],[Shipment_Date]]</f>
        <v>1</v>
      </c>
      <c r="M305" s="2">
        <f>VLOOKUP(tdata[[#This Row],[Service_Type]],Table2[#All],2,0)</f>
        <v>1</v>
      </c>
      <c r="N305" s="2" t="str">
        <f>IF(tdata[[#This Row],[Delivery_Days]]&lt;=tdata[[#This Row],[SLA_Days]],"On Time","Late")</f>
        <v>On Time</v>
      </c>
      <c r="O305" s="2">
        <f>VLOOKUP(tdata[[#This Row],[Service_Type]],Table2[#All],4,0)</f>
        <v>12000</v>
      </c>
      <c r="P305" s="2">
        <f>tdata[[#This Row],[price_per_kilo]]*tdata[[#This Row],[Weight_KG]]</f>
        <v>83280</v>
      </c>
      <c r="Q305" s="2" t="str">
        <f>VLOOKUP(tdata[[#This Row],[id_employee]],temployee[#All],2,0)</f>
        <v>Budi Santoso</v>
      </c>
      <c r="R305" s="2" t="str">
        <f>VLOOKUP(tdata[[#This Row],[id_employee]],temployee[#All],4,0)</f>
        <v>internal</v>
      </c>
      <c r="S305" s="9" t="str">
        <f>VLOOKUP(tdata[[#This Row],[id_employee]],temployee[#All],5,0)</f>
        <v>driver</v>
      </c>
    </row>
    <row r="306" spans="2:19" x14ac:dyDescent="0.35">
      <c r="B306" s="8" t="s">
        <v>325</v>
      </c>
      <c r="C306" s="2" t="s">
        <v>1275</v>
      </c>
      <c r="D306" s="5">
        <v>45497</v>
      </c>
      <c r="E306" s="5">
        <v>45499</v>
      </c>
      <c r="F306" s="2" t="s">
        <v>20</v>
      </c>
      <c r="G306" s="2" t="s">
        <v>49</v>
      </c>
      <c r="H306" s="2" t="s">
        <v>23</v>
      </c>
      <c r="I306" s="2" t="s">
        <v>13</v>
      </c>
      <c r="J306" s="2">
        <v>3.88</v>
      </c>
      <c r="K306" s="2" t="str">
        <f t="shared" si="12"/>
        <v>&lt; 5kg</v>
      </c>
      <c r="L306" s="2">
        <f>tdata[[#This Row],[Received_date]]-tdata[[#This Row],[Shipment_Date]]</f>
        <v>2</v>
      </c>
      <c r="M306" s="2">
        <f>VLOOKUP(tdata[[#This Row],[Service_Type]],Table2[#All],2,0)</f>
        <v>5</v>
      </c>
      <c r="N306" s="2" t="str">
        <f>IF(tdata[[#This Row],[Delivery_Days]]&lt;=tdata[[#This Row],[SLA_Days]],"On Time","Late")</f>
        <v>On Time</v>
      </c>
      <c r="O306" s="2">
        <f>VLOOKUP(tdata[[#This Row],[Service_Type]],Table2[#All],4,0)</f>
        <v>9000</v>
      </c>
      <c r="P306" s="2">
        <f>tdata[[#This Row],[price_per_kilo]]*tdata[[#This Row],[Weight_KG]]</f>
        <v>34920</v>
      </c>
      <c r="Q306" s="2" t="str">
        <f>VLOOKUP(tdata[[#This Row],[id_employee]],temployee[#All],2,0)</f>
        <v>Citra Lestari</v>
      </c>
      <c r="R306" s="2" t="str">
        <f>VLOOKUP(tdata[[#This Row],[id_employee]],temployee[#All],4,0)</f>
        <v>crowd source</v>
      </c>
      <c r="S306" s="9" t="str">
        <f>VLOOKUP(tdata[[#This Row],[id_employee]],temployee[#All],5,0)</f>
        <v>rider</v>
      </c>
    </row>
    <row r="307" spans="2:19" x14ac:dyDescent="0.35">
      <c r="B307" s="8" t="s">
        <v>326</v>
      </c>
      <c r="C307" s="2" t="s">
        <v>1276</v>
      </c>
      <c r="D307" s="5">
        <v>45114</v>
      </c>
      <c r="E307" s="5">
        <v>45116</v>
      </c>
      <c r="F307" s="2" t="s">
        <v>22</v>
      </c>
      <c r="G307" s="2" t="s">
        <v>20</v>
      </c>
      <c r="H307" s="2" t="s">
        <v>1224</v>
      </c>
      <c r="I307" s="2" t="s">
        <v>17</v>
      </c>
      <c r="J307" s="2">
        <v>9.68</v>
      </c>
      <c r="K307" s="2" t="str">
        <f t="shared" si="12"/>
        <v>&gt;5kg</v>
      </c>
      <c r="L307" s="2">
        <f>tdata[[#This Row],[Received_date]]-tdata[[#This Row],[Shipment_Date]]</f>
        <v>2</v>
      </c>
      <c r="M307" s="2">
        <f>VLOOKUP(tdata[[#This Row],[Service_Type]],Table2[#All],2,0)</f>
        <v>3</v>
      </c>
      <c r="N307" s="2" t="str">
        <f>IF(tdata[[#This Row],[Delivery_Days]]&lt;=tdata[[#This Row],[SLA_Days]],"On Time","Late")</f>
        <v>On Time</v>
      </c>
      <c r="O307" s="2">
        <f>VLOOKUP(tdata[[#This Row],[Service_Type]],Table2[#All],4,0)</f>
        <v>10000</v>
      </c>
      <c r="P307" s="2">
        <f>tdata[[#This Row],[price_per_kilo]]*tdata[[#This Row],[Weight_KG]]</f>
        <v>96800</v>
      </c>
      <c r="Q307" s="2" t="str">
        <f>VLOOKUP(tdata[[#This Row],[id_employee]],temployee[#All],2,0)</f>
        <v>Dedi Saputra</v>
      </c>
      <c r="R307" s="2" t="str">
        <f>VLOOKUP(tdata[[#This Row],[id_employee]],temployee[#All],4,0)</f>
        <v>crowd source</v>
      </c>
      <c r="S307" s="9" t="str">
        <f>VLOOKUP(tdata[[#This Row],[id_employee]],temployee[#All],5,0)</f>
        <v>driver</v>
      </c>
    </row>
    <row r="308" spans="2:19" x14ac:dyDescent="0.35">
      <c r="B308" s="8" t="s">
        <v>327</v>
      </c>
      <c r="C308" s="2" t="s">
        <v>1277</v>
      </c>
      <c r="D308" s="5">
        <v>45048</v>
      </c>
      <c r="E308" s="5">
        <v>45055</v>
      </c>
      <c r="F308" s="2" t="s">
        <v>12</v>
      </c>
      <c r="G308" s="2" t="s">
        <v>32</v>
      </c>
      <c r="H308" s="2" t="s">
        <v>23</v>
      </c>
      <c r="I308" s="2" t="s">
        <v>13</v>
      </c>
      <c r="J308" s="2">
        <v>9.06</v>
      </c>
      <c r="K308" s="2" t="str">
        <f t="shared" si="12"/>
        <v>&gt;5kg</v>
      </c>
      <c r="L308" s="2">
        <f>tdata[[#This Row],[Received_date]]-tdata[[#This Row],[Shipment_Date]]</f>
        <v>7</v>
      </c>
      <c r="M308" s="2">
        <f>VLOOKUP(tdata[[#This Row],[Service_Type]],Table2[#All],2,0)</f>
        <v>5</v>
      </c>
      <c r="N308" s="2" t="str">
        <f>IF(tdata[[#This Row],[Delivery_Days]]&lt;=tdata[[#This Row],[SLA_Days]],"On Time","Late")</f>
        <v>Late</v>
      </c>
      <c r="O308" s="2">
        <f>VLOOKUP(tdata[[#This Row],[Service_Type]],Table2[#All],4,0)</f>
        <v>9000</v>
      </c>
      <c r="P308" s="2">
        <f>tdata[[#This Row],[price_per_kilo]]*tdata[[#This Row],[Weight_KG]]</f>
        <v>81540</v>
      </c>
      <c r="Q308" s="2" t="str">
        <f>VLOOKUP(tdata[[#This Row],[id_employee]],temployee[#All],2,0)</f>
        <v>Eko Nugroho</v>
      </c>
      <c r="R308" s="2" t="str">
        <f>VLOOKUP(tdata[[#This Row],[id_employee]],temployee[#All],4,0)</f>
        <v>internal</v>
      </c>
      <c r="S308" s="9" t="str">
        <f>VLOOKUP(tdata[[#This Row],[id_employee]],temployee[#All],5,0)</f>
        <v>rider</v>
      </c>
    </row>
    <row r="309" spans="2:19" x14ac:dyDescent="0.35">
      <c r="B309" s="8" t="s">
        <v>328</v>
      </c>
      <c r="C309" s="2" t="s">
        <v>1278</v>
      </c>
      <c r="D309" s="5">
        <v>45436</v>
      </c>
      <c r="E309" s="5">
        <v>45441</v>
      </c>
      <c r="F309" s="2" t="s">
        <v>30</v>
      </c>
      <c r="G309" s="2" t="s">
        <v>26</v>
      </c>
      <c r="H309" s="2" t="s">
        <v>1223</v>
      </c>
      <c r="I309" s="2" t="s">
        <v>17</v>
      </c>
      <c r="J309" s="2">
        <v>6.57</v>
      </c>
      <c r="K309" s="2" t="str">
        <f t="shared" si="12"/>
        <v>&gt;5kg</v>
      </c>
      <c r="L309" s="2">
        <f>tdata[[#This Row],[Received_date]]-tdata[[#This Row],[Shipment_Date]]</f>
        <v>5</v>
      </c>
      <c r="M309" s="2">
        <f>VLOOKUP(tdata[[#This Row],[Service_Type]],Table2[#All],2,0)</f>
        <v>1</v>
      </c>
      <c r="N309" s="2" t="str">
        <f>IF(tdata[[#This Row],[Delivery_Days]]&lt;=tdata[[#This Row],[SLA_Days]],"On Time","Late")</f>
        <v>Late</v>
      </c>
      <c r="O309" s="2">
        <f>VLOOKUP(tdata[[#This Row],[Service_Type]],Table2[#All],4,0)</f>
        <v>12000</v>
      </c>
      <c r="P309" s="2">
        <f>tdata[[#This Row],[price_per_kilo]]*tdata[[#This Row],[Weight_KG]]</f>
        <v>78840</v>
      </c>
      <c r="Q309" s="2" t="str">
        <f>VLOOKUP(tdata[[#This Row],[id_employee]],temployee[#All],2,0)</f>
        <v>Fajar Hidayat</v>
      </c>
      <c r="R309" s="2" t="str">
        <f>VLOOKUP(tdata[[#This Row],[id_employee]],temployee[#All],4,0)</f>
        <v>internal</v>
      </c>
      <c r="S309" s="9" t="str">
        <f>VLOOKUP(tdata[[#This Row],[id_employee]],temployee[#All],5,0)</f>
        <v>driver</v>
      </c>
    </row>
    <row r="310" spans="2:19" x14ac:dyDescent="0.35">
      <c r="B310" s="8" t="s">
        <v>329</v>
      </c>
      <c r="C310" s="2" t="s">
        <v>1279</v>
      </c>
      <c r="D310" s="5">
        <v>45035</v>
      </c>
      <c r="E310" s="5">
        <v>45045</v>
      </c>
      <c r="F310" s="2" t="s">
        <v>32</v>
      </c>
      <c r="G310" s="2" t="s">
        <v>22</v>
      </c>
      <c r="H310" s="2" t="s">
        <v>1223</v>
      </c>
      <c r="I310" s="2" t="s">
        <v>17</v>
      </c>
      <c r="J310" s="2">
        <v>0.97</v>
      </c>
      <c r="K310" s="2" t="str">
        <f t="shared" si="12"/>
        <v>&lt; 5kg</v>
      </c>
      <c r="L310" s="2">
        <f>tdata[[#This Row],[Received_date]]-tdata[[#This Row],[Shipment_Date]]</f>
        <v>10</v>
      </c>
      <c r="M310" s="2">
        <f>VLOOKUP(tdata[[#This Row],[Service_Type]],Table2[#All],2,0)</f>
        <v>1</v>
      </c>
      <c r="N310" s="2" t="str">
        <f>IF(tdata[[#This Row],[Delivery_Days]]&lt;=tdata[[#This Row],[SLA_Days]],"On Time","Late")</f>
        <v>Late</v>
      </c>
      <c r="O310" s="2">
        <f>VLOOKUP(tdata[[#This Row],[Service_Type]],Table2[#All],4,0)</f>
        <v>12000</v>
      </c>
      <c r="P310" s="2">
        <f>tdata[[#This Row],[price_per_kilo]]*tdata[[#This Row],[Weight_KG]]</f>
        <v>11640</v>
      </c>
      <c r="Q310" s="2" t="str">
        <f>VLOOKUP(tdata[[#This Row],[id_employee]],temployee[#All],2,0)</f>
        <v>Gita Rahmawati</v>
      </c>
      <c r="R310" s="2" t="str">
        <f>VLOOKUP(tdata[[#This Row],[id_employee]],temployee[#All],4,0)</f>
        <v>crowd source</v>
      </c>
      <c r="S310" s="9" t="str">
        <f>VLOOKUP(tdata[[#This Row],[id_employee]],temployee[#All],5,0)</f>
        <v>rider</v>
      </c>
    </row>
    <row r="311" spans="2:19" x14ac:dyDescent="0.35">
      <c r="B311" s="8" t="s">
        <v>330</v>
      </c>
      <c r="C311" s="2" t="s">
        <v>1280</v>
      </c>
      <c r="D311" s="5">
        <v>45511</v>
      </c>
      <c r="E311" s="5">
        <v>45521</v>
      </c>
      <c r="F311" s="2" t="s">
        <v>16</v>
      </c>
      <c r="G311" s="2" t="s">
        <v>49</v>
      </c>
      <c r="H311" s="2" t="s">
        <v>1224</v>
      </c>
      <c r="I311" s="2" t="s">
        <v>13</v>
      </c>
      <c r="J311" s="2">
        <v>5.52</v>
      </c>
      <c r="K311" s="2" t="str">
        <f t="shared" si="12"/>
        <v>&gt;5kg</v>
      </c>
      <c r="L311" s="2">
        <f>tdata[[#This Row],[Received_date]]-tdata[[#This Row],[Shipment_Date]]</f>
        <v>10</v>
      </c>
      <c r="M311" s="2">
        <f>VLOOKUP(tdata[[#This Row],[Service_Type]],Table2[#All],2,0)</f>
        <v>3</v>
      </c>
      <c r="N311" s="2" t="str">
        <f>IF(tdata[[#This Row],[Delivery_Days]]&lt;=tdata[[#This Row],[SLA_Days]],"On Time","Late")</f>
        <v>Late</v>
      </c>
      <c r="O311" s="2">
        <f>VLOOKUP(tdata[[#This Row],[Service_Type]],Table2[#All],4,0)</f>
        <v>10000</v>
      </c>
      <c r="P311" s="2">
        <f>tdata[[#This Row],[price_per_kilo]]*tdata[[#This Row],[Weight_KG]]</f>
        <v>55199.999999999993</v>
      </c>
      <c r="Q311" s="2" t="str">
        <f>VLOOKUP(tdata[[#This Row],[id_employee]],temployee[#All],2,0)</f>
        <v>Hendra Wijaya</v>
      </c>
      <c r="R311" s="2" t="str">
        <f>VLOOKUP(tdata[[#This Row],[id_employee]],temployee[#All],4,0)</f>
        <v>internal</v>
      </c>
      <c r="S311" s="9" t="str">
        <f>VLOOKUP(tdata[[#This Row],[id_employee]],temployee[#All],5,0)</f>
        <v>driver</v>
      </c>
    </row>
    <row r="312" spans="2:19" x14ac:dyDescent="0.35">
      <c r="B312" s="8" t="s">
        <v>331</v>
      </c>
      <c r="C312" s="2" t="s">
        <v>1281</v>
      </c>
      <c r="D312" s="5">
        <v>45193</v>
      </c>
      <c r="E312" s="5">
        <v>45202</v>
      </c>
      <c r="F312" s="2" t="s">
        <v>26</v>
      </c>
      <c r="G312" s="2" t="s">
        <v>26</v>
      </c>
      <c r="H312" s="2" t="s">
        <v>23</v>
      </c>
      <c r="I312" s="2" t="s">
        <v>13</v>
      </c>
      <c r="J312" s="2">
        <v>4.5199999999999996</v>
      </c>
      <c r="K312" s="2" t="str">
        <f t="shared" si="12"/>
        <v>&lt; 5kg</v>
      </c>
      <c r="L312" s="2">
        <f>tdata[[#This Row],[Received_date]]-tdata[[#This Row],[Shipment_Date]]</f>
        <v>9</v>
      </c>
      <c r="M312" s="2">
        <f>VLOOKUP(tdata[[#This Row],[Service_Type]],Table2[#All],2,0)</f>
        <v>5</v>
      </c>
      <c r="N312" s="2" t="str">
        <f>IF(tdata[[#This Row],[Delivery_Days]]&lt;=tdata[[#This Row],[SLA_Days]],"On Time","Late")</f>
        <v>Late</v>
      </c>
      <c r="O312" s="2">
        <f>VLOOKUP(tdata[[#This Row],[Service_Type]],Table2[#All],4,0)</f>
        <v>9000</v>
      </c>
      <c r="P312" s="2">
        <f>tdata[[#This Row],[price_per_kilo]]*tdata[[#This Row],[Weight_KG]]</f>
        <v>40679.999999999993</v>
      </c>
      <c r="Q312" s="2" t="str">
        <f>VLOOKUP(tdata[[#This Row],[id_employee]],temployee[#All],2,0)</f>
        <v>Indah Permata</v>
      </c>
      <c r="R312" s="2" t="str">
        <f>VLOOKUP(tdata[[#This Row],[id_employee]],temployee[#All],4,0)</f>
        <v>crowd source</v>
      </c>
      <c r="S312" s="9" t="str">
        <f>VLOOKUP(tdata[[#This Row],[id_employee]],temployee[#All],5,0)</f>
        <v>rider</v>
      </c>
    </row>
    <row r="313" spans="2:19" x14ac:dyDescent="0.35">
      <c r="B313" s="8" t="s">
        <v>332</v>
      </c>
      <c r="C313" s="2" t="s">
        <v>1282</v>
      </c>
      <c r="D313" s="5">
        <v>45327</v>
      </c>
      <c r="E313" s="5">
        <v>45327</v>
      </c>
      <c r="F313" s="2" t="s">
        <v>49</v>
      </c>
      <c r="G313" s="2" t="s">
        <v>26</v>
      </c>
      <c r="H313" s="2" t="s">
        <v>1224</v>
      </c>
      <c r="I313" s="2" t="s">
        <v>17</v>
      </c>
      <c r="J313" s="2">
        <v>4.17</v>
      </c>
      <c r="K313" s="2" t="str">
        <f t="shared" si="12"/>
        <v>&lt; 5kg</v>
      </c>
      <c r="L313" s="2">
        <f>tdata[[#This Row],[Received_date]]-tdata[[#This Row],[Shipment_Date]]</f>
        <v>0</v>
      </c>
      <c r="M313" s="2">
        <f>VLOOKUP(tdata[[#This Row],[Service_Type]],Table2[#All],2,0)</f>
        <v>3</v>
      </c>
      <c r="N313" s="2" t="str">
        <f>IF(tdata[[#This Row],[Delivery_Days]]&lt;=tdata[[#This Row],[SLA_Days]],"On Time","Late")</f>
        <v>On Time</v>
      </c>
      <c r="O313" s="2">
        <f>VLOOKUP(tdata[[#This Row],[Service_Type]],Table2[#All],4,0)</f>
        <v>10000</v>
      </c>
      <c r="P313" s="2">
        <f>tdata[[#This Row],[price_per_kilo]]*tdata[[#This Row],[Weight_KG]]</f>
        <v>41700</v>
      </c>
      <c r="Q313" s="2" t="str">
        <f>VLOOKUP(tdata[[#This Row],[id_employee]],temployee[#All],2,0)</f>
        <v>Joko Susilo</v>
      </c>
      <c r="R313" s="2" t="str">
        <f>VLOOKUP(tdata[[#This Row],[id_employee]],temployee[#All],4,0)</f>
        <v>internal</v>
      </c>
      <c r="S313" s="9" t="str">
        <f>VLOOKUP(tdata[[#This Row],[id_employee]],temployee[#All],5,0)</f>
        <v>driver</v>
      </c>
    </row>
    <row r="314" spans="2:19" x14ac:dyDescent="0.35">
      <c r="B314" s="8" t="s">
        <v>333</v>
      </c>
      <c r="C314" s="2" t="s">
        <v>1283</v>
      </c>
      <c r="D314" s="5">
        <v>45546</v>
      </c>
      <c r="E314" s="5">
        <v>45548</v>
      </c>
      <c r="F314" s="2" t="s">
        <v>11</v>
      </c>
      <c r="G314" s="2" t="s">
        <v>26</v>
      </c>
      <c r="H314" s="2" t="s">
        <v>1224</v>
      </c>
      <c r="I314" s="2" t="s">
        <v>17</v>
      </c>
      <c r="J314" s="2">
        <v>10.48</v>
      </c>
      <c r="K314" s="2" t="str">
        <f t="shared" si="12"/>
        <v>&gt;5kg</v>
      </c>
      <c r="L314" s="2">
        <f>tdata[[#This Row],[Received_date]]-tdata[[#This Row],[Shipment_Date]]</f>
        <v>2</v>
      </c>
      <c r="M314" s="2">
        <f>VLOOKUP(tdata[[#This Row],[Service_Type]],Table2[#All],2,0)</f>
        <v>3</v>
      </c>
      <c r="N314" s="2" t="str">
        <f>IF(tdata[[#This Row],[Delivery_Days]]&lt;=tdata[[#This Row],[SLA_Days]],"On Time","Late")</f>
        <v>On Time</v>
      </c>
      <c r="O314" s="2">
        <f>VLOOKUP(tdata[[#This Row],[Service_Type]],Table2[#All],4,0)</f>
        <v>10000</v>
      </c>
      <c r="P314" s="2">
        <f>tdata[[#This Row],[price_per_kilo]]*tdata[[#This Row],[Weight_KG]]</f>
        <v>104800</v>
      </c>
      <c r="Q314" s="2" t="str">
        <f>VLOOKUP(tdata[[#This Row],[id_employee]],temployee[#All],2,0)</f>
        <v>Kurniawan Putra</v>
      </c>
      <c r="R314" s="2" t="str">
        <f>VLOOKUP(tdata[[#This Row],[id_employee]],temployee[#All],4,0)</f>
        <v>crowd source</v>
      </c>
      <c r="S314" s="9" t="str">
        <f>VLOOKUP(tdata[[#This Row],[id_employee]],temployee[#All],5,0)</f>
        <v>driver</v>
      </c>
    </row>
    <row r="315" spans="2:19" x14ac:dyDescent="0.35">
      <c r="B315" s="8" t="s">
        <v>334</v>
      </c>
      <c r="C315" s="2" t="s">
        <v>1284</v>
      </c>
      <c r="D315" s="5">
        <v>45622</v>
      </c>
      <c r="E315" s="5">
        <f t="shared" ref="E315:E316" si="14">D315+4</f>
        <v>45626</v>
      </c>
      <c r="F315" s="2" t="s">
        <v>15</v>
      </c>
      <c r="G315" s="2" t="s">
        <v>16</v>
      </c>
      <c r="H315" s="2" t="s">
        <v>1223</v>
      </c>
      <c r="I315" s="2" t="s">
        <v>17</v>
      </c>
      <c r="J315" s="2">
        <v>5.14</v>
      </c>
      <c r="K315" s="2" t="str">
        <f t="shared" si="12"/>
        <v>&gt;5kg</v>
      </c>
      <c r="L315" s="2">
        <f>tdata[[#This Row],[Received_date]]-tdata[[#This Row],[Shipment_Date]]</f>
        <v>4</v>
      </c>
      <c r="M315" s="2">
        <f>VLOOKUP(tdata[[#This Row],[Service_Type]],Table2[#All],2,0)</f>
        <v>1</v>
      </c>
      <c r="N315" s="2" t="str">
        <f>IF(tdata[[#This Row],[Delivery_Days]]&lt;=tdata[[#This Row],[SLA_Days]],"On Time","Late")</f>
        <v>Late</v>
      </c>
      <c r="O315" s="2">
        <f>VLOOKUP(tdata[[#This Row],[Service_Type]],Table2[#All],4,0)</f>
        <v>12000</v>
      </c>
      <c r="P315" s="2">
        <f>tdata[[#This Row],[price_per_kilo]]*tdata[[#This Row],[Weight_KG]]</f>
        <v>61679.999999999993</v>
      </c>
      <c r="Q315" s="2" t="str">
        <f>VLOOKUP(tdata[[#This Row],[id_employee]],temployee[#All],2,0)</f>
        <v>Lina Marlina</v>
      </c>
      <c r="R315" s="2" t="str">
        <f>VLOOKUP(tdata[[#This Row],[id_employee]],temployee[#All],4,0)</f>
        <v>internal</v>
      </c>
      <c r="S315" s="9" t="str">
        <f>VLOOKUP(tdata[[#This Row],[id_employee]],temployee[#All],5,0)</f>
        <v>rider</v>
      </c>
    </row>
    <row r="316" spans="2:19" x14ac:dyDescent="0.35">
      <c r="B316" s="8" t="s">
        <v>335</v>
      </c>
      <c r="C316" s="2" t="s">
        <v>1285</v>
      </c>
      <c r="D316" s="5">
        <v>45180</v>
      </c>
      <c r="E316" s="5">
        <f t="shared" si="14"/>
        <v>45184</v>
      </c>
      <c r="F316" s="2" t="s">
        <v>20</v>
      </c>
      <c r="G316" s="2" t="s">
        <v>32</v>
      </c>
      <c r="H316" s="2" t="s">
        <v>23</v>
      </c>
      <c r="I316" s="2" t="s">
        <v>17</v>
      </c>
      <c r="J316" s="2">
        <v>9.93</v>
      </c>
      <c r="K316" s="2" t="str">
        <f t="shared" si="12"/>
        <v>&gt;5kg</v>
      </c>
      <c r="L316" s="2">
        <f>tdata[[#This Row],[Received_date]]-tdata[[#This Row],[Shipment_Date]]</f>
        <v>4</v>
      </c>
      <c r="M316" s="2">
        <f>VLOOKUP(tdata[[#This Row],[Service_Type]],Table2[#All],2,0)</f>
        <v>5</v>
      </c>
      <c r="N316" s="2" t="str">
        <f>IF(tdata[[#This Row],[Delivery_Days]]&lt;=tdata[[#This Row],[SLA_Days]],"On Time","Late")</f>
        <v>On Time</v>
      </c>
      <c r="O316" s="2">
        <f>VLOOKUP(tdata[[#This Row],[Service_Type]],Table2[#All],4,0)</f>
        <v>9000</v>
      </c>
      <c r="P316" s="2">
        <f>tdata[[#This Row],[price_per_kilo]]*tdata[[#This Row],[Weight_KG]]</f>
        <v>89370</v>
      </c>
      <c r="Q316" s="2" t="str">
        <f>VLOOKUP(tdata[[#This Row],[id_employee]],temployee[#All],2,0)</f>
        <v>Rizky Ananda</v>
      </c>
      <c r="R316" s="2" t="str">
        <f>VLOOKUP(tdata[[#This Row],[id_employee]],temployee[#All],4,0)</f>
        <v>crowd source</v>
      </c>
      <c r="S316" s="9" t="str">
        <f>VLOOKUP(tdata[[#This Row],[id_employee]],temployee[#All],5,0)</f>
        <v>rider</v>
      </c>
    </row>
    <row r="317" spans="2:19" x14ac:dyDescent="0.35">
      <c r="B317" s="8" t="s">
        <v>336</v>
      </c>
      <c r="C317" s="2" t="s">
        <v>1286</v>
      </c>
      <c r="D317" s="5">
        <v>45153</v>
      </c>
      <c r="E317" s="5">
        <v>45161</v>
      </c>
      <c r="F317" s="2" t="s">
        <v>22</v>
      </c>
      <c r="G317" s="2" t="s">
        <v>26</v>
      </c>
      <c r="H317" s="2" t="s">
        <v>1223</v>
      </c>
      <c r="I317" s="2" t="s">
        <v>17</v>
      </c>
      <c r="J317" s="2">
        <v>5.31</v>
      </c>
      <c r="K317" s="2" t="str">
        <f t="shared" si="12"/>
        <v>&gt;5kg</v>
      </c>
      <c r="L317" s="2">
        <f>tdata[[#This Row],[Received_date]]-tdata[[#This Row],[Shipment_Date]]</f>
        <v>8</v>
      </c>
      <c r="M317" s="2">
        <f>VLOOKUP(tdata[[#This Row],[Service_Type]],Table2[#All],2,0)</f>
        <v>1</v>
      </c>
      <c r="N317" s="2" t="str">
        <f>IF(tdata[[#This Row],[Delivery_Days]]&lt;=tdata[[#This Row],[SLA_Days]],"On Time","Late")</f>
        <v>Late</v>
      </c>
      <c r="O317" s="2">
        <f>VLOOKUP(tdata[[#This Row],[Service_Type]],Table2[#All],4,0)</f>
        <v>12000</v>
      </c>
      <c r="P317" s="2">
        <f>tdata[[#This Row],[price_per_kilo]]*tdata[[#This Row],[Weight_KG]]</f>
        <v>63719.999999999993</v>
      </c>
      <c r="Q317" s="2" t="str">
        <f>VLOOKUP(tdata[[#This Row],[id_employee]],temployee[#All],2,0)</f>
        <v>Nanda Prakoso</v>
      </c>
      <c r="R317" s="2" t="str">
        <f>VLOOKUP(tdata[[#This Row],[id_employee]],temployee[#All],4,0)</f>
        <v>internal</v>
      </c>
      <c r="S317" s="9" t="str">
        <f>VLOOKUP(tdata[[#This Row],[id_employee]],temployee[#All],5,0)</f>
        <v>driver</v>
      </c>
    </row>
    <row r="318" spans="2:19" x14ac:dyDescent="0.35">
      <c r="B318" s="8" t="s">
        <v>337</v>
      </c>
      <c r="C318" s="2" t="s">
        <v>1287</v>
      </c>
      <c r="D318" s="5">
        <v>45393</v>
      </c>
      <c r="E318" s="5">
        <v>45395</v>
      </c>
      <c r="F318" s="2" t="s">
        <v>12</v>
      </c>
      <c r="G318" s="2" t="s">
        <v>22</v>
      </c>
      <c r="H318" s="2" t="s">
        <v>1224</v>
      </c>
      <c r="I318" s="2" t="s">
        <v>17</v>
      </c>
      <c r="J318" s="2">
        <v>8.74</v>
      </c>
      <c r="K318" s="2" t="str">
        <f t="shared" si="12"/>
        <v>&gt;5kg</v>
      </c>
      <c r="L318" s="2">
        <f>tdata[[#This Row],[Received_date]]-tdata[[#This Row],[Shipment_Date]]</f>
        <v>2</v>
      </c>
      <c r="M318" s="2">
        <f>VLOOKUP(tdata[[#This Row],[Service_Type]],Table2[#All],2,0)</f>
        <v>3</v>
      </c>
      <c r="N318" s="2" t="str">
        <f>IF(tdata[[#This Row],[Delivery_Days]]&lt;=tdata[[#This Row],[SLA_Days]],"On Time","Late")</f>
        <v>On Time</v>
      </c>
      <c r="O318" s="2">
        <f>VLOOKUP(tdata[[#This Row],[Service_Type]],Table2[#All],4,0)</f>
        <v>10000</v>
      </c>
      <c r="P318" s="2">
        <f>tdata[[#This Row],[price_per_kilo]]*tdata[[#This Row],[Weight_KG]]</f>
        <v>87400</v>
      </c>
      <c r="Q318" s="2" t="str">
        <f>VLOOKUP(tdata[[#This Row],[id_employee]],temployee[#All],2,0)</f>
        <v>Oktavian Yusuf</v>
      </c>
      <c r="R318" s="2" t="str">
        <f>VLOOKUP(tdata[[#This Row],[id_employee]],temployee[#All],4,0)</f>
        <v>crowd source</v>
      </c>
      <c r="S318" s="9" t="str">
        <f>VLOOKUP(tdata[[#This Row],[id_employee]],temployee[#All],5,0)</f>
        <v>driver</v>
      </c>
    </row>
    <row r="319" spans="2:19" x14ac:dyDescent="0.35">
      <c r="B319" s="8" t="s">
        <v>338</v>
      </c>
      <c r="C319" s="2" t="s">
        <v>1288</v>
      </c>
      <c r="D319" s="5">
        <v>45212</v>
      </c>
      <c r="E319" s="5">
        <f t="shared" ref="E319:E320" si="15">D319+4</f>
        <v>45216</v>
      </c>
      <c r="F319" s="2" t="s">
        <v>30</v>
      </c>
      <c r="G319" s="2" t="s">
        <v>22</v>
      </c>
      <c r="H319" s="2" t="s">
        <v>1224</v>
      </c>
      <c r="I319" s="2" t="s">
        <v>17</v>
      </c>
      <c r="J319" s="2">
        <v>6.16</v>
      </c>
      <c r="K319" s="2" t="str">
        <f t="shared" si="12"/>
        <v>&gt;5kg</v>
      </c>
      <c r="L319" s="2">
        <f>tdata[[#This Row],[Received_date]]-tdata[[#This Row],[Shipment_Date]]</f>
        <v>4</v>
      </c>
      <c r="M319" s="2">
        <f>VLOOKUP(tdata[[#This Row],[Service_Type]],Table2[#All],2,0)</f>
        <v>3</v>
      </c>
      <c r="N319" s="2" t="str">
        <f>IF(tdata[[#This Row],[Delivery_Days]]&lt;=tdata[[#This Row],[SLA_Days]],"On Time","Late")</f>
        <v>Late</v>
      </c>
      <c r="O319" s="2">
        <f>VLOOKUP(tdata[[#This Row],[Service_Type]],Table2[#All],4,0)</f>
        <v>10000</v>
      </c>
      <c r="P319" s="2">
        <f>tdata[[#This Row],[price_per_kilo]]*tdata[[#This Row],[Weight_KG]]</f>
        <v>61600</v>
      </c>
      <c r="Q319" s="2" t="str">
        <f>VLOOKUP(tdata[[#This Row],[id_employee]],temployee[#All],2,0)</f>
        <v>Putri Ayu Lestari</v>
      </c>
      <c r="R319" s="2" t="str">
        <f>VLOOKUP(tdata[[#This Row],[id_employee]],temployee[#All],4,0)</f>
        <v>internal</v>
      </c>
      <c r="S319" s="9" t="str">
        <f>VLOOKUP(tdata[[#This Row],[id_employee]],temployee[#All],5,0)</f>
        <v>rider</v>
      </c>
    </row>
    <row r="320" spans="2:19" x14ac:dyDescent="0.35">
      <c r="B320" s="8" t="s">
        <v>339</v>
      </c>
      <c r="C320" s="2" t="s">
        <v>1289</v>
      </c>
      <c r="D320" s="5">
        <v>45137</v>
      </c>
      <c r="E320" s="5">
        <f t="shared" si="15"/>
        <v>45141</v>
      </c>
      <c r="F320" s="2" t="s">
        <v>32</v>
      </c>
      <c r="G320" s="2" t="s">
        <v>11</v>
      </c>
      <c r="H320" s="2" t="s">
        <v>23</v>
      </c>
      <c r="I320" s="2" t="s">
        <v>17</v>
      </c>
      <c r="J320" s="2">
        <v>8.4700000000000006</v>
      </c>
      <c r="K320" s="2" t="str">
        <f t="shared" si="12"/>
        <v>&gt;5kg</v>
      </c>
      <c r="L320" s="2">
        <f>tdata[[#This Row],[Received_date]]-tdata[[#This Row],[Shipment_Date]]</f>
        <v>4</v>
      </c>
      <c r="M320" s="2">
        <f>VLOOKUP(tdata[[#This Row],[Service_Type]],Table2[#All],2,0)</f>
        <v>5</v>
      </c>
      <c r="N320" s="2" t="str">
        <f>IF(tdata[[#This Row],[Delivery_Days]]&lt;=tdata[[#This Row],[SLA_Days]],"On Time","Late")</f>
        <v>On Time</v>
      </c>
      <c r="O320" s="2">
        <f>VLOOKUP(tdata[[#This Row],[Service_Type]],Table2[#All],4,0)</f>
        <v>9000</v>
      </c>
      <c r="P320" s="2">
        <f>tdata[[#This Row],[price_per_kilo]]*tdata[[#This Row],[Weight_KG]]</f>
        <v>76230</v>
      </c>
      <c r="Q320" s="2" t="str">
        <f>VLOOKUP(tdata[[#This Row],[id_employee]],temployee[#All],2,0)</f>
        <v>Rafi Maulana</v>
      </c>
      <c r="R320" s="2" t="str">
        <f>VLOOKUP(tdata[[#This Row],[id_employee]],temployee[#All],4,0)</f>
        <v>internal</v>
      </c>
      <c r="S320" s="9" t="str">
        <f>VLOOKUP(tdata[[#This Row],[id_employee]],temployee[#All],5,0)</f>
        <v>rider</v>
      </c>
    </row>
    <row r="321" spans="2:19" x14ac:dyDescent="0.35">
      <c r="B321" s="8" t="s">
        <v>340</v>
      </c>
      <c r="C321" s="2" t="s">
        <v>1290</v>
      </c>
      <c r="D321" s="5">
        <v>45148</v>
      </c>
      <c r="E321" s="5">
        <v>45152</v>
      </c>
      <c r="F321" s="2" t="s">
        <v>16</v>
      </c>
      <c r="G321" s="2" t="s">
        <v>22</v>
      </c>
      <c r="H321" s="2" t="s">
        <v>1224</v>
      </c>
      <c r="I321" s="2" t="s">
        <v>13</v>
      </c>
      <c r="J321" s="2">
        <v>8.34</v>
      </c>
      <c r="K321" s="2" t="str">
        <f t="shared" si="12"/>
        <v>&gt;5kg</v>
      </c>
      <c r="L321" s="2">
        <f>tdata[[#This Row],[Received_date]]-tdata[[#This Row],[Shipment_Date]]</f>
        <v>4</v>
      </c>
      <c r="M321" s="2">
        <f>VLOOKUP(tdata[[#This Row],[Service_Type]],Table2[#All],2,0)</f>
        <v>3</v>
      </c>
      <c r="N321" s="2" t="str">
        <f>IF(tdata[[#This Row],[Delivery_Days]]&lt;=tdata[[#This Row],[SLA_Days]],"On Time","Late")</f>
        <v>Late</v>
      </c>
      <c r="O321" s="2">
        <f>VLOOKUP(tdata[[#This Row],[Service_Type]],Table2[#All],4,0)</f>
        <v>10000</v>
      </c>
      <c r="P321" s="2">
        <f>tdata[[#This Row],[price_per_kilo]]*tdata[[#This Row],[Weight_KG]]</f>
        <v>83400</v>
      </c>
      <c r="Q321" s="2" t="str">
        <f>VLOOKUP(tdata[[#This Row],[id_employee]],temployee[#All],2,0)</f>
        <v>Sari Puspita</v>
      </c>
      <c r="R321" s="2" t="str">
        <f>VLOOKUP(tdata[[#This Row],[id_employee]],temployee[#All],4,0)</f>
        <v>crowd source</v>
      </c>
      <c r="S321" s="9" t="str">
        <f>VLOOKUP(tdata[[#This Row],[id_employee]],temployee[#All],5,0)</f>
        <v>rider</v>
      </c>
    </row>
    <row r="322" spans="2:19" x14ac:dyDescent="0.35">
      <c r="B322" s="8" t="s">
        <v>341</v>
      </c>
      <c r="C322" s="2" t="s">
        <v>1291</v>
      </c>
      <c r="D322" s="5">
        <v>45337</v>
      </c>
      <c r="E322" s="5">
        <v>45337</v>
      </c>
      <c r="F322" s="2" t="s">
        <v>26</v>
      </c>
      <c r="G322" s="2" t="s">
        <v>15</v>
      </c>
      <c r="H322" s="2" t="s">
        <v>1223</v>
      </c>
      <c r="I322" s="2" t="s">
        <v>13</v>
      </c>
      <c r="J322" s="2">
        <v>8.4700000000000006</v>
      </c>
      <c r="K322" s="2" t="str">
        <f t="shared" si="12"/>
        <v>&gt;5kg</v>
      </c>
      <c r="L322" s="2">
        <f>tdata[[#This Row],[Received_date]]-tdata[[#This Row],[Shipment_Date]]</f>
        <v>0</v>
      </c>
      <c r="M322" s="2">
        <f>VLOOKUP(tdata[[#This Row],[Service_Type]],Table2[#All],2,0)</f>
        <v>1</v>
      </c>
      <c r="N322" s="2" t="str">
        <f>IF(tdata[[#This Row],[Delivery_Days]]&lt;=tdata[[#This Row],[SLA_Days]],"On Time","Late")</f>
        <v>On Time</v>
      </c>
      <c r="O322" s="2">
        <f>VLOOKUP(tdata[[#This Row],[Service_Type]],Table2[#All],4,0)</f>
        <v>12000</v>
      </c>
      <c r="P322" s="2">
        <f>tdata[[#This Row],[price_per_kilo]]*tdata[[#This Row],[Weight_KG]]</f>
        <v>101640.00000000001</v>
      </c>
      <c r="Q322" s="2" t="str">
        <f>VLOOKUP(tdata[[#This Row],[id_employee]],temployee[#All],2,0)</f>
        <v>Teguh Wibowo</v>
      </c>
      <c r="R322" s="2" t="str">
        <f>VLOOKUP(tdata[[#This Row],[id_employee]],temployee[#All],4,0)</f>
        <v>internal</v>
      </c>
      <c r="S322" s="9" t="str">
        <f>VLOOKUP(tdata[[#This Row],[id_employee]],temployee[#All],5,0)</f>
        <v>driver</v>
      </c>
    </row>
    <row r="323" spans="2:19" x14ac:dyDescent="0.35">
      <c r="B323" s="8" t="s">
        <v>342</v>
      </c>
      <c r="C323" s="2" t="s">
        <v>1292</v>
      </c>
      <c r="D323" s="5">
        <v>45114</v>
      </c>
      <c r="E323" s="5">
        <v>45122</v>
      </c>
      <c r="F323" s="2" t="s">
        <v>49</v>
      </c>
      <c r="G323" s="2" t="s">
        <v>32</v>
      </c>
      <c r="H323" s="2" t="s">
        <v>1224</v>
      </c>
      <c r="I323" s="2" t="s">
        <v>13</v>
      </c>
      <c r="J323" s="2">
        <v>1.85</v>
      </c>
      <c r="K323" s="2" t="str">
        <f t="shared" si="12"/>
        <v>&lt; 5kg</v>
      </c>
      <c r="L323" s="2">
        <f>tdata[[#This Row],[Received_date]]-tdata[[#This Row],[Shipment_Date]]</f>
        <v>8</v>
      </c>
      <c r="M323" s="2">
        <f>VLOOKUP(tdata[[#This Row],[Service_Type]],Table2[#All],2,0)</f>
        <v>3</v>
      </c>
      <c r="N323" s="2" t="str">
        <f>IF(tdata[[#This Row],[Delivery_Days]]&lt;=tdata[[#This Row],[SLA_Days]],"On Time","Late")</f>
        <v>Late</v>
      </c>
      <c r="O323" s="2">
        <f>VLOOKUP(tdata[[#This Row],[Service_Type]],Table2[#All],4,0)</f>
        <v>10000</v>
      </c>
      <c r="P323" s="2">
        <f>tdata[[#This Row],[price_per_kilo]]*tdata[[#This Row],[Weight_KG]]</f>
        <v>18500</v>
      </c>
      <c r="Q323" s="2" t="str">
        <f>VLOOKUP(tdata[[#This Row],[id_employee]],temployee[#All],2,0)</f>
        <v>Umi Kalsum</v>
      </c>
      <c r="R323" s="2" t="str">
        <f>VLOOKUP(tdata[[#This Row],[id_employee]],temployee[#All],4,0)</f>
        <v>crowd source</v>
      </c>
      <c r="S323" s="9" t="str">
        <f>VLOOKUP(tdata[[#This Row],[id_employee]],temployee[#All],5,0)</f>
        <v>rider</v>
      </c>
    </row>
    <row r="324" spans="2:19" x14ac:dyDescent="0.35">
      <c r="B324" s="8" t="s">
        <v>343</v>
      </c>
      <c r="C324" s="2" t="s">
        <v>1293</v>
      </c>
      <c r="D324" s="5">
        <v>45458</v>
      </c>
      <c r="E324" s="5">
        <v>45459</v>
      </c>
      <c r="F324" s="2" t="s">
        <v>11</v>
      </c>
      <c r="G324" s="2" t="s">
        <v>20</v>
      </c>
      <c r="H324" s="2" t="s">
        <v>1223</v>
      </c>
      <c r="I324" s="2" t="s">
        <v>17</v>
      </c>
      <c r="J324" s="2">
        <v>0.84</v>
      </c>
      <c r="K324" s="2" t="str">
        <f t="shared" si="12"/>
        <v>&lt; 5kg</v>
      </c>
      <c r="L324" s="2">
        <f>tdata[[#This Row],[Received_date]]-tdata[[#This Row],[Shipment_Date]]</f>
        <v>1</v>
      </c>
      <c r="M324" s="2">
        <f>VLOOKUP(tdata[[#This Row],[Service_Type]],Table2[#All],2,0)</f>
        <v>1</v>
      </c>
      <c r="N324" s="2" t="str">
        <f>IF(tdata[[#This Row],[Delivery_Days]]&lt;=tdata[[#This Row],[SLA_Days]],"On Time","Late")</f>
        <v>On Time</v>
      </c>
      <c r="O324" s="2">
        <f>VLOOKUP(tdata[[#This Row],[Service_Type]],Table2[#All],4,0)</f>
        <v>12000</v>
      </c>
      <c r="P324" s="2">
        <f>tdata[[#This Row],[price_per_kilo]]*tdata[[#This Row],[Weight_KG]]</f>
        <v>10080</v>
      </c>
      <c r="Q324" s="2" t="str">
        <f>VLOOKUP(tdata[[#This Row],[id_employee]],temployee[#All],2,0)</f>
        <v>Vina Oktaviani</v>
      </c>
      <c r="R324" s="2" t="str">
        <f>VLOOKUP(tdata[[#This Row],[id_employee]],temployee[#All],4,0)</f>
        <v>internal</v>
      </c>
      <c r="S324" s="9" t="str">
        <f>VLOOKUP(tdata[[#This Row],[id_employee]],temployee[#All],5,0)</f>
        <v>rider</v>
      </c>
    </row>
    <row r="325" spans="2:19" x14ac:dyDescent="0.35">
      <c r="B325" s="8" t="s">
        <v>344</v>
      </c>
      <c r="C325" s="2" t="s">
        <v>1294</v>
      </c>
      <c r="D325" s="5">
        <v>45087</v>
      </c>
      <c r="E325" s="5">
        <v>45092</v>
      </c>
      <c r="F325" s="2" t="s">
        <v>15</v>
      </c>
      <c r="G325" s="2" t="s">
        <v>16</v>
      </c>
      <c r="H325" s="2" t="s">
        <v>23</v>
      </c>
      <c r="I325" s="2" t="s">
        <v>13</v>
      </c>
      <c r="J325" s="2">
        <v>3.53</v>
      </c>
      <c r="K325" s="2" t="str">
        <f t="shared" ref="K325:K388" si="16">IF(J325&lt;5,"&lt; 5kg", "&gt;5kg")</f>
        <v>&lt; 5kg</v>
      </c>
      <c r="L325" s="2">
        <f>tdata[[#This Row],[Received_date]]-tdata[[#This Row],[Shipment_Date]]</f>
        <v>5</v>
      </c>
      <c r="M325" s="2">
        <f>VLOOKUP(tdata[[#This Row],[Service_Type]],Table2[#All],2,0)</f>
        <v>5</v>
      </c>
      <c r="N325" s="2" t="str">
        <f>IF(tdata[[#This Row],[Delivery_Days]]&lt;=tdata[[#This Row],[SLA_Days]],"On Time","Late")</f>
        <v>On Time</v>
      </c>
      <c r="O325" s="2">
        <f>VLOOKUP(tdata[[#This Row],[Service_Type]],Table2[#All],4,0)</f>
        <v>9000</v>
      </c>
      <c r="P325" s="2">
        <f>tdata[[#This Row],[price_per_kilo]]*tdata[[#This Row],[Weight_KG]]</f>
        <v>31770</v>
      </c>
      <c r="Q325" s="2" t="str">
        <f>VLOOKUP(tdata[[#This Row],[id_employee]],temployee[#All],2,0)</f>
        <v>Wahyu Setiawan</v>
      </c>
      <c r="R325" s="2" t="str">
        <f>VLOOKUP(tdata[[#This Row],[id_employee]],temployee[#All],4,0)</f>
        <v>crowd source</v>
      </c>
      <c r="S325" s="9" t="str">
        <f>VLOOKUP(tdata[[#This Row],[id_employee]],temployee[#All],5,0)</f>
        <v>driver</v>
      </c>
    </row>
    <row r="326" spans="2:19" x14ac:dyDescent="0.35">
      <c r="B326" s="8" t="s">
        <v>345</v>
      </c>
      <c r="C326" s="2" t="s">
        <v>1295</v>
      </c>
      <c r="D326" s="5">
        <v>45290</v>
      </c>
      <c r="E326" s="5">
        <v>45301</v>
      </c>
      <c r="F326" s="2" t="s">
        <v>20</v>
      </c>
      <c r="G326" s="2" t="s">
        <v>30</v>
      </c>
      <c r="H326" s="2" t="s">
        <v>23</v>
      </c>
      <c r="I326" s="2" t="s">
        <v>17</v>
      </c>
      <c r="J326" s="2">
        <v>3.22</v>
      </c>
      <c r="K326" s="2" t="str">
        <f t="shared" si="16"/>
        <v>&lt; 5kg</v>
      </c>
      <c r="L326" s="2">
        <f>tdata[[#This Row],[Received_date]]-tdata[[#This Row],[Shipment_Date]]</f>
        <v>11</v>
      </c>
      <c r="M326" s="2">
        <f>VLOOKUP(tdata[[#This Row],[Service_Type]],Table2[#All],2,0)</f>
        <v>5</v>
      </c>
      <c r="N326" s="2" t="str">
        <f>IF(tdata[[#This Row],[Delivery_Days]]&lt;=tdata[[#This Row],[SLA_Days]],"On Time","Late")</f>
        <v>Late</v>
      </c>
      <c r="O326" s="2">
        <f>VLOOKUP(tdata[[#This Row],[Service_Type]],Table2[#All],4,0)</f>
        <v>9000</v>
      </c>
      <c r="P326" s="2">
        <f>tdata[[#This Row],[price_per_kilo]]*tdata[[#This Row],[Weight_KG]]</f>
        <v>28980</v>
      </c>
      <c r="Q326" s="2" t="str">
        <f>VLOOKUP(tdata[[#This Row],[id_employee]],temployee[#All],2,0)</f>
        <v>Yogi Firmansyah</v>
      </c>
      <c r="R326" s="2" t="str">
        <f>VLOOKUP(tdata[[#This Row],[id_employee]],temployee[#All],4,0)</f>
        <v>internal</v>
      </c>
      <c r="S326" s="9" t="str">
        <f>VLOOKUP(tdata[[#This Row],[id_employee]],temployee[#All],5,0)</f>
        <v>driver</v>
      </c>
    </row>
    <row r="327" spans="2:19" x14ac:dyDescent="0.35">
      <c r="B327" s="8" t="s">
        <v>346</v>
      </c>
      <c r="C327" s="2" t="s">
        <v>1296</v>
      </c>
      <c r="D327" s="5">
        <v>45136</v>
      </c>
      <c r="E327" s="5">
        <v>45137</v>
      </c>
      <c r="F327" s="2" t="s">
        <v>22</v>
      </c>
      <c r="G327" s="2" t="s">
        <v>15</v>
      </c>
      <c r="H327" s="2" t="s">
        <v>1223</v>
      </c>
      <c r="I327" s="2" t="s">
        <v>13</v>
      </c>
      <c r="J327" s="2">
        <v>5.45</v>
      </c>
      <c r="K327" s="2" t="str">
        <f t="shared" si="16"/>
        <v>&gt;5kg</v>
      </c>
      <c r="L327" s="2">
        <f>tdata[[#This Row],[Received_date]]-tdata[[#This Row],[Shipment_Date]]</f>
        <v>1</v>
      </c>
      <c r="M327" s="2">
        <f>VLOOKUP(tdata[[#This Row],[Service_Type]],Table2[#All],2,0)</f>
        <v>1</v>
      </c>
      <c r="N327" s="2" t="str">
        <f>IF(tdata[[#This Row],[Delivery_Days]]&lt;=tdata[[#This Row],[SLA_Days]],"On Time","Late")</f>
        <v>On Time</v>
      </c>
      <c r="O327" s="2">
        <f>VLOOKUP(tdata[[#This Row],[Service_Type]],Table2[#All],4,0)</f>
        <v>12000</v>
      </c>
      <c r="P327" s="2">
        <f>tdata[[#This Row],[price_per_kilo]]*tdata[[#This Row],[Weight_KG]]</f>
        <v>65400</v>
      </c>
      <c r="Q327" s="2" t="str">
        <f>VLOOKUP(tdata[[#This Row],[id_employee]],temployee[#All],2,0)</f>
        <v>Zainal Abidin</v>
      </c>
      <c r="R327" s="2" t="str">
        <f>VLOOKUP(tdata[[#This Row],[id_employee]],temployee[#All],4,0)</f>
        <v>crowd source</v>
      </c>
      <c r="S327" s="9" t="str">
        <f>VLOOKUP(tdata[[#This Row],[id_employee]],temployee[#All],5,0)</f>
        <v>driver</v>
      </c>
    </row>
    <row r="328" spans="2:19" x14ac:dyDescent="0.35">
      <c r="B328" s="8" t="s">
        <v>347</v>
      </c>
      <c r="C328" s="2" t="s">
        <v>1297</v>
      </c>
      <c r="D328" s="5">
        <v>45192</v>
      </c>
      <c r="E328" s="5">
        <f t="shared" ref="E328:E329" si="17">D328+4</f>
        <v>45196</v>
      </c>
      <c r="F328" s="2" t="s">
        <v>12</v>
      </c>
      <c r="G328" s="2" t="s">
        <v>20</v>
      </c>
      <c r="H328" s="2" t="s">
        <v>1224</v>
      </c>
      <c r="I328" s="2" t="s">
        <v>13</v>
      </c>
      <c r="J328" s="2">
        <v>9.89</v>
      </c>
      <c r="K328" s="2" t="str">
        <f t="shared" si="16"/>
        <v>&gt;5kg</v>
      </c>
      <c r="L328" s="2">
        <f>tdata[[#This Row],[Received_date]]-tdata[[#This Row],[Shipment_Date]]</f>
        <v>4</v>
      </c>
      <c r="M328" s="2">
        <f>VLOOKUP(tdata[[#This Row],[Service_Type]],Table2[#All],2,0)</f>
        <v>3</v>
      </c>
      <c r="N328" s="2" t="str">
        <f>IF(tdata[[#This Row],[Delivery_Days]]&lt;=tdata[[#This Row],[SLA_Days]],"On Time","Late")</f>
        <v>Late</v>
      </c>
      <c r="O328" s="2">
        <f>VLOOKUP(tdata[[#This Row],[Service_Type]],Table2[#All],4,0)</f>
        <v>10000</v>
      </c>
      <c r="P328" s="2">
        <f>tdata[[#This Row],[price_per_kilo]]*tdata[[#This Row],[Weight_KG]]</f>
        <v>98900</v>
      </c>
      <c r="Q328" s="2" t="str">
        <f>VLOOKUP(tdata[[#This Row],[id_employee]],temployee[#All],2,0)</f>
        <v>Ahmad Fauzi</v>
      </c>
      <c r="R328" s="2" t="str">
        <f>VLOOKUP(tdata[[#This Row],[id_employee]],temployee[#All],4,0)</f>
        <v>internal</v>
      </c>
      <c r="S328" s="9" t="str">
        <f>VLOOKUP(tdata[[#This Row],[id_employee]],temployee[#All],5,0)</f>
        <v>rider</v>
      </c>
    </row>
    <row r="329" spans="2:19" x14ac:dyDescent="0.35">
      <c r="B329" s="8" t="s">
        <v>348</v>
      </c>
      <c r="C329" s="2" t="s">
        <v>1298</v>
      </c>
      <c r="D329" s="5">
        <v>45003</v>
      </c>
      <c r="E329" s="5">
        <f t="shared" si="17"/>
        <v>45007</v>
      </c>
      <c r="F329" s="2" t="s">
        <v>30</v>
      </c>
      <c r="G329" s="2" t="s">
        <v>30</v>
      </c>
      <c r="H329" s="2" t="s">
        <v>1224</v>
      </c>
      <c r="I329" s="2" t="s">
        <v>17</v>
      </c>
      <c r="J329" s="2">
        <v>10.28</v>
      </c>
      <c r="K329" s="2" t="str">
        <f t="shared" si="16"/>
        <v>&gt;5kg</v>
      </c>
      <c r="L329" s="2">
        <f>tdata[[#This Row],[Received_date]]-tdata[[#This Row],[Shipment_Date]]</f>
        <v>4</v>
      </c>
      <c r="M329" s="2">
        <f>VLOOKUP(tdata[[#This Row],[Service_Type]],Table2[#All],2,0)</f>
        <v>3</v>
      </c>
      <c r="N329" s="2" t="str">
        <f>IF(tdata[[#This Row],[Delivery_Days]]&lt;=tdata[[#This Row],[SLA_Days]],"On Time","Late")</f>
        <v>Late</v>
      </c>
      <c r="O329" s="2">
        <f>VLOOKUP(tdata[[#This Row],[Service_Type]],Table2[#All],4,0)</f>
        <v>10000</v>
      </c>
      <c r="P329" s="2">
        <f>tdata[[#This Row],[price_per_kilo]]*tdata[[#This Row],[Weight_KG]]</f>
        <v>102800</v>
      </c>
      <c r="Q329" s="2" t="str">
        <f>VLOOKUP(tdata[[#This Row],[id_employee]],temployee[#All],2,0)</f>
        <v>Bayu Ramadhan</v>
      </c>
      <c r="R329" s="2" t="str">
        <f>VLOOKUP(tdata[[#This Row],[id_employee]],temployee[#All],4,0)</f>
        <v>crowd source</v>
      </c>
      <c r="S329" s="9" t="str">
        <f>VLOOKUP(tdata[[#This Row],[id_employee]],temployee[#All],5,0)</f>
        <v>rider</v>
      </c>
    </row>
    <row r="330" spans="2:19" x14ac:dyDescent="0.35">
      <c r="B330" s="8" t="s">
        <v>349</v>
      </c>
      <c r="C330" s="2" t="s">
        <v>1299</v>
      </c>
      <c r="D330" s="5">
        <v>45520</v>
      </c>
      <c r="E330" s="5">
        <v>45530</v>
      </c>
      <c r="F330" s="2" t="s">
        <v>32</v>
      </c>
      <c r="G330" s="2" t="s">
        <v>12</v>
      </c>
      <c r="H330" s="2" t="s">
        <v>1224</v>
      </c>
      <c r="I330" s="2" t="s">
        <v>13</v>
      </c>
      <c r="J330" s="2">
        <v>4.67</v>
      </c>
      <c r="K330" s="2" t="str">
        <f t="shared" si="16"/>
        <v>&lt; 5kg</v>
      </c>
      <c r="L330" s="2">
        <f>tdata[[#This Row],[Received_date]]-tdata[[#This Row],[Shipment_Date]]</f>
        <v>10</v>
      </c>
      <c r="M330" s="2">
        <f>VLOOKUP(tdata[[#This Row],[Service_Type]],Table2[#All],2,0)</f>
        <v>3</v>
      </c>
      <c r="N330" s="2" t="str">
        <f>IF(tdata[[#This Row],[Delivery_Days]]&lt;=tdata[[#This Row],[SLA_Days]],"On Time","Late")</f>
        <v>Late</v>
      </c>
      <c r="O330" s="2">
        <f>VLOOKUP(tdata[[#This Row],[Service_Type]],Table2[#All],4,0)</f>
        <v>10000</v>
      </c>
      <c r="P330" s="2">
        <f>tdata[[#This Row],[price_per_kilo]]*tdata[[#This Row],[Weight_KG]]</f>
        <v>46700</v>
      </c>
      <c r="Q330" s="2" t="str">
        <f>VLOOKUP(tdata[[#This Row],[id_employee]],temployee[#All],2,0)</f>
        <v>Cindy Oktavia</v>
      </c>
      <c r="R330" s="2" t="str">
        <f>VLOOKUP(tdata[[#This Row],[id_employee]],temployee[#All],4,0)</f>
        <v>internal</v>
      </c>
      <c r="S330" s="9" t="str">
        <f>VLOOKUP(tdata[[#This Row],[id_employee]],temployee[#All],5,0)</f>
        <v>rider</v>
      </c>
    </row>
    <row r="331" spans="2:19" x14ac:dyDescent="0.35">
      <c r="B331" s="8" t="s">
        <v>350</v>
      </c>
      <c r="C331" s="2" t="s">
        <v>1300</v>
      </c>
      <c r="D331" s="5">
        <v>45000</v>
      </c>
      <c r="E331" s="5">
        <v>45011</v>
      </c>
      <c r="F331" s="2" t="s">
        <v>16</v>
      </c>
      <c r="G331" s="2" t="s">
        <v>32</v>
      </c>
      <c r="H331" s="2" t="s">
        <v>1224</v>
      </c>
      <c r="I331" s="2" t="s">
        <v>17</v>
      </c>
      <c r="J331" s="2">
        <v>6.59</v>
      </c>
      <c r="K331" s="2" t="str">
        <f t="shared" si="16"/>
        <v>&gt;5kg</v>
      </c>
      <c r="L331" s="2">
        <f>tdata[[#This Row],[Received_date]]-tdata[[#This Row],[Shipment_Date]]</f>
        <v>11</v>
      </c>
      <c r="M331" s="2">
        <f>VLOOKUP(tdata[[#This Row],[Service_Type]],Table2[#All],2,0)</f>
        <v>3</v>
      </c>
      <c r="N331" s="2" t="str">
        <f>IF(tdata[[#This Row],[Delivery_Days]]&lt;=tdata[[#This Row],[SLA_Days]],"On Time","Late")</f>
        <v>Late</v>
      </c>
      <c r="O331" s="2">
        <f>VLOOKUP(tdata[[#This Row],[Service_Type]],Table2[#All],4,0)</f>
        <v>10000</v>
      </c>
      <c r="P331" s="2">
        <f>tdata[[#This Row],[price_per_kilo]]*tdata[[#This Row],[Weight_KG]]</f>
        <v>65900</v>
      </c>
      <c r="Q331" s="2" t="str">
        <f>VLOOKUP(tdata[[#This Row],[id_employee]],temployee[#All],2,0)</f>
        <v>Dian Pramudya</v>
      </c>
      <c r="R331" s="2" t="str">
        <f>VLOOKUP(tdata[[#This Row],[id_employee]],temployee[#All],4,0)</f>
        <v>crowd source</v>
      </c>
      <c r="S331" s="9" t="str">
        <f>VLOOKUP(tdata[[#This Row],[id_employee]],temployee[#All],5,0)</f>
        <v>driver</v>
      </c>
    </row>
    <row r="332" spans="2:19" x14ac:dyDescent="0.35">
      <c r="B332" s="8" t="s">
        <v>351</v>
      </c>
      <c r="C332" s="2" t="s">
        <v>1301</v>
      </c>
      <c r="D332" s="5">
        <v>44985</v>
      </c>
      <c r="E332" s="5">
        <v>44986</v>
      </c>
      <c r="F332" s="2" t="s">
        <v>26</v>
      </c>
      <c r="G332" s="2" t="s">
        <v>22</v>
      </c>
      <c r="H332" s="2" t="s">
        <v>1223</v>
      </c>
      <c r="I332" s="2" t="s">
        <v>13</v>
      </c>
      <c r="J332" s="2">
        <v>9.4</v>
      </c>
      <c r="K332" s="2" t="str">
        <f t="shared" si="16"/>
        <v>&gt;5kg</v>
      </c>
      <c r="L332" s="2">
        <f>tdata[[#This Row],[Received_date]]-tdata[[#This Row],[Shipment_Date]]</f>
        <v>1</v>
      </c>
      <c r="M332" s="2">
        <f>VLOOKUP(tdata[[#This Row],[Service_Type]],Table2[#All],2,0)</f>
        <v>1</v>
      </c>
      <c r="N332" s="2" t="str">
        <f>IF(tdata[[#This Row],[Delivery_Days]]&lt;=tdata[[#This Row],[SLA_Days]],"On Time","Late")</f>
        <v>On Time</v>
      </c>
      <c r="O332" s="2">
        <f>VLOOKUP(tdata[[#This Row],[Service_Type]],Table2[#All],4,0)</f>
        <v>12000</v>
      </c>
      <c r="P332" s="2">
        <f>tdata[[#This Row],[price_per_kilo]]*tdata[[#This Row],[Weight_KG]]</f>
        <v>112800</v>
      </c>
      <c r="Q332" s="2" t="str">
        <f>VLOOKUP(tdata[[#This Row],[id_employee]],temployee[#All],2,0)</f>
        <v>Erwin Kurniawan</v>
      </c>
      <c r="R332" s="2" t="str">
        <f>VLOOKUP(tdata[[#This Row],[id_employee]],temployee[#All],4,0)</f>
        <v>internal</v>
      </c>
      <c r="S332" s="9" t="str">
        <f>VLOOKUP(tdata[[#This Row],[id_employee]],temployee[#All],5,0)</f>
        <v>driver</v>
      </c>
    </row>
    <row r="333" spans="2:19" x14ac:dyDescent="0.35">
      <c r="B333" s="8" t="s">
        <v>352</v>
      </c>
      <c r="C333" s="2" t="s">
        <v>1302</v>
      </c>
      <c r="D333" s="5">
        <v>44970</v>
      </c>
      <c r="E333" s="5">
        <v>44971</v>
      </c>
      <c r="F333" s="2" t="s">
        <v>49</v>
      </c>
      <c r="G333" s="2" t="s">
        <v>26</v>
      </c>
      <c r="H333" s="2" t="s">
        <v>1223</v>
      </c>
      <c r="I333" s="2" t="s">
        <v>17</v>
      </c>
      <c r="J333" s="2">
        <v>3.29</v>
      </c>
      <c r="K333" s="2" t="str">
        <f t="shared" si="16"/>
        <v>&lt; 5kg</v>
      </c>
      <c r="L333" s="2">
        <f>tdata[[#This Row],[Received_date]]-tdata[[#This Row],[Shipment_Date]]</f>
        <v>1</v>
      </c>
      <c r="M333" s="2">
        <f>VLOOKUP(tdata[[#This Row],[Service_Type]],Table2[#All],2,0)</f>
        <v>1</v>
      </c>
      <c r="N333" s="2" t="str">
        <f>IF(tdata[[#This Row],[Delivery_Days]]&lt;=tdata[[#This Row],[SLA_Days]],"On Time","Late")</f>
        <v>On Time</v>
      </c>
      <c r="O333" s="2">
        <f>VLOOKUP(tdata[[#This Row],[Service_Type]],Table2[#All],4,0)</f>
        <v>12000</v>
      </c>
      <c r="P333" s="2">
        <f>tdata[[#This Row],[price_per_kilo]]*tdata[[#This Row],[Weight_KG]]</f>
        <v>39480</v>
      </c>
      <c r="Q333" s="2" t="str">
        <f>VLOOKUP(tdata[[#This Row],[id_employee]],temployee[#All],2,0)</f>
        <v>Fitri Handayani</v>
      </c>
      <c r="R333" s="2" t="str">
        <f>VLOOKUP(tdata[[#This Row],[id_employee]],temployee[#All],4,0)</f>
        <v>crowd source</v>
      </c>
      <c r="S333" s="9" t="str">
        <f>VLOOKUP(tdata[[#This Row],[id_employee]],temployee[#All],5,0)</f>
        <v>rider</v>
      </c>
    </row>
    <row r="334" spans="2:19" x14ac:dyDescent="0.35">
      <c r="B334" s="8" t="s">
        <v>353</v>
      </c>
      <c r="C334" s="2" t="s">
        <v>1303</v>
      </c>
      <c r="D334" s="5">
        <v>45460</v>
      </c>
      <c r="E334" s="5">
        <v>45466</v>
      </c>
      <c r="F334" s="2" t="s">
        <v>11</v>
      </c>
      <c r="G334" s="2" t="s">
        <v>20</v>
      </c>
      <c r="H334" s="2" t="s">
        <v>1224</v>
      </c>
      <c r="I334" s="2" t="s">
        <v>13</v>
      </c>
      <c r="J334" s="2">
        <v>8.35</v>
      </c>
      <c r="K334" s="2" t="str">
        <f t="shared" si="16"/>
        <v>&gt;5kg</v>
      </c>
      <c r="L334" s="2">
        <f>tdata[[#This Row],[Received_date]]-tdata[[#This Row],[Shipment_Date]]</f>
        <v>6</v>
      </c>
      <c r="M334" s="2">
        <f>VLOOKUP(tdata[[#This Row],[Service_Type]],Table2[#All],2,0)</f>
        <v>3</v>
      </c>
      <c r="N334" s="2" t="str">
        <f>IF(tdata[[#This Row],[Delivery_Days]]&lt;=tdata[[#This Row],[SLA_Days]],"On Time","Late")</f>
        <v>Late</v>
      </c>
      <c r="O334" s="2">
        <f>VLOOKUP(tdata[[#This Row],[Service_Type]],Table2[#All],4,0)</f>
        <v>10000</v>
      </c>
      <c r="P334" s="2">
        <f>tdata[[#This Row],[price_per_kilo]]*tdata[[#This Row],[Weight_KG]]</f>
        <v>83500</v>
      </c>
      <c r="Q334" s="2" t="str">
        <f>VLOOKUP(tdata[[#This Row],[id_employee]],temployee[#All],2,0)</f>
        <v>Gilang Saputra</v>
      </c>
      <c r="R334" s="2" t="str">
        <f>VLOOKUP(tdata[[#This Row],[id_employee]],temployee[#All],4,0)</f>
        <v>internal</v>
      </c>
      <c r="S334" s="9" t="str">
        <f>VLOOKUP(tdata[[#This Row],[id_employee]],temployee[#All],5,0)</f>
        <v>rider</v>
      </c>
    </row>
    <row r="335" spans="2:19" x14ac:dyDescent="0.35">
      <c r="B335" s="8" t="s">
        <v>354</v>
      </c>
      <c r="C335" s="2" t="s">
        <v>1304</v>
      </c>
      <c r="D335" s="5">
        <v>44962</v>
      </c>
      <c r="E335" s="5">
        <v>44965</v>
      </c>
      <c r="F335" s="2" t="s">
        <v>15</v>
      </c>
      <c r="G335" s="2" t="s">
        <v>30</v>
      </c>
      <c r="H335" s="2" t="s">
        <v>1224</v>
      </c>
      <c r="I335" s="2" t="s">
        <v>13</v>
      </c>
      <c r="J335" s="2">
        <v>3.2</v>
      </c>
      <c r="K335" s="2" t="str">
        <f t="shared" si="16"/>
        <v>&lt; 5kg</v>
      </c>
      <c r="L335" s="2">
        <f>tdata[[#This Row],[Received_date]]-tdata[[#This Row],[Shipment_Date]]</f>
        <v>3</v>
      </c>
      <c r="M335" s="2">
        <f>VLOOKUP(tdata[[#This Row],[Service_Type]],Table2[#All],2,0)</f>
        <v>3</v>
      </c>
      <c r="N335" s="2" t="str">
        <f>IF(tdata[[#This Row],[Delivery_Days]]&lt;=tdata[[#This Row],[SLA_Days]],"On Time","Late")</f>
        <v>On Time</v>
      </c>
      <c r="O335" s="2">
        <f>VLOOKUP(tdata[[#This Row],[Service_Type]],Table2[#All],4,0)</f>
        <v>10000</v>
      </c>
      <c r="P335" s="2">
        <f>tdata[[#This Row],[price_per_kilo]]*tdata[[#This Row],[Weight_KG]]</f>
        <v>32000</v>
      </c>
      <c r="Q335" s="2" t="str">
        <f>VLOOKUP(tdata[[#This Row],[id_employee]],temployee[#All],2,0)</f>
        <v>Hariyanto</v>
      </c>
      <c r="R335" s="2" t="str">
        <f>VLOOKUP(tdata[[#This Row],[id_employee]],temployee[#All],4,0)</f>
        <v>crowd source</v>
      </c>
      <c r="S335" s="9" t="str">
        <f>VLOOKUP(tdata[[#This Row],[id_employee]],temployee[#All],5,0)</f>
        <v>driver</v>
      </c>
    </row>
    <row r="336" spans="2:19" x14ac:dyDescent="0.35">
      <c r="B336" s="8" t="s">
        <v>355</v>
      </c>
      <c r="C336" s="2" t="s">
        <v>1305</v>
      </c>
      <c r="D336" s="5">
        <v>45127</v>
      </c>
      <c r="E336" s="5">
        <f>D336+4</f>
        <v>45131</v>
      </c>
      <c r="F336" s="2" t="s">
        <v>20</v>
      </c>
      <c r="G336" s="2" t="s">
        <v>26</v>
      </c>
      <c r="H336" s="2" t="s">
        <v>1224</v>
      </c>
      <c r="I336" s="2" t="s">
        <v>13</v>
      </c>
      <c r="J336" s="2">
        <v>5.17</v>
      </c>
      <c r="K336" s="2" t="str">
        <f t="shared" si="16"/>
        <v>&gt;5kg</v>
      </c>
      <c r="L336" s="2">
        <f>tdata[[#This Row],[Received_date]]-tdata[[#This Row],[Shipment_Date]]</f>
        <v>4</v>
      </c>
      <c r="M336" s="2">
        <f>VLOOKUP(tdata[[#This Row],[Service_Type]],Table2[#All],2,0)</f>
        <v>3</v>
      </c>
      <c r="N336" s="2" t="str">
        <f>IF(tdata[[#This Row],[Delivery_Days]]&lt;=tdata[[#This Row],[SLA_Days]],"On Time","Late")</f>
        <v>Late</v>
      </c>
      <c r="O336" s="2">
        <f>VLOOKUP(tdata[[#This Row],[Service_Type]],Table2[#All],4,0)</f>
        <v>10000</v>
      </c>
      <c r="P336" s="2">
        <f>tdata[[#This Row],[price_per_kilo]]*tdata[[#This Row],[Weight_KG]]</f>
        <v>51700</v>
      </c>
      <c r="Q336" s="2" t="str">
        <f>VLOOKUP(tdata[[#This Row],[id_employee]],temployee[#All],2,0)</f>
        <v>Intan Maharani</v>
      </c>
      <c r="R336" s="2" t="str">
        <f>VLOOKUP(tdata[[#This Row],[id_employee]],temployee[#All],4,0)</f>
        <v>internal</v>
      </c>
      <c r="S336" s="9" t="str">
        <f>VLOOKUP(tdata[[#This Row],[id_employee]],temployee[#All],5,0)</f>
        <v>rider</v>
      </c>
    </row>
    <row r="337" spans="2:19" x14ac:dyDescent="0.35">
      <c r="B337" s="8" t="s">
        <v>356</v>
      </c>
      <c r="C337" s="2" t="s">
        <v>1306</v>
      </c>
      <c r="D337" s="5">
        <v>45394</v>
      </c>
      <c r="E337" s="5">
        <v>45400</v>
      </c>
      <c r="F337" s="2" t="s">
        <v>22</v>
      </c>
      <c r="G337" s="2" t="s">
        <v>12</v>
      </c>
      <c r="H337" s="2" t="s">
        <v>1224</v>
      </c>
      <c r="I337" s="2" t="s">
        <v>13</v>
      </c>
      <c r="J337" s="2">
        <v>4.9000000000000004</v>
      </c>
      <c r="K337" s="2" t="str">
        <f t="shared" si="16"/>
        <v>&lt; 5kg</v>
      </c>
      <c r="L337" s="2">
        <f>tdata[[#This Row],[Received_date]]-tdata[[#This Row],[Shipment_Date]]</f>
        <v>6</v>
      </c>
      <c r="M337" s="2">
        <f>VLOOKUP(tdata[[#This Row],[Service_Type]],Table2[#All],2,0)</f>
        <v>3</v>
      </c>
      <c r="N337" s="2" t="str">
        <f>IF(tdata[[#This Row],[Delivery_Days]]&lt;=tdata[[#This Row],[SLA_Days]],"On Time","Late")</f>
        <v>Late</v>
      </c>
      <c r="O337" s="2">
        <f>VLOOKUP(tdata[[#This Row],[Service_Type]],Table2[#All],4,0)</f>
        <v>10000</v>
      </c>
      <c r="P337" s="2">
        <f>tdata[[#This Row],[price_per_kilo]]*tdata[[#This Row],[Weight_KG]]</f>
        <v>49000</v>
      </c>
      <c r="Q337" s="2" t="str">
        <f>VLOOKUP(tdata[[#This Row],[id_employee]],temployee[#All],2,0)</f>
        <v>Jefri Alamsyah</v>
      </c>
      <c r="R337" s="2" t="str">
        <f>VLOOKUP(tdata[[#This Row],[id_employee]],temployee[#All],4,0)</f>
        <v>internal</v>
      </c>
      <c r="S337" s="9" t="str">
        <f>VLOOKUP(tdata[[#This Row],[id_employee]],temployee[#All],5,0)</f>
        <v>driver</v>
      </c>
    </row>
    <row r="338" spans="2:19" x14ac:dyDescent="0.35">
      <c r="B338" s="8" t="s">
        <v>357</v>
      </c>
      <c r="C338" s="2" t="s">
        <v>1307</v>
      </c>
      <c r="D338" s="5">
        <v>45273</v>
      </c>
      <c r="E338" s="5">
        <v>45274</v>
      </c>
      <c r="F338" s="2" t="s">
        <v>12</v>
      </c>
      <c r="G338" s="2" t="s">
        <v>16</v>
      </c>
      <c r="H338" s="2" t="s">
        <v>1223</v>
      </c>
      <c r="I338" s="2" t="s">
        <v>13</v>
      </c>
      <c r="J338" s="2">
        <v>3.72</v>
      </c>
      <c r="K338" s="2" t="str">
        <f t="shared" si="16"/>
        <v>&lt; 5kg</v>
      </c>
      <c r="L338" s="2">
        <f>tdata[[#This Row],[Received_date]]-tdata[[#This Row],[Shipment_Date]]</f>
        <v>1</v>
      </c>
      <c r="M338" s="2">
        <f>VLOOKUP(tdata[[#This Row],[Service_Type]],Table2[#All],2,0)</f>
        <v>1</v>
      </c>
      <c r="N338" s="2" t="str">
        <f>IF(tdata[[#This Row],[Delivery_Days]]&lt;=tdata[[#This Row],[SLA_Days]],"On Time","Late")</f>
        <v>On Time</v>
      </c>
      <c r="O338" s="2">
        <f>VLOOKUP(tdata[[#This Row],[Service_Type]],Table2[#All],4,0)</f>
        <v>12000</v>
      </c>
      <c r="P338" s="2">
        <f>tdata[[#This Row],[price_per_kilo]]*tdata[[#This Row],[Weight_KG]]</f>
        <v>44640</v>
      </c>
      <c r="Q338" s="2" t="str">
        <f>VLOOKUP(tdata[[#This Row],[id_employee]],temployee[#All],2,0)</f>
        <v>Kartika Sari</v>
      </c>
      <c r="R338" s="2" t="str">
        <f>VLOOKUP(tdata[[#This Row],[id_employee]],temployee[#All],4,0)</f>
        <v>crowd source</v>
      </c>
      <c r="S338" s="9" t="str">
        <f>VLOOKUP(tdata[[#This Row],[id_employee]],temployee[#All],5,0)</f>
        <v>rider</v>
      </c>
    </row>
    <row r="339" spans="2:19" x14ac:dyDescent="0.35">
      <c r="B339" s="8" t="s">
        <v>358</v>
      </c>
      <c r="C339" s="2" t="s">
        <v>1308</v>
      </c>
      <c r="D339" s="5">
        <v>45267</v>
      </c>
      <c r="E339" s="5">
        <v>45269</v>
      </c>
      <c r="F339" s="2" t="s">
        <v>30</v>
      </c>
      <c r="G339" s="2" t="s">
        <v>26</v>
      </c>
      <c r="H339" s="2" t="s">
        <v>1224</v>
      </c>
      <c r="I339" s="2" t="s">
        <v>13</v>
      </c>
      <c r="J339" s="2">
        <v>9.81</v>
      </c>
      <c r="K339" s="2" t="str">
        <f t="shared" si="16"/>
        <v>&gt;5kg</v>
      </c>
      <c r="L339" s="2">
        <f>tdata[[#This Row],[Received_date]]-tdata[[#This Row],[Shipment_Date]]</f>
        <v>2</v>
      </c>
      <c r="M339" s="2">
        <f>VLOOKUP(tdata[[#This Row],[Service_Type]],Table2[#All],2,0)</f>
        <v>3</v>
      </c>
      <c r="N339" s="2" t="str">
        <f>IF(tdata[[#This Row],[Delivery_Days]]&lt;=tdata[[#This Row],[SLA_Days]],"On Time","Late")</f>
        <v>On Time</v>
      </c>
      <c r="O339" s="2">
        <f>VLOOKUP(tdata[[#This Row],[Service_Type]],Table2[#All],4,0)</f>
        <v>10000</v>
      </c>
      <c r="P339" s="2">
        <f>tdata[[#This Row],[price_per_kilo]]*tdata[[#This Row],[Weight_KG]]</f>
        <v>98100</v>
      </c>
      <c r="Q339" s="2" t="str">
        <f>VLOOKUP(tdata[[#This Row],[id_employee]],temployee[#All],2,0)</f>
        <v>Lukman Hakim</v>
      </c>
      <c r="R339" s="2" t="str">
        <f>VLOOKUP(tdata[[#This Row],[id_employee]],temployee[#All],4,0)</f>
        <v>internal</v>
      </c>
      <c r="S339" s="9" t="str">
        <f>VLOOKUP(tdata[[#This Row],[id_employee]],temployee[#All],5,0)</f>
        <v>driver</v>
      </c>
    </row>
    <row r="340" spans="2:19" x14ac:dyDescent="0.35">
      <c r="B340" s="8" t="s">
        <v>359</v>
      </c>
      <c r="C340" s="2" t="s">
        <v>1309</v>
      </c>
      <c r="D340" s="5">
        <v>45235</v>
      </c>
      <c r="E340" s="5">
        <f>D340+4</f>
        <v>45239</v>
      </c>
      <c r="F340" s="2" t="s">
        <v>32</v>
      </c>
      <c r="G340" s="2" t="s">
        <v>15</v>
      </c>
      <c r="H340" s="2" t="s">
        <v>1224</v>
      </c>
      <c r="I340" s="2" t="s">
        <v>17</v>
      </c>
      <c r="J340" s="2">
        <v>6.7</v>
      </c>
      <c r="K340" s="2" t="str">
        <f t="shared" si="16"/>
        <v>&gt;5kg</v>
      </c>
      <c r="L340" s="2">
        <f>tdata[[#This Row],[Received_date]]-tdata[[#This Row],[Shipment_Date]]</f>
        <v>4</v>
      </c>
      <c r="M340" s="2">
        <f>VLOOKUP(tdata[[#This Row],[Service_Type]],Table2[#All],2,0)</f>
        <v>3</v>
      </c>
      <c r="N340" s="2" t="str">
        <f>IF(tdata[[#This Row],[Delivery_Days]]&lt;=tdata[[#This Row],[SLA_Days]],"On Time","Late")</f>
        <v>Late</v>
      </c>
      <c r="O340" s="2">
        <f>VLOOKUP(tdata[[#This Row],[Service_Type]],Table2[#All],4,0)</f>
        <v>10000</v>
      </c>
      <c r="P340" s="2">
        <f>tdata[[#This Row],[price_per_kilo]]*tdata[[#This Row],[Weight_KG]]</f>
        <v>67000</v>
      </c>
      <c r="Q340" s="2" t="str">
        <f>VLOOKUP(tdata[[#This Row],[id_employee]],temployee[#All],2,0)</f>
        <v>Mega Puspitasari</v>
      </c>
      <c r="R340" s="2" t="str">
        <f>VLOOKUP(tdata[[#This Row],[id_employee]],temployee[#All],4,0)</f>
        <v>internal</v>
      </c>
      <c r="S340" s="9" t="str">
        <f>VLOOKUP(tdata[[#This Row],[id_employee]],temployee[#All],5,0)</f>
        <v>rider</v>
      </c>
    </row>
    <row r="341" spans="2:19" x14ac:dyDescent="0.35">
      <c r="B341" s="8" t="s">
        <v>360</v>
      </c>
      <c r="C341" s="2" t="s">
        <v>1310</v>
      </c>
      <c r="D341" s="5">
        <v>45187</v>
      </c>
      <c r="E341" s="5">
        <v>45194</v>
      </c>
      <c r="F341" s="2" t="s">
        <v>16</v>
      </c>
      <c r="G341" s="2" t="s">
        <v>49</v>
      </c>
      <c r="H341" s="2" t="s">
        <v>23</v>
      </c>
      <c r="I341" s="2" t="s">
        <v>13</v>
      </c>
      <c r="J341" s="2">
        <v>8.0399999999999991</v>
      </c>
      <c r="K341" s="2" t="str">
        <f t="shared" si="16"/>
        <v>&gt;5kg</v>
      </c>
      <c r="L341" s="2">
        <f>tdata[[#This Row],[Received_date]]-tdata[[#This Row],[Shipment_Date]]</f>
        <v>7</v>
      </c>
      <c r="M341" s="2">
        <f>VLOOKUP(tdata[[#This Row],[Service_Type]],Table2[#All],2,0)</f>
        <v>5</v>
      </c>
      <c r="N341" s="2" t="str">
        <f>IF(tdata[[#This Row],[Delivery_Days]]&lt;=tdata[[#This Row],[SLA_Days]],"On Time","Late")</f>
        <v>Late</v>
      </c>
      <c r="O341" s="2">
        <f>VLOOKUP(tdata[[#This Row],[Service_Type]],Table2[#All],4,0)</f>
        <v>9000</v>
      </c>
      <c r="P341" s="2">
        <f>tdata[[#This Row],[price_per_kilo]]*tdata[[#This Row],[Weight_KG]]</f>
        <v>72359.999999999985</v>
      </c>
      <c r="Q341" s="2" t="str">
        <f>VLOOKUP(tdata[[#This Row],[id_employee]],temployee[#All],2,0)</f>
        <v>Niko Prasetyo</v>
      </c>
      <c r="R341" s="2" t="str">
        <f>VLOOKUP(tdata[[#This Row],[id_employee]],temployee[#All],4,0)</f>
        <v>crowd source</v>
      </c>
      <c r="S341" s="9" t="str">
        <f>VLOOKUP(tdata[[#This Row],[id_employee]],temployee[#All],5,0)</f>
        <v>driver</v>
      </c>
    </row>
    <row r="342" spans="2:19" x14ac:dyDescent="0.35">
      <c r="B342" s="8" t="s">
        <v>361</v>
      </c>
      <c r="C342" s="2" t="s">
        <v>1311</v>
      </c>
      <c r="D342" s="5">
        <v>45378</v>
      </c>
      <c r="E342" s="5">
        <v>45380</v>
      </c>
      <c r="F342" s="2" t="s">
        <v>26</v>
      </c>
      <c r="G342" s="2" t="s">
        <v>20</v>
      </c>
      <c r="H342" s="2" t="s">
        <v>23</v>
      </c>
      <c r="I342" s="2" t="s">
        <v>13</v>
      </c>
      <c r="J342" s="2">
        <v>0.93</v>
      </c>
      <c r="K342" s="2" t="str">
        <f t="shared" si="16"/>
        <v>&lt; 5kg</v>
      </c>
      <c r="L342" s="2">
        <f>tdata[[#This Row],[Received_date]]-tdata[[#This Row],[Shipment_Date]]</f>
        <v>2</v>
      </c>
      <c r="M342" s="2">
        <f>VLOOKUP(tdata[[#This Row],[Service_Type]],Table2[#All],2,0)</f>
        <v>5</v>
      </c>
      <c r="N342" s="2" t="str">
        <f>IF(tdata[[#This Row],[Delivery_Days]]&lt;=tdata[[#This Row],[SLA_Days]],"On Time","Late")</f>
        <v>On Time</v>
      </c>
      <c r="O342" s="2">
        <f>VLOOKUP(tdata[[#This Row],[Service_Type]],Table2[#All],4,0)</f>
        <v>9000</v>
      </c>
      <c r="P342" s="2">
        <f>tdata[[#This Row],[price_per_kilo]]*tdata[[#This Row],[Weight_KG]]</f>
        <v>8370</v>
      </c>
      <c r="Q342" s="2" t="str">
        <f>VLOOKUP(tdata[[#This Row],[id_employee]],temployee[#All],2,0)</f>
        <v>Olivia Putri</v>
      </c>
      <c r="R342" s="2" t="str">
        <f>VLOOKUP(tdata[[#This Row],[id_employee]],temployee[#All],4,0)</f>
        <v>internal</v>
      </c>
      <c r="S342" s="9" t="str">
        <f>VLOOKUP(tdata[[#This Row],[id_employee]],temployee[#All],5,0)</f>
        <v>rider</v>
      </c>
    </row>
    <row r="343" spans="2:19" x14ac:dyDescent="0.35">
      <c r="B343" s="8" t="s">
        <v>362</v>
      </c>
      <c r="C343" s="2" t="s">
        <v>1312</v>
      </c>
      <c r="D343" s="5">
        <v>44960</v>
      </c>
      <c r="E343" s="5">
        <v>44960</v>
      </c>
      <c r="F343" s="2" t="s">
        <v>49</v>
      </c>
      <c r="G343" s="2" t="s">
        <v>16</v>
      </c>
      <c r="H343" s="2" t="s">
        <v>1224</v>
      </c>
      <c r="I343" s="2" t="s">
        <v>13</v>
      </c>
      <c r="J343" s="2">
        <v>3.39</v>
      </c>
      <c r="K343" s="2" t="str">
        <f t="shared" si="16"/>
        <v>&lt; 5kg</v>
      </c>
      <c r="L343" s="2">
        <f>tdata[[#This Row],[Received_date]]-tdata[[#This Row],[Shipment_Date]]</f>
        <v>0</v>
      </c>
      <c r="M343" s="2">
        <f>VLOOKUP(tdata[[#This Row],[Service_Type]],Table2[#All],2,0)</f>
        <v>3</v>
      </c>
      <c r="N343" s="2" t="str">
        <f>IF(tdata[[#This Row],[Delivery_Days]]&lt;=tdata[[#This Row],[SLA_Days]],"On Time","Late")</f>
        <v>On Time</v>
      </c>
      <c r="O343" s="2">
        <f>VLOOKUP(tdata[[#This Row],[Service_Type]],Table2[#All],4,0)</f>
        <v>10000</v>
      </c>
      <c r="P343" s="2">
        <f>tdata[[#This Row],[price_per_kilo]]*tdata[[#This Row],[Weight_KG]]</f>
        <v>33900</v>
      </c>
      <c r="Q343" s="2" t="str">
        <f>VLOOKUP(tdata[[#This Row],[id_employee]],temployee[#All],2,0)</f>
        <v>Prasetyo Utomo</v>
      </c>
      <c r="R343" s="2" t="str">
        <f>VLOOKUP(tdata[[#This Row],[id_employee]],temployee[#All],4,0)</f>
        <v>internal</v>
      </c>
      <c r="S343" s="9" t="str">
        <f>VLOOKUP(tdata[[#This Row],[id_employee]],temployee[#All],5,0)</f>
        <v>driver</v>
      </c>
    </row>
    <row r="344" spans="2:19" x14ac:dyDescent="0.35">
      <c r="B344" s="8" t="s">
        <v>363</v>
      </c>
      <c r="C344" s="2" t="s">
        <v>1313</v>
      </c>
      <c r="D344" s="5">
        <v>45381</v>
      </c>
      <c r="E344" s="5">
        <v>45384</v>
      </c>
      <c r="F344" s="2" t="s">
        <v>11</v>
      </c>
      <c r="G344" s="2" t="s">
        <v>32</v>
      </c>
      <c r="H344" s="2" t="s">
        <v>1224</v>
      </c>
      <c r="I344" s="2" t="s">
        <v>17</v>
      </c>
      <c r="J344" s="2">
        <v>2.92</v>
      </c>
      <c r="K344" s="2" t="str">
        <f t="shared" si="16"/>
        <v>&lt; 5kg</v>
      </c>
      <c r="L344" s="2">
        <f>tdata[[#This Row],[Received_date]]-tdata[[#This Row],[Shipment_Date]]</f>
        <v>3</v>
      </c>
      <c r="M344" s="2">
        <f>VLOOKUP(tdata[[#This Row],[Service_Type]],Table2[#All],2,0)</f>
        <v>3</v>
      </c>
      <c r="N344" s="2" t="str">
        <f>IF(tdata[[#This Row],[Delivery_Days]]&lt;=tdata[[#This Row],[SLA_Days]],"On Time","Late")</f>
        <v>On Time</v>
      </c>
      <c r="O344" s="2">
        <f>VLOOKUP(tdata[[#This Row],[Service_Type]],Table2[#All],4,0)</f>
        <v>10000</v>
      </c>
      <c r="P344" s="2">
        <f>tdata[[#This Row],[price_per_kilo]]*tdata[[#This Row],[Weight_KG]]</f>
        <v>29200</v>
      </c>
      <c r="Q344" s="2" t="str">
        <f>VLOOKUP(tdata[[#This Row],[id_employee]],temployee[#All],2,0)</f>
        <v>Qori Annisa</v>
      </c>
      <c r="R344" s="2" t="str">
        <f>VLOOKUP(tdata[[#This Row],[id_employee]],temployee[#All],4,0)</f>
        <v>crowd source</v>
      </c>
      <c r="S344" s="9" t="str">
        <f>VLOOKUP(tdata[[#This Row],[id_employee]],temployee[#All],5,0)</f>
        <v>rider</v>
      </c>
    </row>
    <row r="345" spans="2:19" x14ac:dyDescent="0.35">
      <c r="B345" s="8" t="s">
        <v>364</v>
      </c>
      <c r="C345" s="2" t="s">
        <v>1314</v>
      </c>
      <c r="D345" s="5">
        <v>45442</v>
      </c>
      <c r="E345" s="5">
        <v>45448</v>
      </c>
      <c r="F345" s="2" t="s">
        <v>15</v>
      </c>
      <c r="G345" s="2" t="s">
        <v>32</v>
      </c>
      <c r="H345" s="2" t="s">
        <v>23</v>
      </c>
      <c r="I345" s="2" t="s">
        <v>17</v>
      </c>
      <c r="J345" s="2">
        <v>8.5399999999999991</v>
      </c>
      <c r="K345" s="2" t="str">
        <f t="shared" si="16"/>
        <v>&gt;5kg</v>
      </c>
      <c r="L345" s="2">
        <f>tdata[[#This Row],[Received_date]]-tdata[[#This Row],[Shipment_Date]]</f>
        <v>6</v>
      </c>
      <c r="M345" s="2">
        <f>VLOOKUP(tdata[[#This Row],[Service_Type]],Table2[#All],2,0)</f>
        <v>5</v>
      </c>
      <c r="N345" s="2" t="str">
        <f>IF(tdata[[#This Row],[Delivery_Days]]&lt;=tdata[[#This Row],[SLA_Days]],"On Time","Late")</f>
        <v>Late</v>
      </c>
      <c r="O345" s="2">
        <f>VLOOKUP(tdata[[#This Row],[Service_Type]],Table2[#All],4,0)</f>
        <v>9000</v>
      </c>
      <c r="P345" s="2">
        <f>tdata[[#This Row],[price_per_kilo]]*tdata[[#This Row],[Weight_KG]]</f>
        <v>76859.999999999985</v>
      </c>
      <c r="Q345" s="2" t="str">
        <f>VLOOKUP(tdata[[#This Row],[id_employee]],temployee[#All],2,0)</f>
        <v>Rangga Saptonugroho</v>
      </c>
      <c r="R345" s="2" t="str">
        <f>VLOOKUP(tdata[[#This Row],[id_employee]],temployee[#All],4,0)</f>
        <v>crowd source</v>
      </c>
      <c r="S345" s="9" t="str">
        <f>VLOOKUP(tdata[[#This Row],[id_employee]],temployee[#All],5,0)</f>
        <v>driver</v>
      </c>
    </row>
    <row r="346" spans="2:19" x14ac:dyDescent="0.35">
      <c r="B346" s="8" t="s">
        <v>365</v>
      </c>
      <c r="C346" s="2" t="s">
        <v>1315</v>
      </c>
      <c r="D346" s="5">
        <v>45022</v>
      </c>
      <c r="E346" s="5">
        <v>45024</v>
      </c>
      <c r="F346" s="2" t="s">
        <v>20</v>
      </c>
      <c r="G346" s="2" t="s">
        <v>12</v>
      </c>
      <c r="H346" s="2" t="s">
        <v>1224</v>
      </c>
      <c r="I346" s="2" t="s">
        <v>13</v>
      </c>
      <c r="J346" s="2">
        <v>4.59</v>
      </c>
      <c r="K346" s="2" t="str">
        <f t="shared" si="16"/>
        <v>&lt; 5kg</v>
      </c>
      <c r="L346" s="2">
        <f>tdata[[#This Row],[Received_date]]-tdata[[#This Row],[Shipment_Date]]</f>
        <v>2</v>
      </c>
      <c r="M346" s="2">
        <f>VLOOKUP(tdata[[#This Row],[Service_Type]],Table2[#All],2,0)</f>
        <v>3</v>
      </c>
      <c r="N346" s="2" t="str">
        <f>IF(tdata[[#This Row],[Delivery_Days]]&lt;=tdata[[#This Row],[SLA_Days]],"On Time","Late")</f>
        <v>On Time</v>
      </c>
      <c r="O346" s="2">
        <f>VLOOKUP(tdata[[#This Row],[Service_Type]],Table2[#All],4,0)</f>
        <v>10000</v>
      </c>
      <c r="P346" s="2">
        <f>tdata[[#This Row],[price_per_kilo]]*tdata[[#This Row],[Weight_KG]]</f>
        <v>45900</v>
      </c>
      <c r="Q346" s="2" t="str">
        <f>VLOOKUP(tdata[[#This Row],[id_employee]],temployee[#All],2,0)</f>
        <v>Sinta Dewi</v>
      </c>
      <c r="R346" s="2" t="str">
        <f>VLOOKUP(tdata[[#This Row],[id_employee]],temployee[#All],4,0)</f>
        <v>internal</v>
      </c>
      <c r="S346" s="9" t="str">
        <f>VLOOKUP(tdata[[#This Row],[id_employee]],temployee[#All],5,0)</f>
        <v>rider</v>
      </c>
    </row>
    <row r="347" spans="2:19" x14ac:dyDescent="0.35">
      <c r="B347" s="8" t="s">
        <v>366</v>
      </c>
      <c r="C347" s="2" t="s">
        <v>1316</v>
      </c>
      <c r="D347" s="5">
        <v>45203</v>
      </c>
      <c r="E347" s="5">
        <v>45214</v>
      </c>
      <c r="F347" s="2" t="s">
        <v>22</v>
      </c>
      <c r="G347" s="2" t="s">
        <v>22</v>
      </c>
      <c r="H347" s="2" t="s">
        <v>1224</v>
      </c>
      <c r="I347" s="2" t="s">
        <v>13</v>
      </c>
      <c r="J347" s="2">
        <v>4.16</v>
      </c>
      <c r="K347" s="2" t="str">
        <f t="shared" si="16"/>
        <v>&lt; 5kg</v>
      </c>
      <c r="L347" s="2">
        <f>tdata[[#This Row],[Received_date]]-tdata[[#This Row],[Shipment_Date]]</f>
        <v>11</v>
      </c>
      <c r="M347" s="2">
        <f>VLOOKUP(tdata[[#This Row],[Service_Type]],Table2[#All],2,0)</f>
        <v>3</v>
      </c>
      <c r="N347" s="2" t="str">
        <f>IF(tdata[[#This Row],[Delivery_Days]]&lt;=tdata[[#This Row],[SLA_Days]],"On Time","Late")</f>
        <v>Late</v>
      </c>
      <c r="O347" s="2">
        <f>VLOOKUP(tdata[[#This Row],[Service_Type]],Table2[#All],4,0)</f>
        <v>10000</v>
      </c>
      <c r="P347" s="2">
        <f>tdata[[#This Row],[price_per_kilo]]*tdata[[#This Row],[Weight_KG]]</f>
        <v>41600</v>
      </c>
      <c r="Q347" s="2" t="str">
        <f>VLOOKUP(tdata[[#This Row],[id_employee]],temployee[#All],2,0)</f>
        <v>Taufik Hidayat</v>
      </c>
      <c r="R347" s="2" t="str">
        <f>VLOOKUP(tdata[[#This Row],[id_employee]],temployee[#All],4,0)</f>
        <v>internal</v>
      </c>
      <c r="S347" s="9" t="str">
        <f>VLOOKUP(tdata[[#This Row],[id_employee]],temployee[#All],5,0)</f>
        <v>driver</v>
      </c>
    </row>
    <row r="348" spans="2:19" x14ac:dyDescent="0.35">
      <c r="B348" s="8" t="s">
        <v>367</v>
      </c>
      <c r="C348" s="2" t="s">
        <v>1317</v>
      </c>
      <c r="D348" s="5">
        <v>45211</v>
      </c>
      <c r="E348" s="5">
        <f>D348+4</f>
        <v>45215</v>
      </c>
      <c r="F348" s="2" t="s">
        <v>12</v>
      </c>
      <c r="G348" s="2" t="s">
        <v>49</v>
      </c>
      <c r="H348" s="2" t="s">
        <v>23</v>
      </c>
      <c r="I348" s="2" t="s">
        <v>17</v>
      </c>
      <c r="J348" s="2">
        <v>10.42</v>
      </c>
      <c r="K348" s="2" t="str">
        <f t="shared" si="16"/>
        <v>&gt;5kg</v>
      </c>
      <c r="L348" s="2">
        <f>tdata[[#This Row],[Received_date]]-tdata[[#This Row],[Shipment_Date]]</f>
        <v>4</v>
      </c>
      <c r="M348" s="2">
        <f>VLOOKUP(tdata[[#This Row],[Service_Type]],Table2[#All],2,0)</f>
        <v>5</v>
      </c>
      <c r="N348" s="2" t="str">
        <f>IF(tdata[[#This Row],[Delivery_Days]]&lt;=tdata[[#This Row],[SLA_Days]],"On Time","Late")</f>
        <v>On Time</v>
      </c>
      <c r="O348" s="2">
        <f>VLOOKUP(tdata[[#This Row],[Service_Type]],Table2[#All],4,0)</f>
        <v>9000</v>
      </c>
      <c r="P348" s="2">
        <f>tdata[[#This Row],[price_per_kilo]]*tdata[[#This Row],[Weight_KG]]</f>
        <v>93780</v>
      </c>
      <c r="Q348" s="2" t="str">
        <f>VLOOKUP(tdata[[#This Row],[id_employee]],temployee[#All],2,0)</f>
        <v>Usman Ali</v>
      </c>
      <c r="R348" s="2" t="str">
        <f>VLOOKUP(tdata[[#This Row],[id_employee]],temployee[#All],4,0)</f>
        <v>crowd source</v>
      </c>
      <c r="S348" s="9" t="str">
        <f>VLOOKUP(tdata[[#This Row],[id_employee]],temployee[#All],5,0)</f>
        <v>rider</v>
      </c>
    </row>
    <row r="349" spans="2:19" x14ac:dyDescent="0.35">
      <c r="B349" s="8" t="s">
        <v>368</v>
      </c>
      <c r="C349" s="2" t="s">
        <v>1318</v>
      </c>
      <c r="D349" s="5">
        <v>45322</v>
      </c>
      <c r="E349" s="5">
        <v>45323</v>
      </c>
      <c r="F349" s="2" t="s">
        <v>30</v>
      </c>
      <c r="G349" s="2" t="s">
        <v>16</v>
      </c>
      <c r="H349" s="2" t="s">
        <v>1223</v>
      </c>
      <c r="I349" s="2" t="s">
        <v>17</v>
      </c>
      <c r="J349" s="2">
        <v>4.2699999999999996</v>
      </c>
      <c r="K349" s="2" t="str">
        <f t="shared" si="16"/>
        <v>&lt; 5kg</v>
      </c>
      <c r="L349" s="2">
        <f>tdata[[#This Row],[Received_date]]-tdata[[#This Row],[Shipment_Date]]</f>
        <v>1</v>
      </c>
      <c r="M349" s="2">
        <f>VLOOKUP(tdata[[#This Row],[Service_Type]],Table2[#All],2,0)</f>
        <v>1</v>
      </c>
      <c r="N349" s="2" t="str">
        <f>IF(tdata[[#This Row],[Delivery_Days]]&lt;=tdata[[#This Row],[SLA_Days]],"On Time","Late")</f>
        <v>On Time</v>
      </c>
      <c r="O349" s="2">
        <f>VLOOKUP(tdata[[#This Row],[Service_Type]],Table2[#All],4,0)</f>
        <v>12000</v>
      </c>
      <c r="P349" s="2">
        <f>tdata[[#This Row],[price_per_kilo]]*tdata[[#This Row],[Weight_KG]]</f>
        <v>51239.999999999993</v>
      </c>
      <c r="Q349" s="2" t="str">
        <f>VLOOKUP(tdata[[#This Row],[id_employee]],temployee[#All],2,0)</f>
        <v>Vivi Lestari</v>
      </c>
      <c r="R349" s="2" t="str">
        <f>VLOOKUP(tdata[[#This Row],[id_employee]],temployee[#All],4,0)</f>
        <v>internal</v>
      </c>
      <c r="S349" s="9" t="str">
        <f>VLOOKUP(tdata[[#This Row],[id_employee]],temployee[#All],5,0)</f>
        <v>rider</v>
      </c>
    </row>
    <row r="350" spans="2:19" x14ac:dyDescent="0.35">
      <c r="B350" s="8" t="s">
        <v>369</v>
      </c>
      <c r="C350" s="2" t="s">
        <v>1319</v>
      </c>
      <c r="D350" s="5">
        <v>45467</v>
      </c>
      <c r="E350" s="5">
        <v>45474</v>
      </c>
      <c r="F350" s="2" t="s">
        <v>32</v>
      </c>
      <c r="G350" s="2" t="s">
        <v>22</v>
      </c>
      <c r="H350" s="2" t="s">
        <v>23</v>
      </c>
      <c r="I350" s="2" t="s">
        <v>17</v>
      </c>
      <c r="J350" s="2">
        <v>2.37</v>
      </c>
      <c r="K350" s="2" t="str">
        <f t="shared" si="16"/>
        <v>&lt; 5kg</v>
      </c>
      <c r="L350" s="2">
        <f>tdata[[#This Row],[Received_date]]-tdata[[#This Row],[Shipment_Date]]</f>
        <v>7</v>
      </c>
      <c r="M350" s="2">
        <f>VLOOKUP(tdata[[#This Row],[Service_Type]],Table2[#All],2,0)</f>
        <v>5</v>
      </c>
      <c r="N350" s="2" t="str">
        <f>IF(tdata[[#This Row],[Delivery_Days]]&lt;=tdata[[#This Row],[SLA_Days]],"On Time","Late")</f>
        <v>Late</v>
      </c>
      <c r="O350" s="2">
        <f>VLOOKUP(tdata[[#This Row],[Service_Type]],Table2[#All],4,0)</f>
        <v>9000</v>
      </c>
      <c r="P350" s="2">
        <f>tdata[[#This Row],[price_per_kilo]]*tdata[[#This Row],[Weight_KG]]</f>
        <v>21330</v>
      </c>
      <c r="Q350" s="2" t="str">
        <f>VLOOKUP(tdata[[#This Row],[id_employee]],temployee[#All],2,0)</f>
        <v>Wawan Setiabudi</v>
      </c>
      <c r="R350" s="2" t="str">
        <f>VLOOKUP(tdata[[#This Row],[id_employee]],temployee[#All],4,0)</f>
        <v>internal</v>
      </c>
      <c r="S350" s="9" t="str">
        <f>VLOOKUP(tdata[[#This Row],[id_employee]],temployee[#All],5,0)</f>
        <v>driver</v>
      </c>
    </row>
    <row r="351" spans="2:19" x14ac:dyDescent="0.35">
      <c r="B351" s="8" t="s">
        <v>370</v>
      </c>
      <c r="C351" s="2" t="s">
        <v>1320</v>
      </c>
      <c r="D351" s="5">
        <v>44943</v>
      </c>
      <c r="E351" s="5">
        <v>44945</v>
      </c>
      <c r="F351" s="2" t="s">
        <v>16</v>
      </c>
      <c r="G351" s="2" t="s">
        <v>20</v>
      </c>
      <c r="H351" s="2" t="s">
        <v>23</v>
      </c>
      <c r="I351" s="2" t="s">
        <v>17</v>
      </c>
      <c r="J351" s="2">
        <v>4.16</v>
      </c>
      <c r="K351" s="2" t="str">
        <f t="shared" si="16"/>
        <v>&lt; 5kg</v>
      </c>
      <c r="L351" s="2">
        <f>tdata[[#This Row],[Received_date]]-tdata[[#This Row],[Shipment_Date]]</f>
        <v>2</v>
      </c>
      <c r="M351" s="2">
        <f>VLOOKUP(tdata[[#This Row],[Service_Type]],Table2[#All],2,0)</f>
        <v>5</v>
      </c>
      <c r="N351" s="2" t="str">
        <f>IF(tdata[[#This Row],[Delivery_Days]]&lt;=tdata[[#This Row],[SLA_Days]],"On Time","Late")</f>
        <v>On Time</v>
      </c>
      <c r="O351" s="2">
        <f>VLOOKUP(tdata[[#This Row],[Service_Type]],Table2[#All],4,0)</f>
        <v>9000</v>
      </c>
      <c r="P351" s="2">
        <f>tdata[[#This Row],[price_per_kilo]]*tdata[[#This Row],[Weight_KG]]</f>
        <v>37440</v>
      </c>
      <c r="Q351" s="2" t="str">
        <f>VLOOKUP(tdata[[#This Row],[id_employee]],temployee[#All],2,0)</f>
        <v>Xenia Maharani</v>
      </c>
      <c r="R351" s="2" t="str">
        <f>VLOOKUP(tdata[[#This Row],[id_employee]],temployee[#All],4,0)</f>
        <v>crowd source</v>
      </c>
      <c r="S351" s="9" t="str">
        <f>VLOOKUP(tdata[[#This Row],[id_employee]],temployee[#All],5,0)</f>
        <v>rider</v>
      </c>
    </row>
    <row r="352" spans="2:19" x14ac:dyDescent="0.35">
      <c r="B352" s="8" t="s">
        <v>371</v>
      </c>
      <c r="C352" s="2" t="s">
        <v>1321</v>
      </c>
      <c r="D352" s="5">
        <v>45182</v>
      </c>
      <c r="E352" s="5">
        <v>45186</v>
      </c>
      <c r="F352" s="2" t="s">
        <v>26</v>
      </c>
      <c r="G352" s="2" t="s">
        <v>26</v>
      </c>
      <c r="H352" s="2" t="s">
        <v>1224</v>
      </c>
      <c r="I352" s="2" t="s">
        <v>17</v>
      </c>
      <c r="J352" s="2">
        <v>0.63</v>
      </c>
      <c r="K352" s="2" t="str">
        <f t="shared" si="16"/>
        <v>&lt; 5kg</v>
      </c>
      <c r="L352" s="2">
        <f>tdata[[#This Row],[Received_date]]-tdata[[#This Row],[Shipment_Date]]</f>
        <v>4</v>
      </c>
      <c r="M352" s="2">
        <f>VLOOKUP(tdata[[#This Row],[Service_Type]],Table2[#All],2,0)</f>
        <v>3</v>
      </c>
      <c r="N352" s="2" t="str">
        <f>IF(tdata[[#This Row],[Delivery_Days]]&lt;=tdata[[#This Row],[SLA_Days]],"On Time","Late")</f>
        <v>Late</v>
      </c>
      <c r="O352" s="2">
        <f>VLOOKUP(tdata[[#This Row],[Service_Type]],Table2[#All],4,0)</f>
        <v>10000</v>
      </c>
      <c r="P352" s="2">
        <f>tdata[[#This Row],[price_per_kilo]]*tdata[[#This Row],[Weight_KG]]</f>
        <v>6300</v>
      </c>
      <c r="Q352" s="2" t="str">
        <f>VLOOKUP(tdata[[#This Row],[id_employee]],temployee[#All],2,0)</f>
        <v>Yoga Pradana</v>
      </c>
      <c r="R352" s="2" t="str">
        <f>VLOOKUP(tdata[[#This Row],[id_employee]],temployee[#All],4,0)</f>
        <v>internal</v>
      </c>
      <c r="S352" s="9" t="str">
        <f>VLOOKUP(tdata[[#This Row],[id_employee]],temployee[#All],5,0)</f>
        <v>rider</v>
      </c>
    </row>
    <row r="353" spans="2:19" x14ac:dyDescent="0.35">
      <c r="B353" s="8" t="s">
        <v>372</v>
      </c>
      <c r="C353" s="2" t="s">
        <v>1322</v>
      </c>
      <c r="D353" s="5">
        <v>45213</v>
      </c>
      <c r="E353" s="5">
        <v>45215</v>
      </c>
      <c r="F353" s="2" t="s">
        <v>49</v>
      </c>
      <c r="G353" s="2" t="s">
        <v>12</v>
      </c>
      <c r="H353" s="2" t="s">
        <v>23</v>
      </c>
      <c r="I353" s="2" t="s">
        <v>13</v>
      </c>
      <c r="J353" s="2">
        <v>7.04</v>
      </c>
      <c r="K353" s="2" t="str">
        <f t="shared" si="16"/>
        <v>&gt;5kg</v>
      </c>
      <c r="L353" s="2">
        <f>tdata[[#This Row],[Received_date]]-tdata[[#This Row],[Shipment_Date]]</f>
        <v>2</v>
      </c>
      <c r="M353" s="2">
        <f>VLOOKUP(tdata[[#This Row],[Service_Type]],Table2[#All],2,0)</f>
        <v>5</v>
      </c>
      <c r="N353" s="2" t="str">
        <f>IF(tdata[[#This Row],[Delivery_Days]]&lt;=tdata[[#This Row],[SLA_Days]],"On Time","Late")</f>
        <v>On Time</v>
      </c>
      <c r="O353" s="2">
        <f>VLOOKUP(tdata[[#This Row],[Service_Type]],Table2[#All],4,0)</f>
        <v>9000</v>
      </c>
      <c r="P353" s="2">
        <f>tdata[[#This Row],[price_per_kilo]]*tdata[[#This Row],[Weight_KG]]</f>
        <v>63360</v>
      </c>
      <c r="Q353" s="2" t="str">
        <f>VLOOKUP(tdata[[#This Row],[id_employee]],temployee[#All],2,0)</f>
        <v>Zulfikar Ramadhan</v>
      </c>
      <c r="R353" s="2" t="str">
        <f>VLOOKUP(tdata[[#This Row],[id_employee]],temployee[#All],4,0)</f>
        <v>crowd source</v>
      </c>
      <c r="S353" s="9" t="str">
        <f>VLOOKUP(tdata[[#This Row],[id_employee]],temployee[#All],5,0)</f>
        <v>driver</v>
      </c>
    </row>
    <row r="354" spans="2:19" x14ac:dyDescent="0.35">
      <c r="B354" s="8" t="s">
        <v>373</v>
      </c>
      <c r="C354" s="2" t="s">
        <v>1323</v>
      </c>
      <c r="D354" s="5">
        <v>45382</v>
      </c>
      <c r="E354" s="5">
        <v>45384</v>
      </c>
      <c r="F354" s="2" t="s">
        <v>11</v>
      </c>
      <c r="G354" s="2" t="s">
        <v>30</v>
      </c>
      <c r="H354" s="2" t="s">
        <v>1224</v>
      </c>
      <c r="I354" s="2" t="s">
        <v>17</v>
      </c>
      <c r="J354" s="2">
        <v>4.03</v>
      </c>
      <c r="K354" s="2" t="str">
        <f t="shared" si="16"/>
        <v>&lt; 5kg</v>
      </c>
      <c r="L354" s="2">
        <f>tdata[[#This Row],[Received_date]]-tdata[[#This Row],[Shipment_Date]]</f>
        <v>2</v>
      </c>
      <c r="M354" s="2">
        <f>VLOOKUP(tdata[[#This Row],[Service_Type]],Table2[#All],2,0)</f>
        <v>3</v>
      </c>
      <c r="N354" s="2" t="str">
        <f>IF(tdata[[#This Row],[Delivery_Days]]&lt;=tdata[[#This Row],[SLA_Days]],"On Time","Late")</f>
        <v>On Time</v>
      </c>
      <c r="O354" s="2">
        <f>VLOOKUP(tdata[[#This Row],[Service_Type]],Table2[#All],4,0)</f>
        <v>10000</v>
      </c>
      <c r="P354" s="2">
        <f>tdata[[#This Row],[price_per_kilo]]*tdata[[#This Row],[Weight_KG]]</f>
        <v>40300</v>
      </c>
      <c r="Q354" s="2" t="str">
        <f>VLOOKUP(tdata[[#This Row],[id_employee]],temployee[#All],2,0)</f>
        <v>Aditya Saputra</v>
      </c>
      <c r="R354" s="2" t="str">
        <f>VLOOKUP(tdata[[#This Row],[id_employee]],temployee[#All],4,0)</f>
        <v>internal</v>
      </c>
      <c r="S354" s="9" t="str">
        <f>VLOOKUP(tdata[[#This Row],[id_employee]],temployee[#All],5,0)</f>
        <v>rider</v>
      </c>
    </row>
    <row r="355" spans="2:19" x14ac:dyDescent="0.35">
      <c r="B355" s="8" t="s">
        <v>374</v>
      </c>
      <c r="C355" s="2" t="s">
        <v>1324</v>
      </c>
      <c r="D355" s="5">
        <v>45542</v>
      </c>
      <c r="E355" s="5">
        <f>D355+4</f>
        <v>45546</v>
      </c>
      <c r="F355" s="2" t="s">
        <v>15</v>
      </c>
      <c r="G355" s="2" t="s">
        <v>15</v>
      </c>
      <c r="H355" s="2" t="s">
        <v>1224</v>
      </c>
      <c r="I355" s="2" t="s">
        <v>13</v>
      </c>
      <c r="J355" s="2">
        <v>10.08</v>
      </c>
      <c r="K355" s="2" t="str">
        <f t="shared" si="16"/>
        <v>&gt;5kg</v>
      </c>
      <c r="L355" s="2">
        <f>tdata[[#This Row],[Received_date]]-tdata[[#This Row],[Shipment_Date]]</f>
        <v>4</v>
      </c>
      <c r="M355" s="2">
        <f>VLOOKUP(tdata[[#This Row],[Service_Type]],Table2[#All],2,0)</f>
        <v>3</v>
      </c>
      <c r="N355" s="2" t="str">
        <f>IF(tdata[[#This Row],[Delivery_Days]]&lt;=tdata[[#This Row],[SLA_Days]],"On Time","Late")</f>
        <v>Late</v>
      </c>
      <c r="O355" s="2">
        <f>VLOOKUP(tdata[[#This Row],[Service_Type]],Table2[#All],4,0)</f>
        <v>10000</v>
      </c>
      <c r="P355" s="2">
        <f>tdata[[#This Row],[price_per_kilo]]*tdata[[#This Row],[Weight_KG]]</f>
        <v>100800</v>
      </c>
      <c r="Q355" s="2" t="str">
        <f>VLOOKUP(tdata[[#This Row],[id_employee]],temployee[#All],2,0)</f>
        <v>Bella Oktaviani</v>
      </c>
      <c r="R355" s="2" t="str">
        <f>VLOOKUP(tdata[[#This Row],[id_employee]],temployee[#All],4,0)</f>
        <v>internal</v>
      </c>
      <c r="S355" s="9" t="str">
        <f>VLOOKUP(tdata[[#This Row],[id_employee]],temployee[#All],5,0)</f>
        <v>rider</v>
      </c>
    </row>
    <row r="356" spans="2:19" x14ac:dyDescent="0.35">
      <c r="B356" s="8" t="s">
        <v>375</v>
      </c>
      <c r="C356" s="2" t="s">
        <v>1325</v>
      </c>
      <c r="D356" s="5">
        <v>45475</v>
      </c>
      <c r="E356" s="5">
        <v>45478</v>
      </c>
      <c r="F356" s="2" t="s">
        <v>20</v>
      </c>
      <c r="G356" s="2" t="s">
        <v>15</v>
      </c>
      <c r="H356" s="2" t="s">
        <v>1224</v>
      </c>
      <c r="I356" s="2" t="s">
        <v>17</v>
      </c>
      <c r="J356" s="2">
        <v>9.9600000000000009</v>
      </c>
      <c r="K356" s="2" t="str">
        <f t="shared" si="16"/>
        <v>&gt;5kg</v>
      </c>
      <c r="L356" s="2">
        <f>tdata[[#This Row],[Received_date]]-tdata[[#This Row],[Shipment_Date]]</f>
        <v>3</v>
      </c>
      <c r="M356" s="2">
        <f>VLOOKUP(tdata[[#This Row],[Service_Type]],Table2[#All],2,0)</f>
        <v>3</v>
      </c>
      <c r="N356" s="2" t="str">
        <f>IF(tdata[[#This Row],[Delivery_Days]]&lt;=tdata[[#This Row],[SLA_Days]],"On Time","Late")</f>
        <v>On Time</v>
      </c>
      <c r="O356" s="2">
        <f>VLOOKUP(tdata[[#This Row],[Service_Type]],Table2[#All],4,0)</f>
        <v>10000</v>
      </c>
      <c r="P356" s="2">
        <f>tdata[[#This Row],[price_per_kilo]]*tdata[[#This Row],[Weight_KG]]</f>
        <v>99600.000000000015</v>
      </c>
      <c r="Q356" s="2" t="str">
        <f>VLOOKUP(tdata[[#This Row],[id_employee]],temployee[#All],2,0)</f>
        <v>Chandra Wijaya</v>
      </c>
      <c r="R356" s="2" t="str">
        <f>VLOOKUP(tdata[[#This Row],[id_employee]],temployee[#All],4,0)</f>
        <v>crowd source</v>
      </c>
      <c r="S356" s="9" t="str">
        <f>VLOOKUP(tdata[[#This Row],[id_employee]],temployee[#All],5,0)</f>
        <v>driver</v>
      </c>
    </row>
    <row r="357" spans="2:19" x14ac:dyDescent="0.35">
      <c r="B357" s="8" t="s">
        <v>376</v>
      </c>
      <c r="C357" s="2" t="s">
        <v>1326</v>
      </c>
      <c r="D357" s="5">
        <v>45003</v>
      </c>
      <c r="E357" s="5">
        <v>45008</v>
      </c>
      <c r="F357" s="2" t="s">
        <v>22</v>
      </c>
      <c r="G357" s="2" t="s">
        <v>22</v>
      </c>
      <c r="H357" s="2" t="s">
        <v>1223</v>
      </c>
      <c r="I357" s="2" t="s">
        <v>13</v>
      </c>
      <c r="J357" s="2">
        <v>7.54</v>
      </c>
      <c r="K357" s="2" t="str">
        <f t="shared" si="16"/>
        <v>&gt;5kg</v>
      </c>
      <c r="L357" s="2">
        <f>tdata[[#This Row],[Received_date]]-tdata[[#This Row],[Shipment_Date]]</f>
        <v>5</v>
      </c>
      <c r="M357" s="2">
        <f>VLOOKUP(tdata[[#This Row],[Service_Type]],Table2[#All],2,0)</f>
        <v>1</v>
      </c>
      <c r="N357" s="2" t="str">
        <f>IF(tdata[[#This Row],[Delivery_Days]]&lt;=tdata[[#This Row],[SLA_Days]],"On Time","Late")</f>
        <v>Late</v>
      </c>
      <c r="O357" s="2">
        <f>VLOOKUP(tdata[[#This Row],[Service_Type]],Table2[#All],4,0)</f>
        <v>12000</v>
      </c>
      <c r="P357" s="2">
        <f>tdata[[#This Row],[price_per_kilo]]*tdata[[#This Row],[Weight_KG]]</f>
        <v>90480</v>
      </c>
      <c r="Q357" s="2" t="str">
        <f>VLOOKUP(tdata[[#This Row],[id_employee]],temployee[#All],2,0)</f>
        <v>Dewi Sartika</v>
      </c>
      <c r="R357" s="2" t="str">
        <f>VLOOKUP(tdata[[#This Row],[id_employee]],temployee[#All],4,0)</f>
        <v>internal</v>
      </c>
      <c r="S357" s="9" t="str">
        <f>VLOOKUP(tdata[[#This Row],[id_employee]],temployee[#All],5,0)</f>
        <v>rider</v>
      </c>
    </row>
    <row r="358" spans="2:19" x14ac:dyDescent="0.35">
      <c r="B358" s="8" t="s">
        <v>377</v>
      </c>
      <c r="C358" s="2" t="s">
        <v>1327</v>
      </c>
      <c r="D358" s="5">
        <v>45068</v>
      </c>
      <c r="E358" s="5">
        <v>45069</v>
      </c>
      <c r="F358" s="2" t="s">
        <v>12</v>
      </c>
      <c r="G358" s="2" t="s">
        <v>16</v>
      </c>
      <c r="H358" s="2" t="s">
        <v>1224</v>
      </c>
      <c r="I358" s="2" t="s">
        <v>13</v>
      </c>
      <c r="J358" s="2">
        <v>8.85</v>
      </c>
      <c r="K358" s="2" t="str">
        <f t="shared" si="16"/>
        <v>&gt;5kg</v>
      </c>
      <c r="L358" s="2">
        <f>tdata[[#This Row],[Received_date]]-tdata[[#This Row],[Shipment_Date]]</f>
        <v>1</v>
      </c>
      <c r="M358" s="2">
        <f>VLOOKUP(tdata[[#This Row],[Service_Type]],Table2[#All],2,0)</f>
        <v>3</v>
      </c>
      <c r="N358" s="2" t="str">
        <f>IF(tdata[[#This Row],[Delivery_Days]]&lt;=tdata[[#This Row],[SLA_Days]],"On Time","Late")</f>
        <v>On Time</v>
      </c>
      <c r="O358" s="2">
        <f>VLOOKUP(tdata[[#This Row],[Service_Type]],Table2[#All],4,0)</f>
        <v>10000</v>
      </c>
      <c r="P358" s="2">
        <f>tdata[[#This Row],[price_per_kilo]]*tdata[[#This Row],[Weight_KG]]</f>
        <v>88500</v>
      </c>
      <c r="Q358" s="2" t="str">
        <f>VLOOKUP(tdata[[#This Row],[id_employee]],temployee[#All],2,0)</f>
        <v>Edi Kurniawan</v>
      </c>
      <c r="R358" s="2" t="str">
        <f>VLOOKUP(tdata[[#This Row],[id_employee]],temployee[#All],4,0)</f>
        <v>internal</v>
      </c>
      <c r="S358" s="9" t="str">
        <f>VLOOKUP(tdata[[#This Row],[id_employee]],temployee[#All],5,0)</f>
        <v>driver</v>
      </c>
    </row>
    <row r="359" spans="2:19" x14ac:dyDescent="0.35">
      <c r="B359" s="8" t="s">
        <v>378</v>
      </c>
      <c r="C359" s="2" t="s">
        <v>1328</v>
      </c>
      <c r="D359" s="5">
        <v>45047</v>
      </c>
      <c r="E359" s="5">
        <f>D359+4</f>
        <v>45051</v>
      </c>
      <c r="F359" s="2" t="s">
        <v>30</v>
      </c>
      <c r="G359" s="2" t="s">
        <v>32</v>
      </c>
      <c r="H359" s="2" t="s">
        <v>1224</v>
      </c>
      <c r="I359" s="2" t="s">
        <v>13</v>
      </c>
      <c r="J359" s="2">
        <v>5.98</v>
      </c>
      <c r="K359" s="2" t="str">
        <f t="shared" si="16"/>
        <v>&gt;5kg</v>
      </c>
      <c r="L359" s="2">
        <f>tdata[[#This Row],[Received_date]]-tdata[[#This Row],[Shipment_Date]]</f>
        <v>4</v>
      </c>
      <c r="M359" s="2">
        <f>VLOOKUP(tdata[[#This Row],[Service_Type]],Table2[#All],2,0)</f>
        <v>3</v>
      </c>
      <c r="N359" s="2" t="str">
        <f>IF(tdata[[#This Row],[Delivery_Days]]&lt;=tdata[[#This Row],[SLA_Days]],"On Time","Late")</f>
        <v>Late</v>
      </c>
      <c r="O359" s="2">
        <f>VLOOKUP(tdata[[#This Row],[Service_Type]],Table2[#All],4,0)</f>
        <v>10000</v>
      </c>
      <c r="P359" s="2">
        <f>tdata[[#This Row],[price_per_kilo]]*tdata[[#This Row],[Weight_KG]]</f>
        <v>59800.000000000007</v>
      </c>
      <c r="Q359" s="2" t="str">
        <f>VLOOKUP(tdata[[#This Row],[id_employee]],temployee[#All],2,0)</f>
        <v>Farah Nabila</v>
      </c>
      <c r="R359" s="2" t="str">
        <f>VLOOKUP(tdata[[#This Row],[id_employee]],temployee[#All],4,0)</f>
        <v>crowd source</v>
      </c>
      <c r="S359" s="9" t="str">
        <f>VLOOKUP(tdata[[#This Row],[id_employee]],temployee[#All],5,0)</f>
        <v>rider</v>
      </c>
    </row>
    <row r="360" spans="2:19" x14ac:dyDescent="0.35">
      <c r="B360" s="8" t="s">
        <v>379</v>
      </c>
      <c r="C360" s="2" t="s">
        <v>1329</v>
      </c>
      <c r="D360" s="5">
        <v>45348</v>
      </c>
      <c r="E360" s="5">
        <v>45348</v>
      </c>
      <c r="F360" s="2" t="s">
        <v>32</v>
      </c>
      <c r="G360" s="2" t="s">
        <v>49</v>
      </c>
      <c r="H360" s="2" t="s">
        <v>1224</v>
      </c>
      <c r="I360" s="2" t="s">
        <v>13</v>
      </c>
      <c r="J360" s="2">
        <v>2.89</v>
      </c>
      <c r="K360" s="2" t="str">
        <f t="shared" si="16"/>
        <v>&lt; 5kg</v>
      </c>
      <c r="L360" s="2">
        <f>tdata[[#This Row],[Received_date]]-tdata[[#This Row],[Shipment_Date]]</f>
        <v>0</v>
      </c>
      <c r="M360" s="2">
        <f>VLOOKUP(tdata[[#This Row],[Service_Type]],Table2[#All],2,0)</f>
        <v>3</v>
      </c>
      <c r="N360" s="2" t="str">
        <f>IF(tdata[[#This Row],[Delivery_Days]]&lt;=tdata[[#This Row],[SLA_Days]],"On Time","Late")</f>
        <v>On Time</v>
      </c>
      <c r="O360" s="2">
        <f>VLOOKUP(tdata[[#This Row],[Service_Type]],Table2[#All],4,0)</f>
        <v>10000</v>
      </c>
      <c r="P360" s="2">
        <f>tdata[[#This Row],[price_per_kilo]]*tdata[[#This Row],[Weight_KG]]</f>
        <v>28900</v>
      </c>
      <c r="Q360" s="2" t="str">
        <f>VLOOKUP(tdata[[#This Row],[id_employee]],temployee[#All],2,0)</f>
        <v>Galih Pratomo</v>
      </c>
      <c r="R360" s="2" t="str">
        <f>VLOOKUP(tdata[[#This Row],[id_employee]],temployee[#All],4,0)</f>
        <v>internal</v>
      </c>
      <c r="S360" s="9" t="str">
        <f>VLOOKUP(tdata[[#This Row],[id_employee]],temployee[#All],5,0)</f>
        <v>rider</v>
      </c>
    </row>
    <row r="361" spans="2:19" x14ac:dyDescent="0.35">
      <c r="B361" s="8" t="s">
        <v>380</v>
      </c>
      <c r="C361" s="2" t="s">
        <v>1330</v>
      </c>
      <c r="D361" s="5">
        <v>45605</v>
      </c>
      <c r="E361" s="5">
        <v>45605</v>
      </c>
      <c r="F361" s="2" t="s">
        <v>16</v>
      </c>
      <c r="G361" s="2" t="s">
        <v>16</v>
      </c>
      <c r="H361" s="2" t="s">
        <v>1223</v>
      </c>
      <c r="I361" s="2" t="s">
        <v>17</v>
      </c>
      <c r="J361" s="2">
        <v>3.41</v>
      </c>
      <c r="K361" s="2" t="str">
        <f t="shared" si="16"/>
        <v>&lt; 5kg</v>
      </c>
      <c r="L361" s="2">
        <f>tdata[[#This Row],[Received_date]]-tdata[[#This Row],[Shipment_Date]]</f>
        <v>0</v>
      </c>
      <c r="M361" s="2">
        <f>VLOOKUP(tdata[[#This Row],[Service_Type]],Table2[#All],2,0)</f>
        <v>1</v>
      </c>
      <c r="N361" s="2" t="str">
        <f>IF(tdata[[#This Row],[Delivery_Days]]&lt;=tdata[[#This Row],[SLA_Days]],"On Time","Late")</f>
        <v>On Time</v>
      </c>
      <c r="O361" s="2">
        <f>VLOOKUP(tdata[[#This Row],[Service_Type]],Table2[#All],4,0)</f>
        <v>12000</v>
      </c>
      <c r="P361" s="2">
        <f>tdata[[#This Row],[price_per_kilo]]*tdata[[#This Row],[Weight_KG]]</f>
        <v>40920</v>
      </c>
      <c r="Q361" s="2" t="str">
        <f>VLOOKUP(tdata[[#This Row],[id_employee]],temployee[#All],2,0)</f>
        <v>Hadi Purnomo</v>
      </c>
      <c r="R361" s="2" t="str">
        <f>VLOOKUP(tdata[[#This Row],[id_employee]],temployee[#All],4,0)</f>
        <v>crowd source</v>
      </c>
      <c r="S361" s="9" t="str">
        <f>VLOOKUP(tdata[[#This Row],[id_employee]],temployee[#All],5,0)</f>
        <v>driver</v>
      </c>
    </row>
    <row r="362" spans="2:19" x14ac:dyDescent="0.35">
      <c r="B362" s="8" t="s">
        <v>381</v>
      </c>
      <c r="C362" s="2" t="s">
        <v>1331</v>
      </c>
      <c r="D362" s="5">
        <v>45634</v>
      </c>
      <c r="E362" s="5">
        <v>45635</v>
      </c>
      <c r="F362" s="2" t="s">
        <v>26</v>
      </c>
      <c r="G362" s="2" t="s">
        <v>22</v>
      </c>
      <c r="H362" s="2" t="s">
        <v>1224</v>
      </c>
      <c r="I362" s="2" t="s">
        <v>17</v>
      </c>
      <c r="J362" s="2">
        <v>1.29</v>
      </c>
      <c r="K362" s="2" t="str">
        <f t="shared" si="16"/>
        <v>&lt; 5kg</v>
      </c>
      <c r="L362" s="2">
        <f>tdata[[#This Row],[Received_date]]-tdata[[#This Row],[Shipment_Date]]</f>
        <v>1</v>
      </c>
      <c r="M362" s="2">
        <f>VLOOKUP(tdata[[#This Row],[Service_Type]],Table2[#All],2,0)</f>
        <v>3</v>
      </c>
      <c r="N362" s="2" t="str">
        <f>IF(tdata[[#This Row],[Delivery_Days]]&lt;=tdata[[#This Row],[SLA_Days]],"On Time","Late")</f>
        <v>On Time</v>
      </c>
      <c r="O362" s="2">
        <f>VLOOKUP(tdata[[#This Row],[Service_Type]],Table2[#All],4,0)</f>
        <v>10000</v>
      </c>
      <c r="P362" s="2">
        <f>tdata[[#This Row],[price_per_kilo]]*tdata[[#This Row],[Weight_KG]]</f>
        <v>12900</v>
      </c>
      <c r="Q362" s="2" t="str">
        <f>VLOOKUP(tdata[[#This Row],[id_employee]],temployee[#All],2,0)</f>
        <v>Ika Lestari</v>
      </c>
      <c r="R362" s="2" t="str">
        <f>VLOOKUP(tdata[[#This Row],[id_employee]],temployee[#All],4,0)</f>
        <v>internal</v>
      </c>
      <c r="S362" s="9" t="str">
        <f>VLOOKUP(tdata[[#This Row],[id_employee]],temployee[#All],5,0)</f>
        <v>rider</v>
      </c>
    </row>
    <row r="363" spans="2:19" x14ac:dyDescent="0.35">
      <c r="B363" s="8" t="s">
        <v>382</v>
      </c>
      <c r="C363" s="2" t="s">
        <v>1332</v>
      </c>
      <c r="D363" s="5">
        <v>45568</v>
      </c>
      <c r="E363" s="5">
        <v>45570</v>
      </c>
      <c r="F363" s="2" t="s">
        <v>49</v>
      </c>
      <c r="G363" s="2" t="s">
        <v>15</v>
      </c>
      <c r="H363" s="2" t="s">
        <v>23</v>
      </c>
      <c r="I363" s="2" t="s">
        <v>17</v>
      </c>
      <c r="J363" s="2">
        <v>3.91</v>
      </c>
      <c r="K363" s="2" t="str">
        <f t="shared" si="16"/>
        <v>&lt; 5kg</v>
      </c>
      <c r="L363" s="2">
        <f>tdata[[#This Row],[Received_date]]-tdata[[#This Row],[Shipment_Date]]</f>
        <v>2</v>
      </c>
      <c r="M363" s="2">
        <f>VLOOKUP(tdata[[#This Row],[Service_Type]],Table2[#All],2,0)</f>
        <v>5</v>
      </c>
      <c r="N363" s="2" t="str">
        <f>IF(tdata[[#This Row],[Delivery_Days]]&lt;=tdata[[#This Row],[SLA_Days]],"On Time","Late")</f>
        <v>On Time</v>
      </c>
      <c r="O363" s="2">
        <f>VLOOKUP(tdata[[#This Row],[Service_Type]],Table2[#All],4,0)</f>
        <v>9000</v>
      </c>
      <c r="P363" s="2">
        <f>tdata[[#This Row],[price_per_kilo]]*tdata[[#This Row],[Weight_KG]]</f>
        <v>35190</v>
      </c>
      <c r="Q363" s="2" t="str">
        <f>VLOOKUP(tdata[[#This Row],[id_employee]],temployee[#All],2,0)</f>
        <v>Jamil Akbar</v>
      </c>
      <c r="R363" s="2" t="str">
        <f>VLOOKUP(tdata[[#This Row],[id_employee]],temployee[#All],4,0)</f>
        <v>internal</v>
      </c>
      <c r="S363" s="9" t="str">
        <f>VLOOKUP(tdata[[#This Row],[id_employee]],temployee[#All],5,0)</f>
        <v>driver</v>
      </c>
    </row>
    <row r="364" spans="2:19" x14ac:dyDescent="0.35">
      <c r="B364" s="8" t="s">
        <v>383</v>
      </c>
      <c r="C364" s="2" t="s">
        <v>1333</v>
      </c>
      <c r="D364" s="5">
        <v>45307</v>
      </c>
      <c r="E364" s="5">
        <v>45307</v>
      </c>
      <c r="F364" s="2" t="s">
        <v>11</v>
      </c>
      <c r="G364" s="2" t="s">
        <v>11</v>
      </c>
      <c r="H364" s="2" t="s">
        <v>1223</v>
      </c>
      <c r="I364" s="2" t="s">
        <v>13</v>
      </c>
      <c r="J364" s="2">
        <v>1.71</v>
      </c>
      <c r="K364" s="2" t="str">
        <f t="shared" si="16"/>
        <v>&lt; 5kg</v>
      </c>
      <c r="L364" s="2">
        <f>tdata[[#This Row],[Received_date]]-tdata[[#This Row],[Shipment_Date]]</f>
        <v>0</v>
      </c>
      <c r="M364" s="2">
        <f>VLOOKUP(tdata[[#This Row],[Service_Type]],Table2[#All],2,0)</f>
        <v>1</v>
      </c>
      <c r="N364" s="2" t="str">
        <f>IF(tdata[[#This Row],[Delivery_Days]]&lt;=tdata[[#This Row],[SLA_Days]],"On Time","Late")</f>
        <v>On Time</v>
      </c>
      <c r="O364" s="2">
        <f>VLOOKUP(tdata[[#This Row],[Service_Type]],Table2[#All],4,0)</f>
        <v>12000</v>
      </c>
      <c r="P364" s="2">
        <f>tdata[[#This Row],[price_per_kilo]]*tdata[[#This Row],[Weight_KG]]</f>
        <v>20520</v>
      </c>
      <c r="Q364" s="2" t="str">
        <f>VLOOKUP(tdata[[#This Row],[id_employee]],temployee[#All],2,0)</f>
        <v>Kevin Sanjaya</v>
      </c>
      <c r="R364" s="2" t="str">
        <f>VLOOKUP(tdata[[#This Row],[id_employee]],temployee[#All],4,0)</f>
        <v>crowd source</v>
      </c>
      <c r="S364" s="9" t="str">
        <f>VLOOKUP(tdata[[#This Row],[id_employee]],temployee[#All],5,0)</f>
        <v>rider</v>
      </c>
    </row>
    <row r="365" spans="2:19" x14ac:dyDescent="0.35">
      <c r="B365" s="8" t="s">
        <v>384</v>
      </c>
      <c r="C365" s="2" t="s">
        <v>1334</v>
      </c>
      <c r="D365" s="5">
        <v>45030</v>
      </c>
      <c r="E365" s="5">
        <v>45040</v>
      </c>
      <c r="F365" s="2" t="s">
        <v>15</v>
      </c>
      <c r="G365" s="2" t="s">
        <v>20</v>
      </c>
      <c r="H365" s="2" t="s">
        <v>23</v>
      </c>
      <c r="I365" s="2" t="s">
        <v>17</v>
      </c>
      <c r="J365" s="2">
        <v>3.51</v>
      </c>
      <c r="K365" s="2" t="str">
        <f t="shared" si="16"/>
        <v>&lt; 5kg</v>
      </c>
      <c r="L365" s="2">
        <f>tdata[[#This Row],[Received_date]]-tdata[[#This Row],[Shipment_Date]]</f>
        <v>10</v>
      </c>
      <c r="M365" s="2">
        <f>VLOOKUP(tdata[[#This Row],[Service_Type]],Table2[#All],2,0)</f>
        <v>5</v>
      </c>
      <c r="N365" s="2" t="str">
        <f>IF(tdata[[#This Row],[Delivery_Days]]&lt;=tdata[[#This Row],[SLA_Days]],"On Time","Late")</f>
        <v>Late</v>
      </c>
      <c r="O365" s="2">
        <f>VLOOKUP(tdata[[#This Row],[Service_Type]],Table2[#All],4,0)</f>
        <v>9000</v>
      </c>
      <c r="P365" s="2">
        <f>tdata[[#This Row],[price_per_kilo]]*tdata[[#This Row],[Weight_KG]]</f>
        <v>31589.999999999996</v>
      </c>
      <c r="Q365" s="2" t="str">
        <f>VLOOKUP(tdata[[#This Row],[id_employee]],temployee[#All],2,0)</f>
        <v>Laila Nuraini</v>
      </c>
      <c r="R365" s="2" t="str">
        <f>VLOOKUP(tdata[[#This Row],[id_employee]],temployee[#All],4,0)</f>
        <v>internal</v>
      </c>
      <c r="S365" s="9" t="str">
        <f>VLOOKUP(tdata[[#This Row],[id_employee]],temployee[#All],5,0)</f>
        <v>rider</v>
      </c>
    </row>
    <row r="366" spans="2:19" x14ac:dyDescent="0.35">
      <c r="B366" s="8" t="s">
        <v>385</v>
      </c>
      <c r="C366" s="2" t="s">
        <v>1335</v>
      </c>
      <c r="D366" s="5">
        <v>45163</v>
      </c>
      <c r="E366" s="5">
        <v>45165</v>
      </c>
      <c r="F366" s="2" t="s">
        <v>20</v>
      </c>
      <c r="G366" s="2" t="s">
        <v>20</v>
      </c>
      <c r="H366" s="2" t="s">
        <v>1224</v>
      </c>
      <c r="I366" s="2" t="s">
        <v>17</v>
      </c>
      <c r="J366" s="2">
        <v>8.66</v>
      </c>
      <c r="K366" s="2" t="str">
        <f t="shared" si="16"/>
        <v>&gt;5kg</v>
      </c>
      <c r="L366" s="2">
        <f>tdata[[#This Row],[Received_date]]-tdata[[#This Row],[Shipment_Date]]</f>
        <v>2</v>
      </c>
      <c r="M366" s="2">
        <f>VLOOKUP(tdata[[#This Row],[Service_Type]],Table2[#All],2,0)</f>
        <v>3</v>
      </c>
      <c r="N366" s="2" t="str">
        <f>IF(tdata[[#This Row],[Delivery_Days]]&lt;=tdata[[#This Row],[SLA_Days]],"On Time","Late")</f>
        <v>On Time</v>
      </c>
      <c r="O366" s="2">
        <f>VLOOKUP(tdata[[#This Row],[Service_Type]],Table2[#All],4,0)</f>
        <v>10000</v>
      </c>
      <c r="P366" s="2">
        <f>tdata[[#This Row],[price_per_kilo]]*tdata[[#This Row],[Weight_KG]]</f>
        <v>86600</v>
      </c>
      <c r="Q366" s="2" t="str">
        <f>VLOOKUP(tdata[[#This Row],[id_employee]],temployee[#All],2,0)</f>
        <v>Miko Setiawan</v>
      </c>
      <c r="R366" s="2" t="str">
        <f>VLOOKUP(tdata[[#This Row],[id_employee]],temployee[#All],4,0)</f>
        <v>crowd source</v>
      </c>
      <c r="S366" s="9" t="str">
        <f>VLOOKUP(tdata[[#This Row],[id_employee]],temployee[#All],5,0)</f>
        <v>driver</v>
      </c>
    </row>
    <row r="367" spans="2:19" x14ac:dyDescent="0.35">
      <c r="B367" s="8" t="s">
        <v>386</v>
      </c>
      <c r="C367" s="2" t="s">
        <v>1336</v>
      </c>
      <c r="D367" s="5">
        <v>45328</v>
      </c>
      <c r="E367" s="5">
        <v>45328</v>
      </c>
      <c r="F367" s="2" t="s">
        <v>22</v>
      </c>
      <c r="G367" s="2" t="s">
        <v>15</v>
      </c>
      <c r="H367" s="2" t="s">
        <v>1224</v>
      </c>
      <c r="I367" s="2" t="s">
        <v>13</v>
      </c>
      <c r="J367" s="2">
        <v>4.0599999999999996</v>
      </c>
      <c r="K367" s="2" t="str">
        <f t="shared" si="16"/>
        <v>&lt; 5kg</v>
      </c>
      <c r="L367" s="2">
        <f>tdata[[#This Row],[Received_date]]-tdata[[#This Row],[Shipment_Date]]</f>
        <v>0</v>
      </c>
      <c r="M367" s="2">
        <f>VLOOKUP(tdata[[#This Row],[Service_Type]],Table2[#All],2,0)</f>
        <v>3</v>
      </c>
      <c r="N367" s="2" t="str">
        <f>IF(tdata[[#This Row],[Delivery_Days]]&lt;=tdata[[#This Row],[SLA_Days]],"On Time","Late")</f>
        <v>On Time</v>
      </c>
      <c r="O367" s="2">
        <f>VLOOKUP(tdata[[#This Row],[Service_Type]],Table2[#All],4,0)</f>
        <v>10000</v>
      </c>
      <c r="P367" s="2">
        <f>tdata[[#This Row],[price_per_kilo]]*tdata[[#This Row],[Weight_KG]]</f>
        <v>40599.999999999993</v>
      </c>
      <c r="Q367" s="2" t="str">
        <f>VLOOKUP(tdata[[#This Row],[id_employee]],temployee[#All],2,0)</f>
        <v>Nisa Aulia</v>
      </c>
      <c r="R367" s="2" t="str">
        <f>VLOOKUP(tdata[[#This Row],[id_employee]],temployee[#All],4,0)</f>
        <v>internal</v>
      </c>
      <c r="S367" s="9" t="str">
        <f>VLOOKUP(tdata[[#This Row],[id_employee]],temployee[#All],5,0)</f>
        <v>rider</v>
      </c>
    </row>
    <row r="368" spans="2:19" x14ac:dyDescent="0.35">
      <c r="B368" s="8" t="s">
        <v>387</v>
      </c>
      <c r="C368" s="2" t="s">
        <v>1337</v>
      </c>
      <c r="D368" s="5">
        <v>45644</v>
      </c>
      <c r="E368" s="5">
        <v>45648</v>
      </c>
      <c r="F368" s="2" t="s">
        <v>12</v>
      </c>
      <c r="G368" s="2" t="s">
        <v>20</v>
      </c>
      <c r="H368" s="2" t="s">
        <v>23</v>
      </c>
      <c r="I368" s="2" t="s">
        <v>17</v>
      </c>
      <c r="J368" s="2">
        <v>8.77</v>
      </c>
      <c r="K368" s="2" t="str">
        <f t="shared" si="16"/>
        <v>&gt;5kg</v>
      </c>
      <c r="L368" s="2">
        <f>tdata[[#This Row],[Received_date]]-tdata[[#This Row],[Shipment_Date]]</f>
        <v>4</v>
      </c>
      <c r="M368" s="2">
        <f>VLOOKUP(tdata[[#This Row],[Service_Type]],Table2[#All],2,0)</f>
        <v>5</v>
      </c>
      <c r="N368" s="2" t="str">
        <f>IF(tdata[[#This Row],[Delivery_Days]]&lt;=tdata[[#This Row],[SLA_Days]],"On Time","Late")</f>
        <v>On Time</v>
      </c>
      <c r="O368" s="2">
        <f>VLOOKUP(tdata[[#This Row],[Service_Type]],Table2[#All],4,0)</f>
        <v>9000</v>
      </c>
      <c r="P368" s="2">
        <f>tdata[[#This Row],[price_per_kilo]]*tdata[[#This Row],[Weight_KG]]</f>
        <v>78930</v>
      </c>
      <c r="Q368" s="2" t="str">
        <f>VLOOKUP(tdata[[#This Row],[id_employee]],temployee[#All],2,0)</f>
        <v>Oki Pramono</v>
      </c>
      <c r="R368" s="2" t="str">
        <f>VLOOKUP(tdata[[#This Row],[id_employee]],temployee[#All],4,0)</f>
        <v>internal</v>
      </c>
      <c r="S368" s="9" t="str">
        <f>VLOOKUP(tdata[[#This Row],[id_employee]],temployee[#All],5,0)</f>
        <v>driver</v>
      </c>
    </row>
    <row r="369" spans="2:19" x14ac:dyDescent="0.35">
      <c r="B369" s="8" t="s">
        <v>388</v>
      </c>
      <c r="C369" s="2" t="s">
        <v>1338</v>
      </c>
      <c r="D369" s="5">
        <v>45343</v>
      </c>
      <c r="E369" s="5">
        <v>45352</v>
      </c>
      <c r="F369" s="2" t="s">
        <v>30</v>
      </c>
      <c r="G369" s="2" t="s">
        <v>49</v>
      </c>
      <c r="H369" s="2" t="s">
        <v>1223</v>
      </c>
      <c r="I369" s="2" t="s">
        <v>17</v>
      </c>
      <c r="J369" s="2">
        <v>2.09</v>
      </c>
      <c r="K369" s="2" t="str">
        <f t="shared" si="16"/>
        <v>&lt; 5kg</v>
      </c>
      <c r="L369" s="2">
        <f>tdata[[#This Row],[Received_date]]-tdata[[#This Row],[Shipment_Date]]</f>
        <v>9</v>
      </c>
      <c r="M369" s="2">
        <f>VLOOKUP(tdata[[#This Row],[Service_Type]],Table2[#All],2,0)</f>
        <v>1</v>
      </c>
      <c r="N369" s="2" t="str">
        <f>IF(tdata[[#This Row],[Delivery_Days]]&lt;=tdata[[#This Row],[SLA_Days]],"On Time","Late")</f>
        <v>Late</v>
      </c>
      <c r="O369" s="2">
        <f>VLOOKUP(tdata[[#This Row],[Service_Type]],Table2[#All],4,0)</f>
        <v>12000</v>
      </c>
      <c r="P369" s="2">
        <f>tdata[[#This Row],[price_per_kilo]]*tdata[[#This Row],[Weight_KG]]</f>
        <v>25080</v>
      </c>
      <c r="Q369" s="2" t="str">
        <f>VLOOKUP(tdata[[#This Row],[id_employee]],temployee[#All],2,0)</f>
        <v>Putra Mahendra</v>
      </c>
      <c r="R369" s="2" t="str">
        <f>VLOOKUP(tdata[[#This Row],[id_employee]],temployee[#All],4,0)</f>
        <v>crowd source</v>
      </c>
      <c r="S369" s="9" t="str">
        <f>VLOOKUP(tdata[[#This Row],[id_employee]],temployee[#All],5,0)</f>
        <v>rider</v>
      </c>
    </row>
    <row r="370" spans="2:19" x14ac:dyDescent="0.35">
      <c r="B370" s="8" t="s">
        <v>389</v>
      </c>
      <c r="C370" s="2" t="s">
        <v>1339</v>
      </c>
      <c r="D370" s="5">
        <v>45129</v>
      </c>
      <c r="E370" s="5">
        <v>45135</v>
      </c>
      <c r="F370" s="2" t="s">
        <v>32</v>
      </c>
      <c r="G370" s="2" t="s">
        <v>30</v>
      </c>
      <c r="H370" s="2" t="s">
        <v>1223</v>
      </c>
      <c r="I370" s="2" t="s">
        <v>17</v>
      </c>
      <c r="J370" s="2">
        <v>9.35</v>
      </c>
      <c r="K370" s="2" t="str">
        <f t="shared" si="16"/>
        <v>&gt;5kg</v>
      </c>
      <c r="L370" s="2">
        <f>tdata[[#This Row],[Received_date]]-tdata[[#This Row],[Shipment_Date]]</f>
        <v>6</v>
      </c>
      <c r="M370" s="2">
        <f>VLOOKUP(tdata[[#This Row],[Service_Type]],Table2[#All],2,0)</f>
        <v>1</v>
      </c>
      <c r="N370" s="2" t="str">
        <f>IF(tdata[[#This Row],[Delivery_Days]]&lt;=tdata[[#This Row],[SLA_Days]],"On Time","Late")</f>
        <v>Late</v>
      </c>
      <c r="O370" s="2">
        <f>VLOOKUP(tdata[[#This Row],[Service_Type]],Table2[#All],4,0)</f>
        <v>12000</v>
      </c>
      <c r="P370" s="2">
        <f>tdata[[#This Row],[price_per_kilo]]*tdata[[#This Row],[Weight_KG]]</f>
        <v>112200</v>
      </c>
      <c r="Q370" s="2" t="str">
        <f>VLOOKUP(tdata[[#This Row],[id_employee]],temployee[#All],2,0)</f>
        <v>Qolbi Ramadhani</v>
      </c>
      <c r="R370" s="2" t="str">
        <f>VLOOKUP(tdata[[#This Row],[id_employee]],temployee[#All],4,0)</f>
        <v>internal</v>
      </c>
      <c r="S370" s="9" t="str">
        <f>VLOOKUP(tdata[[#This Row],[id_employee]],temployee[#All],5,0)</f>
        <v>rider</v>
      </c>
    </row>
    <row r="371" spans="2:19" x14ac:dyDescent="0.35">
      <c r="B371" s="8" t="s">
        <v>390</v>
      </c>
      <c r="C371" s="2" t="s">
        <v>1340</v>
      </c>
      <c r="D371" s="5">
        <v>45396</v>
      </c>
      <c r="E371" s="5">
        <v>45397</v>
      </c>
      <c r="F371" s="2" t="s">
        <v>16</v>
      </c>
      <c r="G371" s="2" t="s">
        <v>16</v>
      </c>
      <c r="H371" s="2" t="s">
        <v>1224</v>
      </c>
      <c r="I371" s="2" t="s">
        <v>17</v>
      </c>
      <c r="J371" s="2">
        <v>1.22</v>
      </c>
      <c r="K371" s="2" t="str">
        <f t="shared" si="16"/>
        <v>&lt; 5kg</v>
      </c>
      <c r="L371" s="2">
        <f>tdata[[#This Row],[Received_date]]-tdata[[#This Row],[Shipment_Date]]</f>
        <v>1</v>
      </c>
      <c r="M371" s="2">
        <f>VLOOKUP(tdata[[#This Row],[Service_Type]],Table2[#All],2,0)</f>
        <v>3</v>
      </c>
      <c r="N371" s="2" t="str">
        <f>IF(tdata[[#This Row],[Delivery_Days]]&lt;=tdata[[#This Row],[SLA_Days]],"On Time","Late")</f>
        <v>On Time</v>
      </c>
      <c r="O371" s="2">
        <f>VLOOKUP(tdata[[#This Row],[Service_Type]],Table2[#All],4,0)</f>
        <v>10000</v>
      </c>
      <c r="P371" s="2">
        <f>tdata[[#This Row],[price_per_kilo]]*tdata[[#This Row],[Weight_KG]]</f>
        <v>12200</v>
      </c>
      <c r="Q371" s="2" t="str">
        <f>VLOOKUP(tdata[[#This Row],[id_employee]],temployee[#All],2,0)</f>
        <v>Reza Firmansyah</v>
      </c>
      <c r="R371" s="2" t="str">
        <f>VLOOKUP(tdata[[#This Row],[id_employee]],temployee[#All],4,0)</f>
        <v>crowd source</v>
      </c>
      <c r="S371" s="9" t="str">
        <f>VLOOKUP(tdata[[#This Row],[id_employee]],temployee[#All],5,0)</f>
        <v>driver</v>
      </c>
    </row>
    <row r="372" spans="2:19" x14ac:dyDescent="0.35">
      <c r="B372" s="8" t="s">
        <v>391</v>
      </c>
      <c r="C372" s="2" t="s">
        <v>1341</v>
      </c>
      <c r="D372" s="5">
        <v>44942</v>
      </c>
      <c r="E372" s="5">
        <v>44943</v>
      </c>
      <c r="F372" s="2" t="s">
        <v>26</v>
      </c>
      <c r="G372" s="2" t="s">
        <v>11</v>
      </c>
      <c r="H372" s="2" t="s">
        <v>1224</v>
      </c>
      <c r="I372" s="2" t="s">
        <v>13</v>
      </c>
      <c r="J372" s="2">
        <v>2.19</v>
      </c>
      <c r="K372" s="2" t="str">
        <f t="shared" si="16"/>
        <v>&lt; 5kg</v>
      </c>
      <c r="L372" s="2">
        <f>tdata[[#This Row],[Received_date]]-tdata[[#This Row],[Shipment_Date]]</f>
        <v>1</v>
      </c>
      <c r="M372" s="2">
        <f>VLOOKUP(tdata[[#This Row],[Service_Type]],Table2[#All],2,0)</f>
        <v>3</v>
      </c>
      <c r="N372" s="2" t="str">
        <f>IF(tdata[[#This Row],[Delivery_Days]]&lt;=tdata[[#This Row],[SLA_Days]],"On Time","Late")</f>
        <v>On Time</v>
      </c>
      <c r="O372" s="2">
        <f>VLOOKUP(tdata[[#This Row],[Service_Type]],Table2[#All],4,0)</f>
        <v>10000</v>
      </c>
      <c r="P372" s="2">
        <f>tdata[[#This Row],[price_per_kilo]]*tdata[[#This Row],[Weight_KG]]</f>
        <v>21900</v>
      </c>
      <c r="Q372" s="2" t="str">
        <f>VLOOKUP(tdata[[#This Row],[id_employee]],temployee[#All],2,0)</f>
        <v>Siska Amelia</v>
      </c>
      <c r="R372" s="2" t="str">
        <f>VLOOKUP(tdata[[#This Row],[id_employee]],temployee[#All],4,0)</f>
        <v>internal</v>
      </c>
      <c r="S372" s="9" t="str">
        <f>VLOOKUP(tdata[[#This Row],[id_employee]],temployee[#All],5,0)</f>
        <v>rider</v>
      </c>
    </row>
    <row r="373" spans="2:19" x14ac:dyDescent="0.35">
      <c r="B373" s="8" t="s">
        <v>392</v>
      </c>
      <c r="C373" s="2" t="s">
        <v>1342</v>
      </c>
      <c r="D373" s="5">
        <v>44964</v>
      </c>
      <c r="E373" s="5">
        <v>44965</v>
      </c>
      <c r="F373" s="2" t="s">
        <v>49</v>
      </c>
      <c r="G373" s="2" t="s">
        <v>11</v>
      </c>
      <c r="H373" s="2" t="s">
        <v>1224</v>
      </c>
      <c r="I373" s="2" t="s">
        <v>17</v>
      </c>
      <c r="J373" s="2">
        <v>8.82</v>
      </c>
      <c r="K373" s="2" t="str">
        <f t="shared" si="16"/>
        <v>&gt;5kg</v>
      </c>
      <c r="L373" s="2">
        <f>tdata[[#This Row],[Received_date]]-tdata[[#This Row],[Shipment_Date]]</f>
        <v>1</v>
      </c>
      <c r="M373" s="2">
        <f>VLOOKUP(tdata[[#This Row],[Service_Type]],Table2[#All],2,0)</f>
        <v>3</v>
      </c>
      <c r="N373" s="2" t="str">
        <f>IF(tdata[[#This Row],[Delivery_Days]]&lt;=tdata[[#This Row],[SLA_Days]],"On Time","Late")</f>
        <v>On Time</v>
      </c>
      <c r="O373" s="2">
        <f>VLOOKUP(tdata[[#This Row],[Service_Type]],Table2[#All],4,0)</f>
        <v>10000</v>
      </c>
      <c r="P373" s="2">
        <f>tdata[[#This Row],[price_per_kilo]]*tdata[[#This Row],[Weight_KG]]</f>
        <v>88200</v>
      </c>
      <c r="Q373" s="2" t="str">
        <f>VLOOKUP(tdata[[#This Row],[id_employee]],temployee[#All],2,0)</f>
        <v>Tri Wibowo</v>
      </c>
      <c r="R373" s="2" t="str">
        <f>VLOOKUP(tdata[[#This Row],[id_employee]],temployee[#All],4,0)</f>
        <v>internal</v>
      </c>
      <c r="S373" s="9" t="str">
        <f>VLOOKUP(tdata[[#This Row],[id_employee]],temployee[#All],5,0)</f>
        <v>driver</v>
      </c>
    </row>
    <row r="374" spans="2:19" x14ac:dyDescent="0.35">
      <c r="B374" s="8" t="s">
        <v>393</v>
      </c>
      <c r="C374" s="2" t="s">
        <v>1343</v>
      </c>
      <c r="D374" s="5">
        <v>45400</v>
      </c>
      <c r="E374" s="5">
        <v>45401</v>
      </c>
      <c r="F374" s="2" t="s">
        <v>11</v>
      </c>
      <c r="G374" s="2" t="s">
        <v>15</v>
      </c>
      <c r="H374" s="2" t="s">
        <v>23</v>
      </c>
      <c r="I374" s="2" t="s">
        <v>17</v>
      </c>
      <c r="J374" s="2">
        <v>4.5999999999999996</v>
      </c>
      <c r="K374" s="2" t="str">
        <f t="shared" si="16"/>
        <v>&lt; 5kg</v>
      </c>
      <c r="L374" s="2">
        <f>tdata[[#This Row],[Received_date]]-tdata[[#This Row],[Shipment_Date]]</f>
        <v>1</v>
      </c>
      <c r="M374" s="2">
        <f>VLOOKUP(tdata[[#This Row],[Service_Type]],Table2[#All],2,0)</f>
        <v>5</v>
      </c>
      <c r="N374" s="2" t="str">
        <f>IF(tdata[[#This Row],[Delivery_Days]]&lt;=tdata[[#This Row],[SLA_Days]],"On Time","Late")</f>
        <v>On Time</v>
      </c>
      <c r="O374" s="2">
        <f>VLOOKUP(tdata[[#This Row],[Service_Type]],Table2[#All],4,0)</f>
        <v>9000</v>
      </c>
      <c r="P374" s="2">
        <f>tdata[[#This Row],[price_per_kilo]]*tdata[[#This Row],[Weight_KG]]</f>
        <v>41400</v>
      </c>
      <c r="Q374" s="2" t="str">
        <f>VLOOKUP(tdata[[#This Row],[id_employee]],temployee[#All],2,0)</f>
        <v>Ubay Prakoso</v>
      </c>
      <c r="R374" s="2" t="str">
        <f>VLOOKUP(tdata[[#This Row],[id_employee]],temployee[#All],4,0)</f>
        <v>crowd source</v>
      </c>
      <c r="S374" s="9" t="str">
        <f>VLOOKUP(tdata[[#This Row],[id_employee]],temployee[#All],5,0)</f>
        <v>rider</v>
      </c>
    </row>
    <row r="375" spans="2:19" x14ac:dyDescent="0.35">
      <c r="B375" s="8" t="s">
        <v>394</v>
      </c>
      <c r="C375" s="2" t="s">
        <v>1344</v>
      </c>
      <c r="D375" s="5">
        <v>45431</v>
      </c>
      <c r="E375" s="5">
        <v>45436</v>
      </c>
      <c r="F375" s="2" t="s">
        <v>15</v>
      </c>
      <c r="G375" s="2" t="s">
        <v>30</v>
      </c>
      <c r="H375" s="2" t="s">
        <v>1224</v>
      </c>
      <c r="I375" s="2" t="s">
        <v>13</v>
      </c>
      <c r="J375" s="2">
        <v>7.53</v>
      </c>
      <c r="K375" s="2" t="str">
        <f t="shared" si="16"/>
        <v>&gt;5kg</v>
      </c>
      <c r="L375" s="2">
        <f>tdata[[#This Row],[Received_date]]-tdata[[#This Row],[Shipment_Date]]</f>
        <v>5</v>
      </c>
      <c r="M375" s="2">
        <f>VLOOKUP(tdata[[#This Row],[Service_Type]],Table2[#All],2,0)</f>
        <v>3</v>
      </c>
      <c r="N375" s="2" t="str">
        <f>IF(tdata[[#This Row],[Delivery_Days]]&lt;=tdata[[#This Row],[SLA_Days]],"On Time","Late")</f>
        <v>Late</v>
      </c>
      <c r="O375" s="2">
        <f>VLOOKUP(tdata[[#This Row],[Service_Type]],Table2[#All],4,0)</f>
        <v>10000</v>
      </c>
      <c r="P375" s="2">
        <f>tdata[[#This Row],[price_per_kilo]]*tdata[[#This Row],[Weight_KG]]</f>
        <v>75300</v>
      </c>
      <c r="Q375" s="2" t="str">
        <f>VLOOKUP(tdata[[#This Row],[id_employee]],temployee[#All],2,0)</f>
        <v>Vania Putri</v>
      </c>
      <c r="R375" s="2" t="str">
        <f>VLOOKUP(tdata[[#This Row],[id_employee]],temployee[#All],4,0)</f>
        <v>internal</v>
      </c>
      <c r="S375" s="9" t="str">
        <f>VLOOKUP(tdata[[#This Row],[id_employee]],temployee[#All],5,0)</f>
        <v>rider</v>
      </c>
    </row>
    <row r="376" spans="2:19" x14ac:dyDescent="0.35">
      <c r="B376" s="8" t="s">
        <v>395</v>
      </c>
      <c r="C376" s="2" t="s">
        <v>1345</v>
      </c>
      <c r="D376" s="5">
        <v>45160</v>
      </c>
      <c r="E376" s="5">
        <v>45170</v>
      </c>
      <c r="F376" s="2" t="s">
        <v>20</v>
      </c>
      <c r="G376" s="2" t="s">
        <v>20</v>
      </c>
      <c r="H376" s="2" t="s">
        <v>1224</v>
      </c>
      <c r="I376" s="2" t="s">
        <v>17</v>
      </c>
      <c r="J376" s="2">
        <v>3.52</v>
      </c>
      <c r="K376" s="2" t="str">
        <f t="shared" si="16"/>
        <v>&lt; 5kg</v>
      </c>
      <c r="L376" s="2">
        <f>tdata[[#This Row],[Received_date]]-tdata[[#This Row],[Shipment_Date]]</f>
        <v>10</v>
      </c>
      <c r="M376" s="2">
        <f>VLOOKUP(tdata[[#This Row],[Service_Type]],Table2[#All],2,0)</f>
        <v>3</v>
      </c>
      <c r="N376" s="2" t="str">
        <f>IF(tdata[[#This Row],[Delivery_Days]]&lt;=tdata[[#This Row],[SLA_Days]],"On Time","Late")</f>
        <v>Late</v>
      </c>
      <c r="O376" s="2">
        <f>VLOOKUP(tdata[[#This Row],[Service_Type]],Table2[#All],4,0)</f>
        <v>10000</v>
      </c>
      <c r="P376" s="2">
        <f>tdata[[#This Row],[price_per_kilo]]*tdata[[#This Row],[Weight_KG]]</f>
        <v>35200</v>
      </c>
      <c r="Q376" s="2" t="str">
        <f>VLOOKUP(tdata[[#This Row],[id_employee]],temployee[#All],2,0)</f>
        <v>Wira Nugraha</v>
      </c>
      <c r="R376" s="2" t="str">
        <f>VLOOKUP(tdata[[#This Row],[id_employee]],temployee[#All],4,0)</f>
        <v>internal</v>
      </c>
      <c r="S376" s="9" t="str">
        <f>VLOOKUP(tdata[[#This Row],[id_employee]],temployee[#All],5,0)</f>
        <v>driver</v>
      </c>
    </row>
    <row r="377" spans="2:19" x14ac:dyDescent="0.35">
      <c r="B377" s="8" t="s">
        <v>396</v>
      </c>
      <c r="C377" s="2" t="s">
        <v>1346</v>
      </c>
      <c r="D377" s="5">
        <v>45282</v>
      </c>
      <c r="E377" s="5">
        <v>45292</v>
      </c>
      <c r="F377" s="2" t="s">
        <v>22</v>
      </c>
      <c r="G377" s="2" t="s">
        <v>49</v>
      </c>
      <c r="H377" s="2" t="s">
        <v>1224</v>
      </c>
      <c r="I377" s="2" t="s">
        <v>13</v>
      </c>
      <c r="J377" s="2">
        <v>9.2899999999999991</v>
      </c>
      <c r="K377" s="2" t="str">
        <f t="shared" si="16"/>
        <v>&gt;5kg</v>
      </c>
      <c r="L377" s="2">
        <f>tdata[[#This Row],[Received_date]]-tdata[[#This Row],[Shipment_Date]]</f>
        <v>10</v>
      </c>
      <c r="M377" s="2">
        <f>VLOOKUP(tdata[[#This Row],[Service_Type]],Table2[#All],2,0)</f>
        <v>3</v>
      </c>
      <c r="N377" s="2" t="str">
        <f>IF(tdata[[#This Row],[Delivery_Days]]&lt;=tdata[[#This Row],[SLA_Days]],"On Time","Late")</f>
        <v>Late</v>
      </c>
      <c r="O377" s="2">
        <f>VLOOKUP(tdata[[#This Row],[Service_Type]],Table2[#All],4,0)</f>
        <v>10000</v>
      </c>
      <c r="P377" s="2">
        <f>tdata[[#This Row],[price_per_kilo]]*tdata[[#This Row],[Weight_KG]]</f>
        <v>92899.999999999985</v>
      </c>
      <c r="Q377" s="2" t="str">
        <f>VLOOKUP(tdata[[#This Row],[id_employee]],temployee[#All],2,0)</f>
        <v>Xaverius Adi</v>
      </c>
      <c r="R377" s="2" t="str">
        <f>VLOOKUP(tdata[[#This Row],[id_employee]],temployee[#All],4,0)</f>
        <v>crowd source</v>
      </c>
      <c r="S377" s="9" t="str">
        <f>VLOOKUP(tdata[[#This Row],[id_employee]],temployee[#All],5,0)</f>
        <v>driver</v>
      </c>
    </row>
    <row r="378" spans="2:19" x14ac:dyDescent="0.35">
      <c r="B378" s="8" t="s">
        <v>397</v>
      </c>
      <c r="C378" s="2" t="s">
        <v>1347</v>
      </c>
      <c r="D378" s="5">
        <v>45124</v>
      </c>
      <c r="E378" s="5">
        <v>45124</v>
      </c>
      <c r="F378" s="2" t="s">
        <v>12</v>
      </c>
      <c r="G378" s="2" t="s">
        <v>30</v>
      </c>
      <c r="H378" s="2" t="s">
        <v>23</v>
      </c>
      <c r="I378" s="2" t="s">
        <v>17</v>
      </c>
      <c r="J378" s="2">
        <v>2.19</v>
      </c>
      <c r="K378" s="2" t="str">
        <f t="shared" si="16"/>
        <v>&lt; 5kg</v>
      </c>
      <c r="L378" s="2">
        <f>tdata[[#This Row],[Received_date]]-tdata[[#This Row],[Shipment_Date]]</f>
        <v>0</v>
      </c>
      <c r="M378" s="2">
        <f>VLOOKUP(tdata[[#This Row],[Service_Type]],Table2[#All],2,0)</f>
        <v>5</v>
      </c>
      <c r="N378" s="2" t="str">
        <f>IF(tdata[[#This Row],[Delivery_Days]]&lt;=tdata[[#This Row],[SLA_Days]],"On Time","Late")</f>
        <v>On Time</v>
      </c>
      <c r="O378" s="2">
        <f>VLOOKUP(tdata[[#This Row],[Service_Type]],Table2[#All],4,0)</f>
        <v>9000</v>
      </c>
      <c r="P378" s="2">
        <f>tdata[[#This Row],[price_per_kilo]]*tdata[[#This Row],[Weight_KG]]</f>
        <v>19710</v>
      </c>
      <c r="Q378" s="2" t="str">
        <f>VLOOKUP(tdata[[#This Row],[id_employee]],temployee[#All],2,0)</f>
        <v>Yuliana Kartini</v>
      </c>
      <c r="R378" s="2" t="str">
        <f>VLOOKUP(tdata[[#This Row],[id_employee]],temployee[#All],4,0)</f>
        <v>internal</v>
      </c>
      <c r="S378" s="9" t="str">
        <f>VLOOKUP(tdata[[#This Row],[id_employee]],temployee[#All],5,0)</f>
        <v>rider</v>
      </c>
    </row>
    <row r="379" spans="2:19" x14ac:dyDescent="0.35">
      <c r="B379" s="8" t="s">
        <v>398</v>
      </c>
      <c r="C379" s="2" t="s">
        <v>1348</v>
      </c>
      <c r="D379" s="5">
        <v>45587</v>
      </c>
      <c r="E379" s="5">
        <f>D379+4</f>
        <v>45591</v>
      </c>
      <c r="F379" s="2" t="s">
        <v>30</v>
      </c>
      <c r="G379" s="2" t="s">
        <v>12</v>
      </c>
      <c r="H379" s="2" t="s">
        <v>1224</v>
      </c>
      <c r="I379" s="2" t="s">
        <v>17</v>
      </c>
      <c r="J379" s="2">
        <v>7.64</v>
      </c>
      <c r="K379" s="2" t="str">
        <f t="shared" si="16"/>
        <v>&gt;5kg</v>
      </c>
      <c r="L379" s="2">
        <f>tdata[[#This Row],[Received_date]]-tdata[[#This Row],[Shipment_Date]]</f>
        <v>4</v>
      </c>
      <c r="M379" s="2">
        <f>VLOOKUP(tdata[[#This Row],[Service_Type]],Table2[#All],2,0)</f>
        <v>3</v>
      </c>
      <c r="N379" s="2" t="str">
        <f>IF(tdata[[#This Row],[Delivery_Days]]&lt;=tdata[[#This Row],[SLA_Days]],"On Time","Late")</f>
        <v>Late</v>
      </c>
      <c r="O379" s="2">
        <f>VLOOKUP(tdata[[#This Row],[Service_Type]],Table2[#All],4,0)</f>
        <v>10000</v>
      </c>
      <c r="P379" s="2">
        <f>tdata[[#This Row],[price_per_kilo]]*tdata[[#This Row],[Weight_KG]]</f>
        <v>76400</v>
      </c>
      <c r="Q379" s="2" t="str">
        <f>VLOOKUP(tdata[[#This Row],[id_employee]],temployee[#All],2,0)</f>
        <v>Zaki Alamsyah</v>
      </c>
      <c r="R379" s="2" t="str">
        <f>VLOOKUP(tdata[[#This Row],[id_employee]],temployee[#All],4,0)</f>
        <v>internal</v>
      </c>
      <c r="S379" s="9" t="str">
        <f>VLOOKUP(tdata[[#This Row],[id_employee]],temployee[#All],5,0)</f>
        <v>rider</v>
      </c>
    </row>
    <row r="380" spans="2:19" x14ac:dyDescent="0.35">
      <c r="B380" s="8" t="s">
        <v>399</v>
      </c>
      <c r="C380" s="2" t="s">
        <v>1349</v>
      </c>
      <c r="D380" s="5">
        <v>45022</v>
      </c>
      <c r="E380" s="5">
        <v>45027</v>
      </c>
      <c r="F380" s="2" t="s">
        <v>32</v>
      </c>
      <c r="G380" s="2" t="s">
        <v>11</v>
      </c>
      <c r="H380" s="2" t="s">
        <v>23</v>
      </c>
      <c r="I380" s="2" t="s">
        <v>17</v>
      </c>
      <c r="J380" s="2">
        <v>5.23</v>
      </c>
      <c r="K380" s="2" t="str">
        <f t="shared" si="16"/>
        <v>&gt;5kg</v>
      </c>
      <c r="L380" s="2">
        <f>tdata[[#This Row],[Received_date]]-tdata[[#This Row],[Shipment_Date]]</f>
        <v>5</v>
      </c>
      <c r="M380" s="2">
        <f>VLOOKUP(tdata[[#This Row],[Service_Type]],Table2[#All],2,0)</f>
        <v>5</v>
      </c>
      <c r="N380" s="2" t="str">
        <f>IF(tdata[[#This Row],[Delivery_Days]]&lt;=tdata[[#This Row],[SLA_Days]],"On Time","Late")</f>
        <v>On Time</v>
      </c>
      <c r="O380" s="2">
        <f>VLOOKUP(tdata[[#This Row],[Service_Type]],Table2[#All],4,0)</f>
        <v>9000</v>
      </c>
      <c r="P380" s="2">
        <f>tdata[[#This Row],[price_per_kilo]]*tdata[[#This Row],[Weight_KG]]</f>
        <v>47070.000000000007</v>
      </c>
      <c r="Q380" s="2" t="str">
        <f>VLOOKUP(tdata[[#This Row],[id_employee]],temployee[#All],2,0)</f>
        <v>Arief Setyawan</v>
      </c>
      <c r="R380" s="2" t="str">
        <f>VLOOKUP(tdata[[#This Row],[id_employee]],temployee[#All],4,0)</f>
        <v>crowd source</v>
      </c>
      <c r="S380" s="9" t="str">
        <f>VLOOKUP(tdata[[#This Row],[id_employee]],temployee[#All],5,0)</f>
        <v>driver</v>
      </c>
    </row>
    <row r="381" spans="2:19" x14ac:dyDescent="0.35">
      <c r="B381" s="8" t="s">
        <v>400</v>
      </c>
      <c r="C381" s="2" t="s">
        <v>1350</v>
      </c>
      <c r="D381" s="5">
        <v>45348</v>
      </c>
      <c r="E381" s="5">
        <v>45354</v>
      </c>
      <c r="F381" s="2" t="s">
        <v>16</v>
      </c>
      <c r="G381" s="2" t="s">
        <v>32</v>
      </c>
      <c r="H381" s="2" t="s">
        <v>23</v>
      </c>
      <c r="I381" s="2" t="s">
        <v>13</v>
      </c>
      <c r="J381" s="2">
        <v>2.94</v>
      </c>
      <c r="K381" s="2" t="str">
        <f t="shared" si="16"/>
        <v>&lt; 5kg</v>
      </c>
      <c r="L381" s="2">
        <f>tdata[[#This Row],[Received_date]]-tdata[[#This Row],[Shipment_Date]]</f>
        <v>6</v>
      </c>
      <c r="M381" s="2">
        <f>VLOOKUP(tdata[[#This Row],[Service_Type]],Table2[#All],2,0)</f>
        <v>5</v>
      </c>
      <c r="N381" s="2" t="str">
        <f>IF(tdata[[#This Row],[Delivery_Days]]&lt;=tdata[[#This Row],[SLA_Days]],"On Time","Late")</f>
        <v>Late</v>
      </c>
      <c r="O381" s="2">
        <f>VLOOKUP(tdata[[#This Row],[Service_Type]],Table2[#All],4,0)</f>
        <v>9000</v>
      </c>
      <c r="P381" s="2">
        <f>tdata[[#This Row],[price_per_kilo]]*tdata[[#This Row],[Weight_KG]]</f>
        <v>26460</v>
      </c>
      <c r="Q381" s="2" t="str">
        <f>VLOOKUP(tdata[[#This Row],[id_employee]],temployee[#All],2,0)</f>
        <v>Bunga Cahyani</v>
      </c>
      <c r="R381" s="2" t="str">
        <f>VLOOKUP(tdata[[#This Row],[id_employee]],temployee[#All],4,0)</f>
        <v>internal</v>
      </c>
      <c r="S381" s="9" t="str">
        <f>VLOOKUP(tdata[[#This Row],[id_employee]],temployee[#All],5,0)</f>
        <v>rider</v>
      </c>
    </row>
    <row r="382" spans="2:19" x14ac:dyDescent="0.35">
      <c r="B382" s="8" t="s">
        <v>401</v>
      </c>
      <c r="C382" s="2" t="s">
        <v>1351</v>
      </c>
      <c r="D382" s="5">
        <v>45537</v>
      </c>
      <c r="E382" s="5">
        <v>45539</v>
      </c>
      <c r="F382" s="2" t="s">
        <v>26</v>
      </c>
      <c r="G382" s="2" t="s">
        <v>16</v>
      </c>
      <c r="H382" s="2" t="s">
        <v>1224</v>
      </c>
      <c r="I382" s="2" t="s">
        <v>17</v>
      </c>
      <c r="J382" s="2">
        <v>0.54</v>
      </c>
      <c r="K382" s="2" t="str">
        <f t="shared" si="16"/>
        <v>&lt; 5kg</v>
      </c>
      <c r="L382" s="2">
        <f>tdata[[#This Row],[Received_date]]-tdata[[#This Row],[Shipment_Date]]</f>
        <v>2</v>
      </c>
      <c r="M382" s="2">
        <f>VLOOKUP(tdata[[#This Row],[Service_Type]],Table2[#All],2,0)</f>
        <v>3</v>
      </c>
      <c r="N382" s="2" t="str">
        <f>IF(tdata[[#This Row],[Delivery_Days]]&lt;=tdata[[#This Row],[SLA_Days]],"On Time","Late")</f>
        <v>On Time</v>
      </c>
      <c r="O382" s="2">
        <f>VLOOKUP(tdata[[#This Row],[Service_Type]],Table2[#All],4,0)</f>
        <v>10000</v>
      </c>
      <c r="P382" s="2">
        <f>tdata[[#This Row],[price_per_kilo]]*tdata[[#This Row],[Weight_KG]]</f>
        <v>5400</v>
      </c>
      <c r="Q382" s="2" t="str">
        <f>VLOOKUP(tdata[[#This Row],[id_employee]],temployee[#All],2,0)</f>
        <v>Cahyo Prabowo</v>
      </c>
      <c r="R382" s="2" t="str">
        <f>VLOOKUP(tdata[[#This Row],[id_employee]],temployee[#All],4,0)</f>
        <v>internal</v>
      </c>
      <c r="S382" s="9" t="str">
        <f>VLOOKUP(tdata[[#This Row],[id_employee]],temployee[#All],5,0)</f>
        <v>driver</v>
      </c>
    </row>
    <row r="383" spans="2:19" x14ac:dyDescent="0.35">
      <c r="B383" s="8" t="s">
        <v>402</v>
      </c>
      <c r="C383" s="2" t="s">
        <v>1352</v>
      </c>
      <c r="D383" s="5">
        <v>45552</v>
      </c>
      <c r="E383" s="5">
        <v>45553</v>
      </c>
      <c r="F383" s="2" t="s">
        <v>49</v>
      </c>
      <c r="G383" s="2" t="s">
        <v>11</v>
      </c>
      <c r="H383" s="2" t="s">
        <v>1224</v>
      </c>
      <c r="I383" s="2" t="s">
        <v>13</v>
      </c>
      <c r="J383" s="2">
        <v>3.63</v>
      </c>
      <c r="K383" s="2" t="str">
        <f t="shared" si="16"/>
        <v>&lt; 5kg</v>
      </c>
      <c r="L383" s="2">
        <f>tdata[[#This Row],[Received_date]]-tdata[[#This Row],[Shipment_Date]]</f>
        <v>1</v>
      </c>
      <c r="M383" s="2">
        <f>VLOOKUP(tdata[[#This Row],[Service_Type]],Table2[#All],2,0)</f>
        <v>3</v>
      </c>
      <c r="N383" s="2" t="str">
        <f>IF(tdata[[#This Row],[Delivery_Days]]&lt;=tdata[[#This Row],[SLA_Days]],"On Time","Late")</f>
        <v>On Time</v>
      </c>
      <c r="O383" s="2">
        <f>VLOOKUP(tdata[[#This Row],[Service_Type]],Table2[#All],4,0)</f>
        <v>10000</v>
      </c>
      <c r="P383" s="2">
        <f>tdata[[#This Row],[price_per_kilo]]*tdata[[#This Row],[Weight_KG]]</f>
        <v>36300</v>
      </c>
      <c r="Q383" s="2" t="str">
        <f>VLOOKUP(tdata[[#This Row],[id_employee]],temployee[#All],2,0)</f>
        <v>Diah Permata</v>
      </c>
      <c r="R383" s="2" t="str">
        <f>VLOOKUP(tdata[[#This Row],[id_employee]],temployee[#All],4,0)</f>
        <v>crowd source</v>
      </c>
      <c r="S383" s="9" t="str">
        <f>VLOOKUP(tdata[[#This Row],[id_employee]],temployee[#All],5,0)</f>
        <v>rider</v>
      </c>
    </row>
    <row r="384" spans="2:19" x14ac:dyDescent="0.35">
      <c r="B384" s="8" t="s">
        <v>403</v>
      </c>
      <c r="C384" s="2" t="s">
        <v>1353</v>
      </c>
      <c r="D384" s="5">
        <v>45316</v>
      </c>
      <c r="E384" s="5">
        <v>45321</v>
      </c>
      <c r="F384" s="2" t="s">
        <v>11</v>
      </c>
      <c r="G384" s="2" t="s">
        <v>26</v>
      </c>
      <c r="H384" s="2" t="s">
        <v>23</v>
      </c>
      <c r="I384" s="2" t="s">
        <v>13</v>
      </c>
      <c r="J384" s="2">
        <v>3.43</v>
      </c>
      <c r="K384" s="2" t="str">
        <f t="shared" si="16"/>
        <v>&lt; 5kg</v>
      </c>
      <c r="L384" s="2">
        <f>tdata[[#This Row],[Received_date]]-tdata[[#This Row],[Shipment_Date]]</f>
        <v>5</v>
      </c>
      <c r="M384" s="2">
        <f>VLOOKUP(tdata[[#This Row],[Service_Type]],Table2[#All],2,0)</f>
        <v>5</v>
      </c>
      <c r="N384" s="2" t="str">
        <f>IF(tdata[[#This Row],[Delivery_Days]]&lt;=tdata[[#This Row],[SLA_Days]],"On Time","Late")</f>
        <v>On Time</v>
      </c>
      <c r="O384" s="2">
        <f>VLOOKUP(tdata[[#This Row],[Service_Type]],Table2[#All],4,0)</f>
        <v>9000</v>
      </c>
      <c r="P384" s="2">
        <f>tdata[[#This Row],[price_per_kilo]]*tdata[[#This Row],[Weight_KG]]</f>
        <v>30870</v>
      </c>
      <c r="Q384" s="2" t="str">
        <f>VLOOKUP(tdata[[#This Row],[id_employee]],temployee[#All],2,0)</f>
        <v>Evania Putri</v>
      </c>
      <c r="R384" s="2" t="str">
        <f>VLOOKUP(tdata[[#This Row],[id_employee]],temployee[#All],4,0)</f>
        <v>internal</v>
      </c>
      <c r="S384" s="9" t="str">
        <f>VLOOKUP(tdata[[#This Row],[id_employee]],temployee[#All],5,0)</f>
        <v>rider</v>
      </c>
    </row>
    <row r="385" spans="2:19" x14ac:dyDescent="0.35">
      <c r="B385" s="8" t="s">
        <v>404</v>
      </c>
      <c r="C385" s="2" t="s">
        <v>1354</v>
      </c>
      <c r="D385" s="5">
        <v>44990</v>
      </c>
      <c r="E385" s="5">
        <v>44995</v>
      </c>
      <c r="F385" s="2" t="s">
        <v>15</v>
      </c>
      <c r="G385" s="2" t="s">
        <v>12</v>
      </c>
      <c r="H385" s="2" t="s">
        <v>1224</v>
      </c>
      <c r="I385" s="2" t="s">
        <v>13</v>
      </c>
      <c r="J385" s="2">
        <v>7.09</v>
      </c>
      <c r="K385" s="2" t="str">
        <f t="shared" si="16"/>
        <v>&gt;5kg</v>
      </c>
      <c r="L385" s="2">
        <f>tdata[[#This Row],[Received_date]]-tdata[[#This Row],[Shipment_Date]]</f>
        <v>5</v>
      </c>
      <c r="M385" s="2">
        <f>VLOOKUP(tdata[[#This Row],[Service_Type]],Table2[#All],2,0)</f>
        <v>3</v>
      </c>
      <c r="N385" s="2" t="str">
        <f>IF(tdata[[#This Row],[Delivery_Days]]&lt;=tdata[[#This Row],[SLA_Days]],"On Time","Late")</f>
        <v>Late</v>
      </c>
      <c r="O385" s="2">
        <f>VLOOKUP(tdata[[#This Row],[Service_Type]],Table2[#All],4,0)</f>
        <v>10000</v>
      </c>
      <c r="P385" s="2">
        <f>tdata[[#This Row],[price_per_kilo]]*tdata[[#This Row],[Weight_KG]]</f>
        <v>70900</v>
      </c>
      <c r="Q385" s="2" t="str">
        <f>VLOOKUP(tdata[[#This Row],[id_employee]],temployee[#All],2,0)</f>
        <v>Fikri Ramadhan</v>
      </c>
      <c r="R385" s="2" t="str">
        <f>VLOOKUP(tdata[[#This Row],[id_employee]],temployee[#All],4,0)</f>
        <v>crowd source</v>
      </c>
      <c r="S385" s="9" t="str">
        <f>VLOOKUP(tdata[[#This Row],[id_employee]],temployee[#All],5,0)</f>
        <v>driver</v>
      </c>
    </row>
    <row r="386" spans="2:19" x14ac:dyDescent="0.35">
      <c r="B386" s="8" t="s">
        <v>405</v>
      </c>
      <c r="C386" s="2" t="s">
        <v>1355</v>
      </c>
      <c r="D386" s="5">
        <v>45647</v>
      </c>
      <c r="E386" s="5">
        <f>D386+4</f>
        <v>45651</v>
      </c>
      <c r="F386" s="2" t="s">
        <v>20</v>
      </c>
      <c r="G386" s="2" t="s">
        <v>15</v>
      </c>
      <c r="H386" s="2" t="s">
        <v>1224</v>
      </c>
      <c r="I386" s="2" t="s">
        <v>13</v>
      </c>
      <c r="J386" s="2">
        <v>6.82</v>
      </c>
      <c r="K386" s="2" t="str">
        <f t="shared" si="16"/>
        <v>&gt;5kg</v>
      </c>
      <c r="L386" s="2">
        <f>tdata[[#This Row],[Received_date]]-tdata[[#This Row],[Shipment_Date]]</f>
        <v>4</v>
      </c>
      <c r="M386" s="2">
        <f>VLOOKUP(tdata[[#This Row],[Service_Type]],Table2[#All],2,0)</f>
        <v>3</v>
      </c>
      <c r="N386" s="2" t="str">
        <f>IF(tdata[[#This Row],[Delivery_Days]]&lt;=tdata[[#This Row],[SLA_Days]],"On Time","Late")</f>
        <v>Late</v>
      </c>
      <c r="O386" s="2">
        <f>VLOOKUP(tdata[[#This Row],[Service_Type]],Table2[#All],4,0)</f>
        <v>10000</v>
      </c>
      <c r="P386" s="2">
        <f>tdata[[#This Row],[price_per_kilo]]*tdata[[#This Row],[Weight_KG]]</f>
        <v>68200</v>
      </c>
      <c r="Q386" s="2" t="str">
        <f>VLOOKUP(tdata[[#This Row],[id_employee]],temployee[#All],2,0)</f>
        <v>Gilang Ramli</v>
      </c>
      <c r="R386" s="2" t="str">
        <f>VLOOKUP(tdata[[#This Row],[id_employee]],temployee[#All],4,0)</f>
        <v>internal</v>
      </c>
      <c r="S386" s="9" t="str">
        <f>VLOOKUP(tdata[[#This Row],[id_employee]],temployee[#All],5,0)</f>
        <v>rider</v>
      </c>
    </row>
    <row r="387" spans="2:19" x14ac:dyDescent="0.35">
      <c r="B387" s="8" t="s">
        <v>406</v>
      </c>
      <c r="C387" s="2" t="s">
        <v>1356</v>
      </c>
      <c r="D387" s="5">
        <v>44988</v>
      </c>
      <c r="E387" s="5">
        <v>44999</v>
      </c>
      <c r="F387" s="2" t="s">
        <v>22</v>
      </c>
      <c r="G387" s="2" t="s">
        <v>49</v>
      </c>
      <c r="H387" s="2" t="s">
        <v>23</v>
      </c>
      <c r="I387" s="2" t="s">
        <v>17</v>
      </c>
      <c r="J387" s="2">
        <v>1.6</v>
      </c>
      <c r="K387" s="2" t="str">
        <f t="shared" si="16"/>
        <v>&lt; 5kg</v>
      </c>
      <c r="L387" s="2">
        <f>tdata[[#This Row],[Received_date]]-tdata[[#This Row],[Shipment_Date]]</f>
        <v>11</v>
      </c>
      <c r="M387" s="2">
        <f>VLOOKUP(tdata[[#This Row],[Service_Type]],Table2[#All],2,0)</f>
        <v>5</v>
      </c>
      <c r="N387" s="2" t="str">
        <f>IF(tdata[[#This Row],[Delivery_Days]]&lt;=tdata[[#This Row],[SLA_Days]],"On Time","Late")</f>
        <v>Late</v>
      </c>
      <c r="O387" s="2">
        <f>VLOOKUP(tdata[[#This Row],[Service_Type]],Table2[#All],4,0)</f>
        <v>9000</v>
      </c>
      <c r="P387" s="2">
        <f>tdata[[#This Row],[price_per_kilo]]*tdata[[#This Row],[Weight_KG]]</f>
        <v>14400</v>
      </c>
      <c r="Q387" s="2" t="str">
        <f>VLOOKUP(tdata[[#This Row],[id_employee]],temployee[#All],2,0)</f>
        <v>Hana Zahra</v>
      </c>
      <c r="R387" s="2" t="str">
        <f>VLOOKUP(tdata[[#This Row],[id_employee]],temployee[#All],4,0)</f>
        <v>internal</v>
      </c>
      <c r="S387" s="9" t="str">
        <f>VLOOKUP(tdata[[#This Row],[id_employee]],temployee[#All],5,0)</f>
        <v>rider</v>
      </c>
    </row>
    <row r="388" spans="2:19" x14ac:dyDescent="0.35">
      <c r="B388" s="8" t="s">
        <v>407</v>
      </c>
      <c r="C388" s="2" t="s">
        <v>1357</v>
      </c>
      <c r="D388" s="5">
        <v>45622</v>
      </c>
      <c r="E388" s="5">
        <v>45629</v>
      </c>
      <c r="F388" s="2" t="s">
        <v>12</v>
      </c>
      <c r="G388" s="2" t="s">
        <v>12</v>
      </c>
      <c r="H388" s="2" t="s">
        <v>1224</v>
      </c>
      <c r="I388" s="2" t="s">
        <v>17</v>
      </c>
      <c r="J388" s="2">
        <v>7.85</v>
      </c>
      <c r="K388" s="2" t="str">
        <f t="shared" si="16"/>
        <v>&gt;5kg</v>
      </c>
      <c r="L388" s="2">
        <f>tdata[[#This Row],[Received_date]]-tdata[[#This Row],[Shipment_Date]]</f>
        <v>7</v>
      </c>
      <c r="M388" s="2">
        <f>VLOOKUP(tdata[[#This Row],[Service_Type]],Table2[#All],2,0)</f>
        <v>3</v>
      </c>
      <c r="N388" s="2" t="str">
        <f>IF(tdata[[#This Row],[Delivery_Days]]&lt;=tdata[[#This Row],[SLA_Days]],"On Time","Late")</f>
        <v>Late</v>
      </c>
      <c r="O388" s="2">
        <f>VLOOKUP(tdata[[#This Row],[Service_Type]],Table2[#All],4,0)</f>
        <v>10000</v>
      </c>
      <c r="P388" s="2">
        <f>tdata[[#This Row],[price_per_kilo]]*tdata[[#This Row],[Weight_KG]]</f>
        <v>78500</v>
      </c>
      <c r="Q388" s="2" t="str">
        <f>VLOOKUP(tdata[[#This Row],[id_employee]],temployee[#All],2,0)</f>
        <v>Irfan Maulana</v>
      </c>
      <c r="R388" s="2" t="str">
        <f>VLOOKUP(tdata[[#This Row],[id_employee]],temployee[#All],4,0)</f>
        <v>internal</v>
      </c>
      <c r="S388" s="9" t="str">
        <f>VLOOKUP(tdata[[#This Row],[id_employee]],temployee[#All],5,0)</f>
        <v>driver</v>
      </c>
    </row>
    <row r="389" spans="2:19" x14ac:dyDescent="0.35">
      <c r="B389" s="8" t="s">
        <v>408</v>
      </c>
      <c r="C389" s="2" t="s">
        <v>1358</v>
      </c>
      <c r="D389" s="5">
        <v>45004</v>
      </c>
      <c r="E389" s="5">
        <f>D389+4</f>
        <v>45008</v>
      </c>
      <c r="F389" s="2" t="s">
        <v>30</v>
      </c>
      <c r="G389" s="2" t="s">
        <v>32</v>
      </c>
      <c r="H389" s="2" t="s">
        <v>1223</v>
      </c>
      <c r="I389" s="2" t="s">
        <v>17</v>
      </c>
      <c r="J389" s="2">
        <v>5.53</v>
      </c>
      <c r="K389" s="2" t="str">
        <f t="shared" ref="K389:K452" si="18">IF(J389&lt;5,"&lt; 5kg", "&gt;5kg")</f>
        <v>&gt;5kg</v>
      </c>
      <c r="L389" s="2">
        <f>tdata[[#This Row],[Received_date]]-tdata[[#This Row],[Shipment_Date]]</f>
        <v>4</v>
      </c>
      <c r="M389" s="2">
        <f>VLOOKUP(tdata[[#This Row],[Service_Type]],Table2[#All],2,0)</f>
        <v>1</v>
      </c>
      <c r="N389" s="2" t="str">
        <f>IF(tdata[[#This Row],[Delivery_Days]]&lt;=tdata[[#This Row],[SLA_Days]],"On Time","Late")</f>
        <v>Late</v>
      </c>
      <c r="O389" s="2">
        <f>VLOOKUP(tdata[[#This Row],[Service_Type]],Table2[#All],4,0)</f>
        <v>12000</v>
      </c>
      <c r="P389" s="2">
        <f>tdata[[#This Row],[price_per_kilo]]*tdata[[#This Row],[Weight_KG]]</f>
        <v>66360</v>
      </c>
      <c r="Q389" s="2" t="str">
        <f>VLOOKUP(tdata[[#This Row],[id_employee]],temployee[#All],2,0)</f>
        <v>Jihan Salsabila</v>
      </c>
      <c r="R389" s="2" t="str">
        <f>VLOOKUP(tdata[[#This Row],[id_employee]],temployee[#All],4,0)</f>
        <v>crowd source</v>
      </c>
      <c r="S389" s="9" t="str">
        <f>VLOOKUP(tdata[[#This Row],[id_employee]],temployee[#All],5,0)</f>
        <v>rider</v>
      </c>
    </row>
    <row r="390" spans="2:19" x14ac:dyDescent="0.35">
      <c r="B390" s="8" t="s">
        <v>409</v>
      </c>
      <c r="C390" s="2" t="s">
        <v>1359</v>
      </c>
      <c r="D390" s="5">
        <v>45640</v>
      </c>
      <c r="E390" s="5">
        <v>45651</v>
      </c>
      <c r="F390" s="2" t="s">
        <v>32</v>
      </c>
      <c r="G390" s="2" t="s">
        <v>12</v>
      </c>
      <c r="H390" s="2" t="s">
        <v>1224</v>
      </c>
      <c r="I390" s="2" t="s">
        <v>17</v>
      </c>
      <c r="J390" s="2">
        <v>0.98</v>
      </c>
      <c r="K390" s="2" t="str">
        <f t="shared" si="18"/>
        <v>&lt; 5kg</v>
      </c>
      <c r="L390" s="2">
        <f>tdata[[#This Row],[Received_date]]-tdata[[#This Row],[Shipment_Date]]</f>
        <v>11</v>
      </c>
      <c r="M390" s="2">
        <f>VLOOKUP(tdata[[#This Row],[Service_Type]],Table2[#All],2,0)</f>
        <v>3</v>
      </c>
      <c r="N390" s="2" t="str">
        <f>IF(tdata[[#This Row],[Delivery_Days]]&lt;=tdata[[#This Row],[SLA_Days]],"On Time","Late")</f>
        <v>Late</v>
      </c>
      <c r="O390" s="2">
        <f>VLOOKUP(tdata[[#This Row],[Service_Type]],Table2[#All],4,0)</f>
        <v>10000</v>
      </c>
      <c r="P390" s="2">
        <f>tdata[[#This Row],[price_per_kilo]]*tdata[[#This Row],[Weight_KG]]</f>
        <v>9800</v>
      </c>
      <c r="Q390" s="2" t="str">
        <f>VLOOKUP(tdata[[#This Row],[id_employee]],temployee[#All],2,0)</f>
        <v>Koko Santoso</v>
      </c>
      <c r="R390" s="2" t="str">
        <f>VLOOKUP(tdata[[#This Row],[id_employee]],temployee[#All],4,0)</f>
        <v>internal</v>
      </c>
      <c r="S390" s="9" t="str">
        <f>VLOOKUP(tdata[[#This Row],[id_employee]],temployee[#All],5,0)</f>
        <v>rider</v>
      </c>
    </row>
    <row r="391" spans="2:19" x14ac:dyDescent="0.35">
      <c r="B391" s="8" t="s">
        <v>410</v>
      </c>
      <c r="C391" s="2" t="s">
        <v>1360</v>
      </c>
      <c r="D391" s="5">
        <v>45438</v>
      </c>
      <c r="E391" s="5">
        <v>45448</v>
      </c>
      <c r="F391" s="2" t="s">
        <v>16</v>
      </c>
      <c r="G391" s="2" t="s">
        <v>49</v>
      </c>
      <c r="H391" s="2" t="s">
        <v>1224</v>
      </c>
      <c r="I391" s="2" t="s">
        <v>13</v>
      </c>
      <c r="J391" s="2">
        <v>0.87</v>
      </c>
      <c r="K391" s="2" t="str">
        <f t="shared" si="18"/>
        <v>&lt; 5kg</v>
      </c>
      <c r="L391" s="2">
        <f>tdata[[#This Row],[Received_date]]-tdata[[#This Row],[Shipment_Date]]</f>
        <v>10</v>
      </c>
      <c r="M391" s="2">
        <f>VLOOKUP(tdata[[#This Row],[Service_Type]],Table2[#All],2,0)</f>
        <v>3</v>
      </c>
      <c r="N391" s="2" t="str">
        <f>IF(tdata[[#This Row],[Delivery_Days]]&lt;=tdata[[#This Row],[SLA_Days]],"On Time","Late")</f>
        <v>Late</v>
      </c>
      <c r="O391" s="2">
        <f>VLOOKUP(tdata[[#This Row],[Service_Type]],Table2[#All],4,0)</f>
        <v>10000</v>
      </c>
      <c r="P391" s="2">
        <f>tdata[[#This Row],[price_per_kilo]]*tdata[[#This Row],[Weight_KG]]</f>
        <v>8700</v>
      </c>
      <c r="Q391" s="2" t="str">
        <f>VLOOKUP(tdata[[#This Row],[id_employee]],temployee[#All],2,0)</f>
        <v>Luthfi Hakim</v>
      </c>
      <c r="R391" s="2" t="str">
        <f>VLOOKUP(tdata[[#This Row],[id_employee]],temployee[#All],4,0)</f>
        <v>crowd source</v>
      </c>
      <c r="S391" s="9" t="str">
        <f>VLOOKUP(tdata[[#This Row],[id_employee]],temployee[#All],5,0)</f>
        <v>driver</v>
      </c>
    </row>
    <row r="392" spans="2:19" x14ac:dyDescent="0.35">
      <c r="B392" s="8" t="s">
        <v>411</v>
      </c>
      <c r="C392" s="2" t="s">
        <v>1361</v>
      </c>
      <c r="D392" s="5">
        <v>45587</v>
      </c>
      <c r="E392" s="5">
        <f>D392+4</f>
        <v>45591</v>
      </c>
      <c r="F392" s="2" t="s">
        <v>26</v>
      </c>
      <c r="G392" s="2" t="s">
        <v>32</v>
      </c>
      <c r="H392" s="2" t="s">
        <v>23</v>
      </c>
      <c r="I392" s="2" t="s">
        <v>17</v>
      </c>
      <c r="J392" s="2">
        <v>9.42</v>
      </c>
      <c r="K392" s="2" t="str">
        <f t="shared" si="18"/>
        <v>&gt;5kg</v>
      </c>
      <c r="L392" s="2">
        <f>tdata[[#This Row],[Received_date]]-tdata[[#This Row],[Shipment_Date]]</f>
        <v>4</v>
      </c>
      <c r="M392" s="2">
        <f>VLOOKUP(tdata[[#This Row],[Service_Type]],Table2[#All],2,0)</f>
        <v>5</v>
      </c>
      <c r="N392" s="2" t="str">
        <f>IF(tdata[[#This Row],[Delivery_Days]]&lt;=tdata[[#This Row],[SLA_Days]],"On Time","Late")</f>
        <v>On Time</v>
      </c>
      <c r="O392" s="2">
        <f>VLOOKUP(tdata[[#This Row],[Service_Type]],Table2[#All],4,0)</f>
        <v>9000</v>
      </c>
      <c r="P392" s="2">
        <f>tdata[[#This Row],[price_per_kilo]]*tdata[[#This Row],[Weight_KG]]</f>
        <v>84780</v>
      </c>
      <c r="Q392" s="2" t="str">
        <f>VLOOKUP(tdata[[#This Row],[id_employee]],temployee[#All],2,0)</f>
        <v>Melati Anggraini</v>
      </c>
      <c r="R392" s="2" t="str">
        <f>VLOOKUP(tdata[[#This Row],[id_employee]],temployee[#All],4,0)</f>
        <v>internal</v>
      </c>
      <c r="S392" s="9" t="str">
        <f>VLOOKUP(tdata[[#This Row],[id_employee]],temployee[#All],5,0)</f>
        <v>rider</v>
      </c>
    </row>
    <row r="393" spans="2:19" x14ac:dyDescent="0.35">
      <c r="B393" s="8" t="s">
        <v>412</v>
      </c>
      <c r="C393" s="2" t="s">
        <v>1362</v>
      </c>
      <c r="D393" s="5">
        <v>45145</v>
      </c>
      <c r="E393" s="5">
        <v>45146</v>
      </c>
      <c r="F393" s="2" t="s">
        <v>49</v>
      </c>
      <c r="G393" s="2" t="s">
        <v>15</v>
      </c>
      <c r="H393" s="2" t="s">
        <v>1224</v>
      </c>
      <c r="I393" s="2" t="s">
        <v>17</v>
      </c>
      <c r="J393" s="2">
        <v>7.86</v>
      </c>
      <c r="K393" s="2" t="str">
        <f t="shared" si="18"/>
        <v>&gt;5kg</v>
      </c>
      <c r="L393" s="2">
        <f>tdata[[#This Row],[Received_date]]-tdata[[#This Row],[Shipment_Date]]</f>
        <v>1</v>
      </c>
      <c r="M393" s="2">
        <f>VLOOKUP(tdata[[#This Row],[Service_Type]],Table2[#All],2,0)</f>
        <v>3</v>
      </c>
      <c r="N393" s="2" t="str">
        <f>IF(tdata[[#This Row],[Delivery_Days]]&lt;=tdata[[#This Row],[SLA_Days]],"On Time","Late")</f>
        <v>On Time</v>
      </c>
      <c r="O393" s="2">
        <f>VLOOKUP(tdata[[#This Row],[Service_Type]],Table2[#All],4,0)</f>
        <v>10000</v>
      </c>
      <c r="P393" s="2">
        <f>tdata[[#This Row],[price_per_kilo]]*tdata[[#This Row],[Weight_KG]]</f>
        <v>78600</v>
      </c>
      <c r="Q393" s="2" t="str">
        <f>VLOOKUP(tdata[[#This Row],[id_employee]],temployee[#All],2,0)</f>
        <v>Naufal Rizky</v>
      </c>
      <c r="R393" s="2" t="str">
        <f>VLOOKUP(tdata[[#This Row],[id_employee]],temployee[#All],4,0)</f>
        <v>internal</v>
      </c>
      <c r="S393" s="9" t="str">
        <f>VLOOKUP(tdata[[#This Row],[id_employee]],temployee[#All],5,0)</f>
        <v>driver</v>
      </c>
    </row>
    <row r="394" spans="2:19" x14ac:dyDescent="0.35">
      <c r="B394" s="8" t="s">
        <v>413</v>
      </c>
      <c r="C394" s="2" t="s">
        <v>1363</v>
      </c>
      <c r="D394" s="5">
        <v>45192</v>
      </c>
      <c r="E394" s="5">
        <f>D394+4</f>
        <v>45196</v>
      </c>
      <c r="F394" s="2" t="s">
        <v>11</v>
      </c>
      <c r="G394" s="2" t="s">
        <v>12</v>
      </c>
      <c r="H394" s="2" t="s">
        <v>1224</v>
      </c>
      <c r="I394" s="2" t="s">
        <v>13</v>
      </c>
      <c r="J394" s="2">
        <v>6.28</v>
      </c>
      <c r="K394" s="2" t="str">
        <f t="shared" si="18"/>
        <v>&gt;5kg</v>
      </c>
      <c r="L394" s="2">
        <f>tdata[[#This Row],[Received_date]]-tdata[[#This Row],[Shipment_Date]]</f>
        <v>4</v>
      </c>
      <c r="M394" s="2">
        <f>VLOOKUP(tdata[[#This Row],[Service_Type]],Table2[#All],2,0)</f>
        <v>3</v>
      </c>
      <c r="N394" s="2" t="str">
        <f>IF(tdata[[#This Row],[Delivery_Days]]&lt;=tdata[[#This Row],[SLA_Days]],"On Time","Late")</f>
        <v>Late</v>
      </c>
      <c r="O394" s="2">
        <f>VLOOKUP(tdata[[#This Row],[Service_Type]],Table2[#All],4,0)</f>
        <v>10000</v>
      </c>
      <c r="P394" s="2">
        <f>tdata[[#This Row],[price_per_kilo]]*tdata[[#This Row],[Weight_KG]]</f>
        <v>62800</v>
      </c>
      <c r="Q394" s="2" t="str">
        <f>VLOOKUP(tdata[[#This Row],[id_employee]],temployee[#All],2,0)</f>
        <v>Olin Febriani</v>
      </c>
      <c r="R394" s="2" t="str">
        <f>VLOOKUP(tdata[[#This Row],[id_employee]],temployee[#All],4,0)</f>
        <v>crowd source</v>
      </c>
      <c r="S394" s="9" t="str">
        <f>VLOOKUP(tdata[[#This Row],[id_employee]],temployee[#All],5,0)</f>
        <v>rider</v>
      </c>
    </row>
    <row r="395" spans="2:19" x14ac:dyDescent="0.35">
      <c r="B395" s="8" t="s">
        <v>414</v>
      </c>
      <c r="C395" s="2" t="s">
        <v>1364</v>
      </c>
      <c r="D395" s="5">
        <v>44985</v>
      </c>
      <c r="E395" s="5">
        <v>44986</v>
      </c>
      <c r="F395" s="2" t="s">
        <v>15</v>
      </c>
      <c r="G395" s="2" t="s">
        <v>20</v>
      </c>
      <c r="H395" s="2" t="s">
        <v>1224</v>
      </c>
      <c r="I395" s="2" t="s">
        <v>13</v>
      </c>
      <c r="J395" s="2">
        <v>3.15</v>
      </c>
      <c r="K395" s="2" t="str">
        <f t="shared" si="18"/>
        <v>&lt; 5kg</v>
      </c>
      <c r="L395" s="2">
        <f>tdata[[#This Row],[Received_date]]-tdata[[#This Row],[Shipment_Date]]</f>
        <v>1</v>
      </c>
      <c r="M395" s="2">
        <f>VLOOKUP(tdata[[#This Row],[Service_Type]],Table2[#All],2,0)</f>
        <v>3</v>
      </c>
      <c r="N395" s="2" t="str">
        <f>IF(tdata[[#This Row],[Delivery_Days]]&lt;=tdata[[#This Row],[SLA_Days]],"On Time","Late")</f>
        <v>On Time</v>
      </c>
      <c r="O395" s="2">
        <f>VLOOKUP(tdata[[#This Row],[Service_Type]],Table2[#All],4,0)</f>
        <v>10000</v>
      </c>
      <c r="P395" s="2">
        <f>tdata[[#This Row],[price_per_kilo]]*tdata[[#This Row],[Weight_KG]]</f>
        <v>31500</v>
      </c>
      <c r="Q395" s="2" t="str">
        <f>VLOOKUP(tdata[[#This Row],[id_employee]],temployee[#All],2,0)</f>
        <v>Praditya Wicaksono</v>
      </c>
      <c r="R395" s="2" t="str">
        <f>VLOOKUP(tdata[[#This Row],[id_employee]],temployee[#All],4,0)</f>
        <v>internal</v>
      </c>
      <c r="S395" s="9" t="str">
        <f>VLOOKUP(tdata[[#This Row],[id_employee]],temployee[#All],5,0)</f>
        <v>driver</v>
      </c>
    </row>
    <row r="396" spans="2:19" x14ac:dyDescent="0.35">
      <c r="B396" s="8" t="s">
        <v>415</v>
      </c>
      <c r="C396" s="2" t="s">
        <v>1365</v>
      </c>
      <c r="D396" s="5">
        <v>45004</v>
      </c>
      <c r="E396" s="5">
        <f>D396+4</f>
        <v>45008</v>
      </c>
      <c r="F396" s="2" t="s">
        <v>20</v>
      </c>
      <c r="G396" s="2" t="s">
        <v>20</v>
      </c>
      <c r="H396" s="2" t="s">
        <v>1224</v>
      </c>
      <c r="I396" s="2" t="s">
        <v>13</v>
      </c>
      <c r="J396" s="2">
        <v>8.0299999999999994</v>
      </c>
      <c r="K396" s="2" t="str">
        <f t="shared" si="18"/>
        <v>&gt;5kg</v>
      </c>
      <c r="L396" s="2">
        <f>tdata[[#This Row],[Received_date]]-tdata[[#This Row],[Shipment_Date]]</f>
        <v>4</v>
      </c>
      <c r="M396" s="2">
        <f>VLOOKUP(tdata[[#This Row],[Service_Type]],Table2[#All],2,0)</f>
        <v>3</v>
      </c>
      <c r="N396" s="2" t="str">
        <f>IF(tdata[[#This Row],[Delivery_Days]]&lt;=tdata[[#This Row],[SLA_Days]],"On Time","Late")</f>
        <v>Late</v>
      </c>
      <c r="O396" s="2">
        <f>VLOOKUP(tdata[[#This Row],[Service_Type]],Table2[#All],4,0)</f>
        <v>10000</v>
      </c>
      <c r="P396" s="2">
        <f>tdata[[#This Row],[price_per_kilo]]*tdata[[#This Row],[Weight_KG]]</f>
        <v>80300</v>
      </c>
      <c r="Q396" s="2" t="str">
        <f>VLOOKUP(tdata[[#This Row],[id_employee]],temployee[#All],2,0)</f>
        <v>Qory Azzahra</v>
      </c>
      <c r="R396" s="2" t="str">
        <f>VLOOKUP(tdata[[#This Row],[id_employee]],temployee[#All],4,0)</f>
        <v>internal</v>
      </c>
      <c r="S396" s="9" t="str">
        <f>VLOOKUP(tdata[[#This Row],[id_employee]],temployee[#All],5,0)</f>
        <v>rider</v>
      </c>
    </row>
    <row r="397" spans="2:19" x14ac:dyDescent="0.35">
      <c r="B397" s="8" t="s">
        <v>416</v>
      </c>
      <c r="C397" s="2" t="s">
        <v>1366</v>
      </c>
      <c r="D397" s="5">
        <v>45351</v>
      </c>
      <c r="E397" s="5">
        <v>45351</v>
      </c>
      <c r="F397" s="2" t="s">
        <v>22</v>
      </c>
      <c r="G397" s="2" t="s">
        <v>15</v>
      </c>
      <c r="H397" s="2" t="s">
        <v>1224</v>
      </c>
      <c r="I397" s="2" t="s">
        <v>13</v>
      </c>
      <c r="J397" s="2">
        <v>7.06</v>
      </c>
      <c r="K397" s="2" t="str">
        <f t="shared" si="18"/>
        <v>&gt;5kg</v>
      </c>
      <c r="L397" s="2">
        <f>tdata[[#This Row],[Received_date]]-tdata[[#This Row],[Shipment_Date]]</f>
        <v>0</v>
      </c>
      <c r="M397" s="2">
        <f>VLOOKUP(tdata[[#This Row],[Service_Type]],Table2[#All],2,0)</f>
        <v>3</v>
      </c>
      <c r="N397" s="2" t="str">
        <f>IF(tdata[[#This Row],[Delivery_Days]]&lt;=tdata[[#This Row],[SLA_Days]],"On Time","Late")</f>
        <v>On Time</v>
      </c>
      <c r="O397" s="2">
        <f>VLOOKUP(tdata[[#This Row],[Service_Type]],Table2[#All],4,0)</f>
        <v>10000</v>
      </c>
      <c r="P397" s="2">
        <f>tdata[[#This Row],[price_per_kilo]]*tdata[[#This Row],[Weight_KG]]</f>
        <v>70600</v>
      </c>
      <c r="Q397" s="2" t="str">
        <f>VLOOKUP(tdata[[#This Row],[id_employee]],temployee[#All],2,0)</f>
        <v>Rendi Saputra</v>
      </c>
      <c r="R397" s="2" t="str">
        <f>VLOOKUP(tdata[[#This Row],[id_employee]],temployee[#All],4,0)</f>
        <v>crowd source</v>
      </c>
      <c r="S397" s="9" t="str">
        <f>VLOOKUP(tdata[[#This Row],[id_employee]],temployee[#All],5,0)</f>
        <v>driver</v>
      </c>
    </row>
    <row r="398" spans="2:19" x14ac:dyDescent="0.35">
      <c r="B398" s="8" t="s">
        <v>417</v>
      </c>
      <c r="C398" s="2" t="s">
        <v>1367</v>
      </c>
      <c r="D398" s="5">
        <v>45392</v>
      </c>
      <c r="E398" s="5">
        <f>D398+4</f>
        <v>45396</v>
      </c>
      <c r="F398" s="2" t="s">
        <v>12</v>
      </c>
      <c r="G398" s="2" t="s">
        <v>12</v>
      </c>
      <c r="H398" s="2" t="s">
        <v>23</v>
      </c>
      <c r="I398" s="2" t="s">
        <v>17</v>
      </c>
      <c r="J398" s="2">
        <v>6.1</v>
      </c>
      <c r="K398" s="2" t="str">
        <f t="shared" si="18"/>
        <v>&gt;5kg</v>
      </c>
      <c r="L398" s="2">
        <f>tdata[[#This Row],[Received_date]]-tdata[[#This Row],[Shipment_Date]]</f>
        <v>4</v>
      </c>
      <c r="M398" s="2">
        <f>VLOOKUP(tdata[[#This Row],[Service_Type]],Table2[#All],2,0)</f>
        <v>5</v>
      </c>
      <c r="N398" s="2" t="str">
        <f>IF(tdata[[#This Row],[Delivery_Days]]&lt;=tdata[[#This Row],[SLA_Days]],"On Time","Late")</f>
        <v>On Time</v>
      </c>
      <c r="O398" s="2">
        <f>VLOOKUP(tdata[[#This Row],[Service_Type]],Table2[#All],4,0)</f>
        <v>9000</v>
      </c>
      <c r="P398" s="2">
        <f>tdata[[#This Row],[price_per_kilo]]*tdata[[#This Row],[Weight_KG]]</f>
        <v>54900</v>
      </c>
      <c r="Q398" s="2" t="str">
        <f>VLOOKUP(tdata[[#This Row],[id_employee]],temployee[#All],2,0)</f>
        <v>Salma Nuraini</v>
      </c>
      <c r="R398" s="2" t="str">
        <f>VLOOKUP(tdata[[#This Row],[id_employee]],temployee[#All],4,0)</f>
        <v>internal</v>
      </c>
      <c r="S398" s="9" t="str">
        <f>VLOOKUP(tdata[[#This Row],[id_employee]],temployee[#All],5,0)</f>
        <v>rider</v>
      </c>
    </row>
    <row r="399" spans="2:19" x14ac:dyDescent="0.35">
      <c r="B399" s="8" t="s">
        <v>418</v>
      </c>
      <c r="C399" s="2" t="s">
        <v>1368</v>
      </c>
      <c r="D399" s="5">
        <v>45016</v>
      </c>
      <c r="E399" s="5">
        <v>45023</v>
      </c>
      <c r="F399" s="2" t="s">
        <v>30</v>
      </c>
      <c r="G399" s="2" t="s">
        <v>26</v>
      </c>
      <c r="H399" s="2" t="s">
        <v>1223</v>
      </c>
      <c r="I399" s="2" t="s">
        <v>17</v>
      </c>
      <c r="J399" s="2">
        <v>1.43</v>
      </c>
      <c r="K399" s="2" t="str">
        <f t="shared" si="18"/>
        <v>&lt; 5kg</v>
      </c>
      <c r="L399" s="2">
        <f>tdata[[#This Row],[Received_date]]-tdata[[#This Row],[Shipment_Date]]</f>
        <v>7</v>
      </c>
      <c r="M399" s="2">
        <f>VLOOKUP(tdata[[#This Row],[Service_Type]],Table2[#All],2,0)</f>
        <v>1</v>
      </c>
      <c r="N399" s="2" t="str">
        <f>IF(tdata[[#This Row],[Delivery_Days]]&lt;=tdata[[#This Row],[SLA_Days]],"On Time","Late")</f>
        <v>Late</v>
      </c>
      <c r="O399" s="2">
        <f>VLOOKUP(tdata[[#This Row],[Service_Type]],Table2[#All],4,0)</f>
        <v>12000</v>
      </c>
      <c r="P399" s="2">
        <f>tdata[[#This Row],[price_per_kilo]]*tdata[[#This Row],[Weight_KG]]</f>
        <v>17160</v>
      </c>
      <c r="Q399" s="2" t="str">
        <f>VLOOKUP(tdata[[#This Row],[id_employee]],temployee[#All],2,0)</f>
        <v>Tegar Prakoso</v>
      </c>
      <c r="R399" s="2" t="str">
        <f>VLOOKUP(tdata[[#This Row],[id_employee]],temployee[#All],4,0)</f>
        <v>internal</v>
      </c>
      <c r="S399" s="9" t="str">
        <f>VLOOKUP(tdata[[#This Row],[id_employee]],temployee[#All],5,0)</f>
        <v>driver</v>
      </c>
    </row>
    <row r="400" spans="2:19" x14ac:dyDescent="0.35">
      <c r="B400" s="8" t="s">
        <v>419</v>
      </c>
      <c r="C400" s="2" t="s">
        <v>1369</v>
      </c>
      <c r="D400" s="5">
        <v>45026</v>
      </c>
      <c r="E400" s="5">
        <f t="shared" ref="E400:E401" si="19">D400+4</f>
        <v>45030</v>
      </c>
      <c r="F400" s="2" t="s">
        <v>32</v>
      </c>
      <c r="G400" s="2" t="s">
        <v>15</v>
      </c>
      <c r="H400" s="2" t="s">
        <v>23</v>
      </c>
      <c r="I400" s="2" t="s">
        <v>17</v>
      </c>
      <c r="J400" s="2">
        <v>8.02</v>
      </c>
      <c r="K400" s="2" t="str">
        <f t="shared" si="18"/>
        <v>&gt;5kg</v>
      </c>
      <c r="L400" s="2">
        <f>tdata[[#This Row],[Received_date]]-tdata[[#This Row],[Shipment_Date]]</f>
        <v>4</v>
      </c>
      <c r="M400" s="2">
        <f>VLOOKUP(tdata[[#This Row],[Service_Type]],Table2[#All],2,0)</f>
        <v>5</v>
      </c>
      <c r="N400" s="2" t="str">
        <f>IF(tdata[[#This Row],[Delivery_Days]]&lt;=tdata[[#This Row],[SLA_Days]],"On Time","Late")</f>
        <v>On Time</v>
      </c>
      <c r="O400" s="2">
        <f>VLOOKUP(tdata[[#This Row],[Service_Type]],Table2[#All],4,0)</f>
        <v>9000</v>
      </c>
      <c r="P400" s="2">
        <f>tdata[[#This Row],[price_per_kilo]]*tdata[[#This Row],[Weight_KG]]</f>
        <v>72180</v>
      </c>
      <c r="Q400" s="2" t="str">
        <f>VLOOKUP(tdata[[#This Row],[id_employee]],temployee[#All],2,0)</f>
        <v>Ulfa Khairunnisa</v>
      </c>
      <c r="R400" s="2" t="str">
        <f>VLOOKUP(tdata[[#This Row],[id_employee]],temployee[#All],4,0)</f>
        <v>crowd source</v>
      </c>
      <c r="S400" s="9" t="str">
        <f>VLOOKUP(tdata[[#This Row],[id_employee]],temployee[#All],5,0)</f>
        <v>rider</v>
      </c>
    </row>
    <row r="401" spans="2:19" x14ac:dyDescent="0.35">
      <c r="B401" s="8" t="s">
        <v>420</v>
      </c>
      <c r="C401" s="2" t="s">
        <v>1370</v>
      </c>
      <c r="D401" s="5">
        <v>45006</v>
      </c>
      <c r="E401" s="5">
        <f t="shared" si="19"/>
        <v>45010</v>
      </c>
      <c r="F401" s="2" t="s">
        <v>16</v>
      </c>
      <c r="G401" s="2" t="s">
        <v>11</v>
      </c>
      <c r="H401" s="2" t="s">
        <v>1224</v>
      </c>
      <c r="I401" s="2" t="s">
        <v>17</v>
      </c>
      <c r="J401" s="2">
        <v>9.65</v>
      </c>
      <c r="K401" s="2" t="str">
        <f t="shared" si="18"/>
        <v>&gt;5kg</v>
      </c>
      <c r="L401" s="2">
        <f>tdata[[#This Row],[Received_date]]-tdata[[#This Row],[Shipment_Date]]</f>
        <v>4</v>
      </c>
      <c r="M401" s="2">
        <f>VLOOKUP(tdata[[#This Row],[Service_Type]],Table2[#All],2,0)</f>
        <v>3</v>
      </c>
      <c r="N401" s="2" t="str">
        <f>IF(tdata[[#This Row],[Delivery_Days]]&lt;=tdata[[#This Row],[SLA_Days]],"On Time","Late")</f>
        <v>Late</v>
      </c>
      <c r="O401" s="2">
        <f>VLOOKUP(tdata[[#This Row],[Service_Type]],Table2[#All],4,0)</f>
        <v>10000</v>
      </c>
      <c r="P401" s="2">
        <f>tdata[[#This Row],[price_per_kilo]]*tdata[[#This Row],[Weight_KG]]</f>
        <v>96500</v>
      </c>
      <c r="Q401" s="2" t="str">
        <f>VLOOKUP(tdata[[#This Row],[id_employee]],temployee[#All],2,0)</f>
        <v>Vito Mahendra</v>
      </c>
      <c r="R401" s="2" t="str">
        <f>VLOOKUP(tdata[[#This Row],[id_employee]],temployee[#All],4,0)</f>
        <v>internal</v>
      </c>
      <c r="S401" s="9" t="str">
        <f>VLOOKUP(tdata[[#This Row],[id_employee]],temployee[#All],5,0)</f>
        <v>rider</v>
      </c>
    </row>
    <row r="402" spans="2:19" x14ac:dyDescent="0.35">
      <c r="B402" s="8" t="s">
        <v>421</v>
      </c>
      <c r="C402" s="2" t="s">
        <v>1371</v>
      </c>
      <c r="D402" s="5">
        <v>45111</v>
      </c>
      <c r="E402" s="5">
        <v>45115</v>
      </c>
      <c r="F402" s="2" t="s">
        <v>26</v>
      </c>
      <c r="G402" s="2" t="s">
        <v>22</v>
      </c>
      <c r="H402" s="2" t="s">
        <v>1224</v>
      </c>
      <c r="I402" s="2" t="s">
        <v>13</v>
      </c>
      <c r="J402" s="2">
        <v>3.8</v>
      </c>
      <c r="K402" s="2" t="str">
        <f t="shared" si="18"/>
        <v>&lt; 5kg</v>
      </c>
      <c r="L402" s="2">
        <f>tdata[[#This Row],[Received_date]]-tdata[[#This Row],[Shipment_Date]]</f>
        <v>4</v>
      </c>
      <c r="M402" s="2">
        <f>VLOOKUP(tdata[[#This Row],[Service_Type]],Table2[#All],2,0)</f>
        <v>3</v>
      </c>
      <c r="N402" s="2" t="str">
        <f>IF(tdata[[#This Row],[Delivery_Days]]&lt;=tdata[[#This Row],[SLA_Days]],"On Time","Late")</f>
        <v>Late</v>
      </c>
      <c r="O402" s="2">
        <f>VLOOKUP(tdata[[#This Row],[Service_Type]],Table2[#All],4,0)</f>
        <v>10000</v>
      </c>
      <c r="P402" s="2">
        <f>tdata[[#This Row],[price_per_kilo]]*tdata[[#This Row],[Weight_KG]]</f>
        <v>38000</v>
      </c>
      <c r="Q402" s="2" t="str">
        <f>VLOOKUP(tdata[[#This Row],[id_employee]],temployee[#All],2,0)</f>
        <v>Winda Sari</v>
      </c>
      <c r="R402" s="2" t="str">
        <f>VLOOKUP(tdata[[#This Row],[id_employee]],temployee[#All],4,0)</f>
        <v>internal</v>
      </c>
      <c r="S402" s="9" t="str">
        <f>VLOOKUP(tdata[[#This Row],[id_employee]],temployee[#All],5,0)</f>
        <v>rider</v>
      </c>
    </row>
    <row r="403" spans="2:19" x14ac:dyDescent="0.35">
      <c r="B403" s="8" t="s">
        <v>422</v>
      </c>
      <c r="C403" s="2" t="s">
        <v>1372</v>
      </c>
      <c r="D403" s="5">
        <v>45347</v>
      </c>
      <c r="E403" s="5">
        <v>45353</v>
      </c>
      <c r="F403" s="2" t="s">
        <v>49</v>
      </c>
      <c r="G403" s="2" t="s">
        <v>20</v>
      </c>
      <c r="H403" s="2" t="s">
        <v>23</v>
      </c>
      <c r="I403" s="2" t="s">
        <v>13</v>
      </c>
      <c r="J403" s="2">
        <v>8.24</v>
      </c>
      <c r="K403" s="2" t="str">
        <f t="shared" si="18"/>
        <v>&gt;5kg</v>
      </c>
      <c r="L403" s="2">
        <f>tdata[[#This Row],[Received_date]]-tdata[[#This Row],[Shipment_Date]]</f>
        <v>6</v>
      </c>
      <c r="M403" s="2">
        <f>VLOOKUP(tdata[[#This Row],[Service_Type]],Table2[#All],2,0)</f>
        <v>5</v>
      </c>
      <c r="N403" s="2" t="str">
        <f>IF(tdata[[#This Row],[Delivery_Days]]&lt;=tdata[[#This Row],[SLA_Days]],"On Time","Late")</f>
        <v>Late</v>
      </c>
      <c r="O403" s="2">
        <f>VLOOKUP(tdata[[#This Row],[Service_Type]],Table2[#All],4,0)</f>
        <v>9000</v>
      </c>
      <c r="P403" s="2">
        <f>tdata[[#This Row],[price_per_kilo]]*tdata[[#This Row],[Weight_KG]]</f>
        <v>74160</v>
      </c>
      <c r="Q403" s="2" t="str">
        <f>VLOOKUP(tdata[[#This Row],[id_employee]],temployee[#All],2,0)</f>
        <v>Yusuf Al Ghazali</v>
      </c>
      <c r="R403" s="2" t="str">
        <f>VLOOKUP(tdata[[#This Row],[id_employee]],temployee[#All],4,0)</f>
        <v>crowd source</v>
      </c>
      <c r="S403" s="9" t="str">
        <f>VLOOKUP(tdata[[#This Row],[id_employee]],temployee[#All],5,0)</f>
        <v>driver</v>
      </c>
    </row>
    <row r="404" spans="2:19" x14ac:dyDescent="0.35">
      <c r="B404" s="8" t="s">
        <v>423</v>
      </c>
      <c r="C404" s="2" t="s">
        <v>1273</v>
      </c>
      <c r="D404" s="5">
        <v>45494</v>
      </c>
      <c r="E404" s="5">
        <f>D404+4</f>
        <v>45498</v>
      </c>
      <c r="F404" s="2" t="s">
        <v>11</v>
      </c>
      <c r="G404" s="2" t="s">
        <v>11</v>
      </c>
      <c r="H404" s="2" t="s">
        <v>1223</v>
      </c>
      <c r="I404" s="2" t="s">
        <v>13</v>
      </c>
      <c r="J404" s="2">
        <v>10.44</v>
      </c>
      <c r="K404" s="2" t="str">
        <f t="shared" si="18"/>
        <v>&gt;5kg</v>
      </c>
      <c r="L404" s="2">
        <f>tdata[[#This Row],[Received_date]]-tdata[[#This Row],[Shipment_Date]]</f>
        <v>4</v>
      </c>
      <c r="M404" s="2">
        <f>VLOOKUP(tdata[[#This Row],[Service_Type]],Table2[#All],2,0)</f>
        <v>1</v>
      </c>
      <c r="N404" s="2" t="str">
        <f>IF(tdata[[#This Row],[Delivery_Days]]&lt;=tdata[[#This Row],[SLA_Days]],"On Time","Late")</f>
        <v>Late</v>
      </c>
      <c r="O404" s="2">
        <f>VLOOKUP(tdata[[#This Row],[Service_Type]],Table2[#All],4,0)</f>
        <v>12000</v>
      </c>
      <c r="P404" s="2">
        <f>tdata[[#This Row],[price_per_kilo]]*tdata[[#This Row],[Weight_KG]]</f>
        <v>125280</v>
      </c>
      <c r="Q404" s="2" t="str">
        <f>VLOOKUP(tdata[[#This Row],[id_employee]],temployee[#All],2,0)</f>
        <v>Andi Pratama</v>
      </c>
      <c r="R404" s="2" t="str">
        <f>VLOOKUP(tdata[[#This Row],[id_employee]],temployee[#All],4,0)</f>
        <v>internal</v>
      </c>
      <c r="S404" s="9" t="str">
        <f>VLOOKUP(tdata[[#This Row],[id_employee]],temployee[#All],5,0)</f>
        <v>rider</v>
      </c>
    </row>
    <row r="405" spans="2:19" x14ac:dyDescent="0.35">
      <c r="B405" s="8" t="s">
        <v>424</v>
      </c>
      <c r="C405" s="2" t="s">
        <v>1274</v>
      </c>
      <c r="D405" s="5">
        <v>45361</v>
      </c>
      <c r="E405" s="5">
        <v>45362</v>
      </c>
      <c r="F405" s="2" t="s">
        <v>15</v>
      </c>
      <c r="G405" s="2" t="s">
        <v>12</v>
      </c>
      <c r="H405" s="2" t="s">
        <v>1224</v>
      </c>
      <c r="I405" s="2" t="s">
        <v>17</v>
      </c>
      <c r="J405" s="2">
        <v>4.05</v>
      </c>
      <c r="K405" s="2" t="str">
        <f t="shared" si="18"/>
        <v>&lt; 5kg</v>
      </c>
      <c r="L405" s="2">
        <f>tdata[[#This Row],[Received_date]]-tdata[[#This Row],[Shipment_Date]]</f>
        <v>1</v>
      </c>
      <c r="M405" s="2">
        <f>VLOOKUP(tdata[[#This Row],[Service_Type]],Table2[#All],2,0)</f>
        <v>3</v>
      </c>
      <c r="N405" s="2" t="str">
        <f>IF(tdata[[#This Row],[Delivery_Days]]&lt;=tdata[[#This Row],[SLA_Days]],"On Time","Late")</f>
        <v>On Time</v>
      </c>
      <c r="O405" s="2">
        <f>VLOOKUP(tdata[[#This Row],[Service_Type]],Table2[#All],4,0)</f>
        <v>10000</v>
      </c>
      <c r="P405" s="2">
        <f>tdata[[#This Row],[price_per_kilo]]*tdata[[#This Row],[Weight_KG]]</f>
        <v>40500</v>
      </c>
      <c r="Q405" s="2" t="str">
        <f>VLOOKUP(tdata[[#This Row],[id_employee]],temployee[#All],2,0)</f>
        <v>Budi Santoso</v>
      </c>
      <c r="R405" s="2" t="str">
        <f>VLOOKUP(tdata[[#This Row],[id_employee]],temployee[#All],4,0)</f>
        <v>internal</v>
      </c>
      <c r="S405" s="9" t="str">
        <f>VLOOKUP(tdata[[#This Row],[id_employee]],temployee[#All],5,0)</f>
        <v>driver</v>
      </c>
    </row>
    <row r="406" spans="2:19" x14ac:dyDescent="0.35">
      <c r="B406" s="8" t="s">
        <v>425</v>
      </c>
      <c r="C406" s="2" t="s">
        <v>1275</v>
      </c>
      <c r="D406" s="5">
        <v>45047</v>
      </c>
      <c r="E406" s="5">
        <f>D406+4</f>
        <v>45051</v>
      </c>
      <c r="F406" s="2" t="s">
        <v>20</v>
      </c>
      <c r="G406" s="2" t="s">
        <v>26</v>
      </c>
      <c r="H406" s="2" t="s">
        <v>1223</v>
      </c>
      <c r="I406" s="2" t="s">
        <v>17</v>
      </c>
      <c r="J406" s="2">
        <v>9.5500000000000007</v>
      </c>
      <c r="K406" s="2" t="str">
        <f t="shared" si="18"/>
        <v>&gt;5kg</v>
      </c>
      <c r="L406" s="2">
        <f>tdata[[#This Row],[Received_date]]-tdata[[#This Row],[Shipment_Date]]</f>
        <v>4</v>
      </c>
      <c r="M406" s="2">
        <f>VLOOKUP(tdata[[#This Row],[Service_Type]],Table2[#All],2,0)</f>
        <v>1</v>
      </c>
      <c r="N406" s="2" t="str">
        <f>IF(tdata[[#This Row],[Delivery_Days]]&lt;=tdata[[#This Row],[SLA_Days]],"On Time","Late")</f>
        <v>Late</v>
      </c>
      <c r="O406" s="2">
        <f>VLOOKUP(tdata[[#This Row],[Service_Type]],Table2[#All],4,0)</f>
        <v>12000</v>
      </c>
      <c r="P406" s="2">
        <f>tdata[[#This Row],[price_per_kilo]]*tdata[[#This Row],[Weight_KG]]</f>
        <v>114600.00000000001</v>
      </c>
      <c r="Q406" s="2" t="str">
        <f>VLOOKUP(tdata[[#This Row],[id_employee]],temployee[#All],2,0)</f>
        <v>Citra Lestari</v>
      </c>
      <c r="R406" s="2" t="str">
        <f>VLOOKUP(tdata[[#This Row],[id_employee]],temployee[#All],4,0)</f>
        <v>crowd source</v>
      </c>
      <c r="S406" s="9" t="str">
        <f>VLOOKUP(tdata[[#This Row],[id_employee]],temployee[#All],5,0)</f>
        <v>rider</v>
      </c>
    </row>
    <row r="407" spans="2:19" x14ac:dyDescent="0.35">
      <c r="B407" s="8" t="s">
        <v>426</v>
      </c>
      <c r="C407" s="2" t="s">
        <v>1276</v>
      </c>
      <c r="D407" s="5">
        <v>44985</v>
      </c>
      <c r="E407" s="5">
        <v>44990</v>
      </c>
      <c r="F407" s="2" t="s">
        <v>22</v>
      </c>
      <c r="G407" s="2" t="s">
        <v>30</v>
      </c>
      <c r="H407" s="2" t="s">
        <v>1224</v>
      </c>
      <c r="I407" s="2" t="s">
        <v>13</v>
      </c>
      <c r="J407" s="2">
        <v>4.54</v>
      </c>
      <c r="K407" s="2" t="str">
        <f t="shared" si="18"/>
        <v>&lt; 5kg</v>
      </c>
      <c r="L407" s="2">
        <f>tdata[[#This Row],[Received_date]]-tdata[[#This Row],[Shipment_Date]]</f>
        <v>5</v>
      </c>
      <c r="M407" s="2">
        <f>VLOOKUP(tdata[[#This Row],[Service_Type]],Table2[#All],2,0)</f>
        <v>3</v>
      </c>
      <c r="N407" s="2" t="str">
        <f>IF(tdata[[#This Row],[Delivery_Days]]&lt;=tdata[[#This Row],[SLA_Days]],"On Time","Late")</f>
        <v>Late</v>
      </c>
      <c r="O407" s="2">
        <f>VLOOKUP(tdata[[#This Row],[Service_Type]],Table2[#All],4,0)</f>
        <v>10000</v>
      </c>
      <c r="P407" s="2">
        <f>tdata[[#This Row],[price_per_kilo]]*tdata[[#This Row],[Weight_KG]]</f>
        <v>45400</v>
      </c>
      <c r="Q407" s="2" t="str">
        <f>VLOOKUP(tdata[[#This Row],[id_employee]],temployee[#All],2,0)</f>
        <v>Dedi Saputra</v>
      </c>
      <c r="R407" s="2" t="str">
        <f>VLOOKUP(tdata[[#This Row],[id_employee]],temployee[#All],4,0)</f>
        <v>crowd source</v>
      </c>
      <c r="S407" s="9" t="str">
        <f>VLOOKUP(tdata[[#This Row],[id_employee]],temployee[#All],5,0)</f>
        <v>driver</v>
      </c>
    </row>
    <row r="408" spans="2:19" x14ac:dyDescent="0.35">
      <c r="B408" s="8" t="s">
        <v>427</v>
      </c>
      <c r="C408" s="2" t="s">
        <v>1277</v>
      </c>
      <c r="D408" s="5">
        <v>44991</v>
      </c>
      <c r="E408" s="5">
        <v>45002</v>
      </c>
      <c r="F408" s="2" t="s">
        <v>12</v>
      </c>
      <c r="G408" s="2" t="s">
        <v>30</v>
      </c>
      <c r="H408" s="2" t="s">
        <v>23</v>
      </c>
      <c r="I408" s="2" t="s">
        <v>17</v>
      </c>
      <c r="J408" s="2">
        <v>7.93</v>
      </c>
      <c r="K408" s="2" t="str">
        <f t="shared" si="18"/>
        <v>&gt;5kg</v>
      </c>
      <c r="L408" s="2">
        <f>tdata[[#This Row],[Received_date]]-tdata[[#This Row],[Shipment_Date]]</f>
        <v>11</v>
      </c>
      <c r="M408" s="2">
        <f>VLOOKUP(tdata[[#This Row],[Service_Type]],Table2[#All],2,0)</f>
        <v>5</v>
      </c>
      <c r="N408" s="2" t="str">
        <f>IF(tdata[[#This Row],[Delivery_Days]]&lt;=tdata[[#This Row],[SLA_Days]],"On Time","Late")</f>
        <v>Late</v>
      </c>
      <c r="O408" s="2">
        <f>VLOOKUP(tdata[[#This Row],[Service_Type]],Table2[#All],4,0)</f>
        <v>9000</v>
      </c>
      <c r="P408" s="2">
        <f>tdata[[#This Row],[price_per_kilo]]*tdata[[#This Row],[Weight_KG]]</f>
        <v>71370</v>
      </c>
      <c r="Q408" s="2" t="str">
        <f>VLOOKUP(tdata[[#This Row],[id_employee]],temployee[#All],2,0)</f>
        <v>Eko Nugroho</v>
      </c>
      <c r="R408" s="2" t="str">
        <f>VLOOKUP(tdata[[#This Row],[id_employee]],temployee[#All],4,0)</f>
        <v>internal</v>
      </c>
      <c r="S408" s="9" t="str">
        <f>VLOOKUP(tdata[[#This Row],[id_employee]],temployee[#All],5,0)</f>
        <v>rider</v>
      </c>
    </row>
    <row r="409" spans="2:19" x14ac:dyDescent="0.35">
      <c r="B409" s="8" t="s">
        <v>428</v>
      </c>
      <c r="C409" s="2" t="s">
        <v>1278</v>
      </c>
      <c r="D409" s="5">
        <v>45161</v>
      </c>
      <c r="E409" s="5">
        <v>45170</v>
      </c>
      <c r="F409" s="2" t="s">
        <v>30</v>
      </c>
      <c r="G409" s="2" t="s">
        <v>49</v>
      </c>
      <c r="H409" s="2" t="s">
        <v>1224</v>
      </c>
      <c r="I409" s="2" t="s">
        <v>17</v>
      </c>
      <c r="J409" s="2">
        <v>1.17</v>
      </c>
      <c r="K409" s="2" t="str">
        <f t="shared" si="18"/>
        <v>&lt; 5kg</v>
      </c>
      <c r="L409" s="2">
        <f>tdata[[#This Row],[Received_date]]-tdata[[#This Row],[Shipment_Date]]</f>
        <v>9</v>
      </c>
      <c r="M409" s="2">
        <f>VLOOKUP(tdata[[#This Row],[Service_Type]],Table2[#All],2,0)</f>
        <v>3</v>
      </c>
      <c r="N409" s="2" t="str">
        <f>IF(tdata[[#This Row],[Delivery_Days]]&lt;=tdata[[#This Row],[SLA_Days]],"On Time","Late")</f>
        <v>Late</v>
      </c>
      <c r="O409" s="2">
        <f>VLOOKUP(tdata[[#This Row],[Service_Type]],Table2[#All],4,0)</f>
        <v>10000</v>
      </c>
      <c r="P409" s="2">
        <f>tdata[[#This Row],[price_per_kilo]]*tdata[[#This Row],[Weight_KG]]</f>
        <v>11700</v>
      </c>
      <c r="Q409" s="2" t="str">
        <f>VLOOKUP(tdata[[#This Row],[id_employee]],temployee[#All],2,0)</f>
        <v>Fajar Hidayat</v>
      </c>
      <c r="R409" s="2" t="str">
        <f>VLOOKUP(tdata[[#This Row],[id_employee]],temployee[#All],4,0)</f>
        <v>internal</v>
      </c>
      <c r="S409" s="9" t="str">
        <f>VLOOKUP(tdata[[#This Row],[id_employee]],temployee[#All],5,0)</f>
        <v>driver</v>
      </c>
    </row>
    <row r="410" spans="2:19" x14ac:dyDescent="0.35">
      <c r="B410" s="8" t="s">
        <v>429</v>
      </c>
      <c r="C410" s="2" t="s">
        <v>1279</v>
      </c>
      <c r="D410" s="5">
        <v>45550</v>
      </c>
      <c r="E410" s="5">
        <f>D410+4</f>
        <v>45554</v>
      </c>
      <c r="F410" s="2" t="s">
        <v>32</v>
      </c>
      <c r="G410" s="2" t="s">
        <v>20</v>
      </c>
      <c r="H410" s="2" t="s">
        <v>1224</v>
      </c>
      <c r="I410" s="2" t="s">
        <v>17</v>
      </c>
      <c r="J410" s="2">
        <v>8.56</v>
      </c>
      <c r="K410" s="2" t="str">
        <f t="shared" si="18"/>
        <v>&gt;5kg</v>
      </c>
      <c r="L410" s="2">
        <f>tdata[[#This Row],[Received_date]]-tdata[[#This Row],[Shipment_Date]]</f>
        <v>4</v>
      </c>
      <c r="M410" s="2">
        <f>VLOOKUP(tdata[[#This Row],[Service_Type]],Table2[#All],2,0)</f>
        <v>3</v>
      </c>
      <c r="N410" s="2" t="str">
        <f>IF(tdata[[#This Row],[Delivery_Days]]&lt;=tdata[[#This Row],[SLA_Days]],"On Time","Late")</f>
        <v>Late</v>
      </c>
      <c r="O410" s="2">
        <f>VLOOKUP(tdata[[#This Row],[Service_Type]],Table2[#All],4,0)</f>
        <v>10000</v>
      </c>
      <c r="P410" s="2">
        <f>tdata[[#This Row],[price_per_kilo]]*tdata[[#This Row],[Weight_KG]]</f>
        <v>85600</v>
      </c>
      <c r="Q410" s="2" t="str">
        <f>VLOOKUP(tdata[[#This Row],[id_employee]],temployee[#All],2,0)</f>
        <v>Gita Rahmawati</v>
      </c>
      <c r="R410" s="2" t="str">
        <f>VLOOKUP(tdata[[#This Row],[id_employee]],temployee[#All],4,0)</f>
        <v>crowd source</v>
      </c>
      <c r="S410" s="9" t="str">
        <f>VLOOKUP(tdata[[#This Row],[id_employee]],temployee[#All],5,0)</f>
        <v>rider</v>
      </c>
    </row>
    <row r="411" spans="2:19" x14ac:dyDescent="0.35">
      <c r="B411" s="8" t="s">
        <v>430</v>
      </c>
      <c r="C411" s="2" t="s">
        <v>1280</v>
      </c>
      <c r="D411" s="5">
        <v>45370</v>
      </c>
      <c r="E411" s="5">
        <v>45370</v>
      </c>
      <c r="F411" s="2" t="s">
        <v>16</v>
      </c>
      <c r="G411" s="2" t="s">
        <v>16</v>
      </c>
      <c r="H411" s="2" t="s">
        <v>1224</v>
      </c>
      <c r="I411" s="2" t="s">
        <v>17</v>
      </c>
      <c r="J411" s="2">
        <v>10.27</v>
      </c>
      <c r="K411" s="2" t="str">
        <f t="shared" si="18"/>
        <v>&gt;5kg</v>
      </c>
      <c r="L411" s="2">
        <f>tdata[[#This Row],[Received_date]]-tdata[[#This Row],[Shipment_Date]]</f>
        <v>0</v>
      </c>
      <c r="M411" s="2">
        <f>VLOOKUP(tdata[[#This Row],[Service_Type]],Table2[#All],2,0)</f>
        <v>3</v>
      </c>
      <c r="N411" s="2" t="str">
        <f>IF(tdata[[#This Row],[Delivery_Days]]&lt;=tdata[[#This Row],[SLA_Days]],"On Time","Late")</f>
        <v>On Time</v>
      </c>
      <c r="O411" s="2">
        <f>VLOOKUP(tdata[[#This Row],[Service_Type]],Table2[#All],4,0)</f>
        <v>10000</v>
      </c>
      <c r="P411" s="2">
        <f>tdata[[#This Row],[price_per_kilo]]*tdata[[#This Row],[Weight_KG]]</f>
        <v>102700</v>
      </c>
      <c r="Q411" s="2" t="str">
        <f>VLOOKUP(tdata[[#This Row],[id_employee]],temployee[#All],2,0)</f>
        <v>Hendra Wijaya</v>
      </c>
      <c r="R411" s="2" t="str">
        <f>VLOOKUP(tdata[[#This Row],[id_employee]],temployee[#All],4,0)</f>
        <v>internal</v>
      </c>
      <c r="S411" s="9" t="str">
        <f>VLOOKUP(tdata[[#This Row],[id_employee]],temployee[#All],5,0)</f>
        <v>driver</v>
      </c>
    </row>
    <row r="412" spans="2:19" x14ac:dyDescent="0.35">
      <c r="B412" s="8" t="s">
        <v>431</v>
      </c>
      <c r="C412" s="2" t="s">
        <v>1281</v>
      </c>
      <c r="D412" s="5">
        <v>45570</v>
      </c>
      <c r="E412" s="5">
        <v>45581</v>
      </c>
      <c r="F412" s="2" t="s">
        <v>26</v>
      </c>
      <c r="G412" s="2" t="s">
        <v>30</v>
      </c>
      <c r="H412" s="2" t="s">
        <v>23</v>
      </c>
      <c r="I412" s="2" t="s">
        <v>17</v>
      </c>
      <c r="J412" s="2">
        <v>5.08</v>
      </c>
      <c r="K412" s="2" t="str">
        <f t="shared" si="18"/>
        <v>&gt;5kg</v>
      </c>
      <c r="L412" s="2">
        <f>tdata[[#This Row],[Received_date]]-tdata[[#This Row],[Shipment_Date]]</f>
        <v>11</v>
      </c>
      <c r="M412" s="2">
        <f>VLOOKUP(tdata[[#This Row],[Service_Type]],Table2[#All],2,0)</f>
        <v>5</v>
      </c>
      <c r="N412" s="2" t="str">
        <f>IF(tdata[[#This Row],[Delivery_Days]]&lt;=tdata[[#This Row],[SLA_Days]],"On Time","Late")</f>
        <v>Late</v>
      </c>
      <c r="O412" s="2">
        <f>VLOOKUP(tdata[[#This Row],[Service_Type]],Table2[#All],4,0)</f>
        <v>9000</v>
      </c>
      <c r="P412" s="2">
        <f>tdata[[#This Row],[price_per_kilo]]*tdata[[#This Row],[Weight_KG]]</f>
        <v>45720</v>
      </c>
      <c r="Q412" s="2" t="str">
        <f>VLOOKUP(tdata[[#This Row],[id_employee]],temployee[#All],2,0)</f>
        <v>Indah Permata</v>
      </c>
      <c r="R412" s="2" t="str">
        <f>VLOOKUP(tdata[[#This Row],[id_employee]],temployee[#All],4,0)</f>
        <v>crowd source</v>
      </c>
      <c r="S412" s="9" t="str">
        <f>VLOOKUP(tdata[[#This Row],[id_employee]],temployee[#All],5,0)</f>
        <v>rider</v>
      </c>
    </row>
    <row r="413" spans="2:19" x14ac:dyDescent="0.35">
      <c r="B413" s="8" t="s">
        <v>432</v>
      </c>
      <c r="C413" s="2" t="s">
        <v>1282</v>
      </c>
      <c r="D413" s="5">
        <v>45474</v>
      </c>
      <c r="E413" s="5">
        <v>45474</v>
      </c>
      <c r="F413" s="2" t="s">
        <v>49</v>
      </c>
      <c r="G413" s="2" t="s">
        <v>16</v>
      </c>
      <c r="H413" s="2" t="s">
        <v>23</v>
      </c>
      <c r="I413" s="2" t="s">
        <v>13</v>
      </c>
      <c r="J413" s="2">
        <v>4.0199999999999996</v>
      </c>
      <c r="K413" s="2" t="str">
        <f t="shared" si="18"/>
        <v>&lt; 5kg</v>
      </c>
      <c r="L413" s="2">
        <f>tdata[[#This Row],[Received_date]]-tdata[[#This Row],[Shipment_Date]]</f>
        <v>0</v>
      </c>
      <c r="M413" s="2">
        <f>VLOOKUP(tdata[[#This Row],[Service_Type]],Table2[#All],2,0)</f>
        <v>5</v>
      </c>
      <c r="N413" s="2" t="str">
        <f>IF(tdata[[#This Row],[Delivery_Days]]&lt;=tdata[[#This Row],[SLA_Days]],"On Time","Late")</f>
        <v>On Time</v>
      </c>
      <c r="O413" s="2">
        <f>VLOOKUP(tdata[[#This Row],[Service_Type]],Table2[#All],4,0)</f>
        <v>9000</v>
      </c>
      <c r="P413" s="2">
        <f>tdata[[#This Row],[price_per_kilo]]*tdata[[#This Row],[Weight_KG]]</f>
        <v>36179.999999999993</v>
      </c>
      <c r="Q413" s="2" t="str">
        <f>VLOOKUP(tdata[[#This Row],[id_employee]],temployee[#All],2,0)</f>
        <v>Joko Susilo</v>
      </c>
      <c r="R413" s="2" t="str">
        <f>VLOOKUP(tdata[[#This Row],[id_employee]],temployee[#All],4,0)</f>
        <v>internal</v>
      </c>
      <c r="S413" s="9" t="str">
        <f>VLOOKUP(tdata[[#This Row],[id_employee]],temployee[#All],5,0)</f>
        <v>driver</v>
      </c>
    </row>
    <row r="414" spans="2:19" x14ac:dyDescent="0.35">
      <c r="B414" s="8" t="s">
        <v>433</v>
      </c>
      <c r="C414" s="2" t="s">
        <v>1283</v>
      </c>
      <c r="D414" s="5">
        <v>45338</v>
      </c>
      <c r="E414" s="5">
        <v>45342</v>
      </c>
      <c r="F414" s="2" t="s">
        <v>11</v>
      </c>
      <c r="G414" s="2" t="s">
        <v>20</v>
      </c>
      <c r="H414" s="2" t="s">
        <v>23</v>
      </c>
      <c r="I414" s="2" t="s">
        <v>13</v>
      </c>
      <c r="J414" s="2">
        <v>5.39</v>
      </c>
      <c r="K414" s="2" t="str">
        <f t="shared" si="18"/>
        <v>&gt;5kg</v>
      </c>
      <c r="L414" s="2">
        <f>tdata[[#This Row],[Received_date]]-tdata[[#This Row],[Shipment_Date]]</f>
        <v>4</v>
      </c>
      <c r="M414" s="2">
        <f>VLOOKUP(tdata[[#This Row],[Service_Type]],Table2[#All],2,0)</f>
        <v>5</v>
      </c>
      <c r="N414" s="2" t="str">
        <f>IF(tdata[[#This Row],[Delivery_Days]]&lt;=tdata[[#This Row],[SLA_Days]],"On Time","Late")</f>
        <v>On Time</v>
      </c>
      <c r="O414" s="2">
        <f>VLOOKUP(tdata[[#This Row],[Service_Type]],Table2[#All],4,0)</f>
        <v>9000</v>
      </c>
      <c r="P414" s="2">
        <f>tdata[[#This Row],[price_per_kilo]]*tdata[[#This Row],[Weight_KG]]</f>
        <v>48510</v>
      </c>
      <c r="Q414" s="2" t="str">
        <f>VLOOKUP(tdata[[#This Row],[id_employee]],temployee[#All],2,0)</f>
        <v>Kurniawan Putra</v>
      </c>
      <c r="R414" s="2" t="str">
        <f>VLOOKUP(tdata[[#This Row],[id_employee]],temployee[#All],4,0)</f>
        <v>crowd source</v>
      </c>
      <c r="S414" s="9" t="str">
        <f>VLOOKUP(tdata[[#This Row],[id_employee]],temployee[#All],5,0)</f>
        <v>driver</v>
      </c>
    </row>
    <row r="415" spans="2:19" x14ac:dyDescent="0.35">
      <c r="B415" s="8" t="s">
        <v>434</v>
      </c>
      <c r="C415" s="2" t="s">
        <v>1284</v>
      </c>
      <c r="D415" s="5">
        <v>45649</v>
      </c>
      <c r="E415" s="5">
        <v>45657</v>
      </c>
      <c r="F415" s="2" t="s">
        <v>15</v>
      </c>
      <c r="G415" s="2" t="s">
        <v>49</v>
      </c>
      <c r="H415" s="2" t="s">
        <v>23</v>
      </c>
      <c r="I415" s="2" t="s">
        <v>17</v>
      </c>
      <c r="J415" s="2">
        <v>5.42</v>
      </c>
      <c r="K415" s="2" t="str">
        <f t="shared" si="18"/>
        <v>&gt;5kg</v>
      </c>
      <c r="L415" s="2">
        <f>tdata[[#This Row],[Received_date]]-tdata[[#This Row],[Shipment_Date]]</f>
        <v>8</v>
      </c>
      <c r="M415" s="2">
        <f>VLOOKUP(tdata[[#This Row],[Service_Type]],Table2[#All],2,0)</f>
        <v>5</v>
      </c>
      <c r="N415" s="2" t="str">
        <f>IF(tdata[[#This Row],[Delivery_Days]]&lt;=tdata[[#This Row],[SLA_Days]],"On Time","Late")</f>
        <v>Late</v>
      </c>
      <c r="O415" s="2">
        <f>VLOOKUP(tdata[[#This Row],[Service_Type]],Table2[#All],4,0)</f>
        <v>9000</v>
      </c>
      <c r="P415" s="2">
        <f>tdata[[#This Row],[price_per_kilo]]*tdata[[#This Row],[Weight_KG]]</f>
        <v>48780</v>
      </c>
      <c r="Q415" s="2" t="str">
        <f>VLOOKUP(tdata[[#This Row],[id_employee]],temployee[#All],2,0)</f>
        <v>Lina Marlina</v>
      </c>
      <c r="R415" s="2" t="str">
        <f>VLOOKUP(tdata[[#This Row],[id_employee]],temployee[#All],4,0)</f>
        <v>internal</v>
      </c>
      <c r="S415" s="9" t="str">
        <f>VLOOKUP(tdata[[#This Row],[id_employee]],temployee[#All],5,0)</f>
        <v>rider</v>
      </c>
    </row>
    <row r="416" spans="2:19" x14ac:dyDescent="0.35">
      <c r="B416" s="8" t="s">
        <v>435</v>
      </c>
      <c r="C416" s="2" t="s">
        <v>1285</v>
      </c>
      <c r="D416" s="5">
        <v>45242</v>
      </c>
      <c r="E416" s="5">
        <v>45252</v>
      </c>
      <c r="F416" s="2" t="s">
        <v>20</v>
      </c>
      <c r="G416" s="2" t="s">
        <v>22</v>
      </c>
      <c r="H416" s="2" t="s">
        <v>1224</v>
      </c>
      <c r="I416" s="2" t="s">
        <v>17</v>
      </c>
      <c r="J416" s="2">
        <v>3.56</v>
      </c>
      <c r="K416" s="2" t="str">
        <f t="shared" si="18"/>
        <v>&lt; 5kg</v>
      </c>
      <c r="L416" s="2">
        <f>tdata[[#This Row],[Received_date]]-tdata[[#This Row],[Shipment_Date]]</f>
        <v>10</v>
      </c>
      <c r="M416" s="2">
        <f>VLOOKUP(tdata[[#This Row],[Service_Type]],Table2[#All],2,0)</f>
        <v>3</v>
      </c>
      <c r="N416" s="2" t="str">
        <f>IF(tdata[[#This Row],[Delivery_Days]]&lt;=tdata[[#This Row],[SLA_Days]],"On Time","Late")</f>
        <v>Late</v>
      </c>
      <c r="O416" s="2">
        <f>VLOOKUP(tdata[[#This Row],[Service_Type]],Table2[#All],4,0)</f>
        <v>10000</v>
      </c>
      <c r="P416" s="2">
        <f>tdata[[#This Row],[price_per_kilo]]*tdata[[#This Row],[Weight_KG]]</f>
        <v>35600</v>
      </c>
      <c r="Q416" s="2" t="str">
        <f>VLOOKUP(tdata[[#This Row],[id_employee]],temployee[#All],2,0)</f>
        <v>Rizky Ananda</v>
      </c>
      <c r="R416" s="2" t="str">
        <f>VLOOKUP(tdata[[#This Row],[id_employee]],temployee[#All],4,0)</f>
        <v>crowd source</v>
      </c>
      <c r="S416" s="9" t="str">
        <f>VLOOKUP(tdata[[#This Row],[id_employee]],temployee[#All],5,0)</f>
        <v>rider</v>
      </c>
    </row>
    <row r="417" spans="2:19" x14ac:dyDescent="0.35">
      <c r="B417" s="8" t="s">
        <v>436</v>
      </c>
      <c r="C417" s="2" t="s">
        <v>1286</v>
      </c>
      <c r="D417" s="5">
        <v>45386</v>
      </c>
      <c r="E417" s="5">
        <v>45392</v>
      </c>
      <c r="F417" s="2" t="s">
        <v>22</v>
      </c>
      <c r="G417" s="2" t="s">
        <v>26</v>
      </c>
      <c r="H417" s="2" t="s">
        <v>1224</v>
      </c>
      <c r="I417" s="2" t="s">
        <v>13</v>
      </c>
      <c r="J417" s="2">
        <v>7.14</v>
      </c>
      <c r="K417" s="2" t="str">
        <f t="shared" si="18"/>
        <v>&gt;5kg</v>
      </c>
      <c r="L417" s="2">
        <f>tdata[[#This Row],[Received_date]]-tdata[[#This Row],[Shipment_Date]]</f>
        <v>6</v>
      </c>
      <c r="M417" s="2">
        <f>VLOOKUP(tdata[[#This Row],[Service_Type]],Table2[#All],2,0)</f>
        <v>3</v>
      </c>
      <c r="N417" s="2" t="str">
        <f>IF(tdata[[#This Row],[Delivery_Days]]&lt;=tdata[[#This Row],[SLA_Days]],"On Time","Late")</f>
        <v>Late</v>
      </c>
      <c r="O417" s="2">
        <f>VLOOKUP(tdata[[#This Row],[Service_Type]],Table2[#All],4,0)</f>
        <v>10000</v>
      </c>
      <c r="P417" s="2">
        <f>tdata[[#This Row],[price_per_kilo]]*tdata[[#This Row],[Weight_KG]]</f>
        <v>71400</v>
      </c>
      <c r="Q417" s="2" t="str">
        <f>VLOOKUP(tdata[[#This Row],[id_employee]],temployee[#All],2,0)</f>
        <v>Nanda Prakoso</v>
      </c>
      <c r="R417" s="2" t="str">
        <f>VLOOKUP(tdata[[#This Row],[id_employee]],temployee[#All],4,0)</f>
        <v>internal</v>
      </c>
      <c r="S417" s="9" t="str">
        <f>VLOOKUP(tdata[[#This Row],[id_employee]],temployee[#All],5,0)</f>
        <v>driver</v>
      </c>
    </row>
    <row r="418" spans="2:19" x14ac:dyDescent="0.35">
      <c r="B418" s="8" t="s">
        <v>437</v>
      </c>
      <c r="C418" s="2" t="s">
        <v>1287</v>
      </c>
      <c r="D418" s="5">
        <v>45331</v>
      </c>
      <c r="E418" s="5">
        <v>45332</v>
      </c>
      <c r="F418" s="2" t="s">
        <v>12</v>
      </c>
      <c r="G418" s="2" t="s">
        <v>15</v>
      </c>
      <c r="H418" s="2" t="s">
        <v>1223</v>
      </c>
      <c r="I418" s="2" t="s">
        <v>17</v>
      </c>
      <c r="J418" s="2">
        <v>10.24</v>
      </c>
      <c r="K418" s="2" t="str">
        <f t="shared" si="18"/>
        <v>&gt;5kg</v>
      </c>
      <c r="L418" s="2">
        <f>tdata[[#This Row],[Received_date]]-tdata[[#This Row],[Shipment_Date]]</f>
        <v>1</v>
      </c>
      <c r="M418" s="2">
        <f>VLOOKUP(tdata[[#This Row],[Service_Type]],Table2[#All],2,0)</f>
        <v>1</v>
      </c>
      <c r="N418" s="2" t="str">
        <f>IF(tdata[[#This Row],[Delivery_Days]]&lt;=tdata[[#This Row],[SLA_Days]],"On Time","Late")</f>
        <v>On Time</v>
      </c>
      <c r="O418" s="2">
        <f>VLOOKUP(tdata[[#This Row],[Service_Type]],Table2[#All],4,0)</f>
        <v>12000</v>
      </c>
      <c r="P418" s="2">
        <f>tdata[[#This Row],[price_per_kilo]]*tdata[[#This Row],[Weight_KG]]</f>
        <v>122880</v>
      </c>
      <c r="Q418" s="2" t="str">
        <f>VLOOKUP(tdata[[#This Row],[id_employee]],temployee[#All],2,0)</f>
        <v>Oktavian Yusuf</v>
      </c>
      <c r="R418" s="2" t="str">
        <f>VLOOKUP(tdata[[#This Row],[id_employee]],temployee[#All],4,0)</f>
        <v>crowd source</v>
      </c>
      <c r="S418" s="9" t="str">
        <f>VLOOKUP(tdata[[#This Row],[id_employee]],temployee[#All],5,0)</f>
        <v>driver</v>
      </c>
    </row>
    <row r="419" spans="2:19" x14ac:dyDescent="0.35">
      <c r="B419" s="8" t="s">
        <v>438</v>
      </c>
      <c r="C419" s="2" t="s">
        <v>1288</v>
      </c>
      <c r="D419" s="5">
        <v>45596</v>
      </c>
      <c r="E419" s="5">
        <f t="shared" ref="E419:E421" si="20">D419+4</f>
        <v>45600</v>
      </c>
      <c r="F419" s="2" t="s">
        <v>30</v>
      </c>
      <c r="G419" s="2" t="s">
        <v>30</v>
      </c>
      <c r="H419" s="2" t="s">
        <v>1224</v>
      </c>
      <c r="I419" s="2" t="s">
        <v>13</v>
      </c>
      <c r="J419" s="2">
        <v>8.1199999999999992</v>
      </c>
      <c r="K419" s="2" t="str">
        <f t="shared" si="18"/>
        <v>&gt;5kg</v>
      </c>
      <c r="L419" s="2">
        <f>tdata[[#This Row],[Received_date]]-tdata[[#This Row],[Shipment_Date]]</f>
        <v>4</v>
      </c>
      <c r="M419" s="2">
        <f>VLOOKUP(tdata[[#This Row],[Service_Type]],Table2[#All],2,0)</f>
        <v>3</v>
      </c>
      <c r="N419" s="2" t="str">
        <f>IF(tdata[[#This Row],[Delivery_Days]]&lt;=tdata[[#This Row],[SLA_Days]],"On Time","Late")</f>
        <v>Late</v>
      </c>
      <c r="O419" s="2">
        <f>VLOOKUP(tdata[[#This Row],[Service_Type]],Table2[#All],4,0)</f>
        <v>10000</v>
      </c>
      <c r="P419" s="2">
        <f>tdata[[#This Row],[price_per_kilo]]*tdata[[#This Row],[Weight_KG]]</f>
        <v>81199.999999999985</v>
      </c>
      <c r="Q419" s="2" t="str">
        <f>VLOOKUP(tdata[[#This Row],[id_employee]],temployee[#All],2,0)</f>
        <v>Putri Ayu Lestari</v>
      </c>
      <c r="R419" s="2" t="str">
        <f>VLOOKUP(tdata[[#This Row],[id_employee]],temployee[#All],4,0)</f>
        <v>internal</v>
      </c>
      <c r="S419" s="9" t="str">
        <f>VLOOKUP(tdata[[#This Row],[id_employee]],temployee[#All],5,0)</f>
        <v>rider</v>
      </c>
    </row>
    <row r="420" spans="2:19" x14ac:dyDescent="0.35">
      <c r="B420" s="8" t="s">
        <v>439</v>
      </c>
      <c r="C420" s="2" t="s">
        <v>1289</v>
      </c>
      <c r="D420" s="5">
        <v>44960</v>
      </c>
      <c r="E420" s="5">
        <f t="shared" si="20"/>
        <v>44964</v>
      </c>
      <c r="F420" s="2" t="s">
        <v>32</v>
      </c>
      <c r="G420" s="2" t="s">
        <v>22</v>
      </c>
      <c r="H420" s="2" t="s">
        <v>1224</v>
      </c>
      <c r="I420" s="2" t="s">
        <v>17</v>
      </c>
      <c r="J420" s="2">
        <v>9.42</v>
      </c>
      <c r="K420" s="2" t="str">
        <f t="shared" si="18"/>
        <v>&gt;5kg</v>
      </c>
      <c r="L420" s="2">
        <f>tdata[[#This Row],[Received_date]]-tdata[[#This Row],[Shipment_Date]]</f>
        <v>4</v>
      </c>
      <c r="M420" s="2">
        <f>VLOOKUP(tdata[[#This Row],[Service_Type]],Table2[#All],2,0)</f>
        <v>3</v>
      </c>
      <c r="N420" s="2" t="str">
        <f>IF(tdata[[#This Row],[Delivery_Days]]&lt;=tdata[[#This Row],[SLA_Days]],"On Time","Late")</f>
        <v>Late</v>
      </c>
      <c r="O420" s="2">
        <f>VLOOKUP(tdata[[#This Row],[Service_Type]],Table2[#All],4,0)</f>
        <v>10000</v>
      </c>
      <c r="P420" s="2">
        <f>tdata[[#This Row],[price_per_kilo]]*tdata[[#This Row],[Weight_KG]]</f>
        <v>94200</v>
      </c>
      <c r="Q420" s="2" t="str">
        <f>VLOOKUP(tdata[[#This Row],[id_employee]],temployee[#All],2,0)</f>
        <v>Rafi Maulana</v>
      </c>
      <c r="R420" s="2" t="str">
        <f>VLOOKUP(tdata[[#This Row],[id_employee]],temployee[#All],4,0)</f>
        <v>internal</v>
      </c>
      <c r="S420" s="9" t="str">
        <f>VLOOKUP(tdata[[#This Row],[id_employee]],temployee[#All],5,0)</f>
        <v>rider</v>
      </c>
    </row>
    <row r="421" spans="2:19" x14ac:dyDescent="0.35">
      <c r="B421" s="8" t="s">
        <v>440</v>
      </c>
      <c r="C421" s="2" t="s">
        <v>1290</v>
      </c>
      <c r="D421" s="5">
        <v>45012</v>
      </c>
      <c r="E421" s="5">
        <f t="shared" si="20"/>
        <v>45016</v>
      </c>
      <c r="F421" s="2" t="s">
        <v>16</v>
      </c>
      <c r="G421" s="2" t="s">
        <v>20</v>
      </c>
      <c r="H421" s="2" t="s">
        <v>1224</v>
      </c>
      <c r="I421" s="2" t="s">
        <v>13</v>
      </c>
      <c r="J421" s="2">
        <v>5.18</v>
      </c>
      <c r="K421" s="2" t="str">
        <f t="shared" si="18"/>
        <v>&gt;5kg</v>
      </c>
      <c r="L421" s="2">
        <f>tdata[[#This Row],[Received_date]]-tdata[[#This Row],[Shipment_Date]]</f>
        <v>4</v>
      </c>
      <c r="M421" s="2">
        <f>VLOOKUP(tdata[[#This Row],[Service_Type]],Table2[#All],2,0)</f>
        <v>3</v>
      </c>
      <c r="N421" s="2" t="str">
        <f>IF(tdata[[#This Row],[Delivery_Days]]&lt;=tdata[[#This Row],[SLA_Days]],"On Time","Late")</f>
        <v>Late</v>
      </c>
      <c r="O421" s="2">
        <f>VLOOKUP(tdata[[#This Row],[Service_Type]],Table2[#All],4,0)</f>
        <v>10000</v>
      </c>
      <c r="P421" s="2">
        <f>tdata[[#This Row],[price_per_kilo]]*tdata[[#This Row],[Weight_KG]]</f>
        <v>51800</v>
      </c>
      <c r="Q421" s="2" t="str">
        <f>VLOOKUP(tdata[[#This Row],[id_employee]],temployee[#All],2,0)</f>
        <v>Sari Puspita</v>
      </c>
      <c r="R421" s="2" t="str">
        <f>VLOOKUP(tdata[[#This Row],[id_employee]],temployee[#All],4,0)</f>
        <v>crowd source</v>
      </c>
      <c r="S421" s="9" t="str">
        <f>VLOOKUP(tdata[[#This Row],[id_employee]],temployee[#All],5,0)</f>
        <v>rider</v>
      </c>
    </row>
    <row r="422" spans="2:19" x14ac:dyDescent="0.35">
      <c r="B422" s="8" t="s">
        <v>441</v>
      </c>
      <c r="C422" s="2" t="s">
        <v>1291</v>
      </c>
      <c r="D422" s="5">
        <v>45001</v>
      </c>
      <c r="E422" s="5">
        <v>45001</v>
      </c>
      <c r="F422" s="2" t="s">
        <v>26</v>
      </c>
      <c r="G422" s="2" t="s">
        <v>12</v>
      </c>
      <c r="H422" s="2" t="s">
        <v>1223</v>
      </c>
      <c r="I422" s="2" t="s">
        <v>13</v>
      </c>
      <c r="J422" s="2">
        <v>1.76</v>
      </c>
      <c r="K422" s="2" t="str">
        <f t="shared" si="18"/>
        <v>&lt; 5kg</v>
      </c>
      <c r="L422" s="2">
        <f>tdata[[#This Row],[Received_date]]-tdata[[#This Row],[Shipment_Date]]</f>
        <v>0</v>
      </c>
      <c r="M422" s="2">
        <f>VLOOKUP(tdata[[#This Row],[Service_Type]],Table2[#All],2,0)</f>
        <v>1</v>
      </c>
      <c r="N422" s="2" t="str">
        <f>IF(tdata[[#This Row],[Delivery_Days]]&lt;=tdata[[#This Row],[SLA_Days]],"On Time","Late")</f>
        <v>On Time</v>
      </c>
      <c r="O422" s="2">
        <f>VLOOKUP(tdata[[#This Row],[Service_Type]],Table2[#All],4,0)</f>
        <v>12000</v>
      </c>
      <c r="P422" s="2">
        <f>tdata[[#This Row],[price_per_kilo]]*tdata[[#This Row],[Weight_KG]]</f>
        <v>21120</v>
      </c>
      <c r="Q422" s="2" t="str">
        <f>VLOOKUP(tdata[[#This Row],[id_employee]],temployee[#All],2,0)</f>
        <v>Teguh Wibowo</v>
      </c>
      <c r="R422" s="2" t="str">
        <f>VLOOKUP(tdata[[#This Row],[id_employee]],temployee[#All],4,0)</f>
        <v>internal</v>
      </c>
      <c r="S422" s="9" t="str">
        <f>VLOOKUP(tdata[[#This Row],[id_employee]],temployee[#All],5,0)</f>
        <v>driver</v>
      </c>
    </row>
    <row r="423" spans="2:19" x14ac:dyDescent="0.35">
      <c r="B423" s="8" t="s">
        <v>442</v>
      </c>
      <c r="C423" s="2" t="s">
        <v>1292</v>
      </c>
      <c r="D423" s="5">
        <v>45460</v>
      </c>
      <c r="E423" s="5">
        <v>45467</v>
      </c>
      <c r="F423" s="2" t="s">
        <v>49</v>
      </c>
      <c r="G423" s="2" t="s">
        <v>20</v>
      </c>
      <c r="H423" s="2" t="s">
        <v>1224</v>
      </c>
      <c r="I423" s="2" t="s">
        <v>13</v>
      </c>
      <c r="J423" s="2">
        <v>9.31</v>
      </c>
      <c r="K423" s="2" t="str">
        <f t="shared" si="18"/>
        <v>&gt;5kg</v>
      </c>
      <c r="L423" s="2">
        <f>tdata[[#This Row],[Received_date]]-tdata[[#This Row],[Shipment_Date]]</f>
        <v>7</v>
      </c>
      <c r="M423" s="2">
        <f>VLOOKUP(tdata[[#This Row],[Service_Type]],Table2[#All],2,0)</f>
        <v>3</v>
      </c>
      <c r="N423" s="2" t="str">
        <f>IF(tdata[[#This Row],[Delivery_Days]]&lt;=tdata[[#This Row],[SLA_Days]],"On Time","Late")</f>
        <v>Late</v>
      </c>
      <c r="O423" s="2">
        <f>VLOOKUP(tdata[[#This Row],[Service_Type]],Table2[#All],4,0)</f>
        <v>10000</v>
      </c>
      <c r="P423" s="2">
        <f>tdata[[#This Row],[price_per_kilo]]*tdata[[#This Row],[Weight_KG]]</f>
        <v>93100</v>
      </c>
      <c r="Q423" s="2" t="str">
        <f>VLOOKUP(tdata[[#This Row],[id_employee]],temployee[#All],2,0)</f>
        <v>Umi Kalsum</v>
      </c>
      <c r="R423" s="2" t="str">
        <f>VLOOKUP(tdata[[#This Row],[id_employee]],temployee[#All],4,0)</f>
        <v>crowd source</v>
      </c>
      <c r="S423" s="9" t="str">
        <f>VLOOKUP(tdata[[#This Row],[id_employee]],temployee[#All],5,0)</f>
        <v>rider</v>
      </c>
    </row>
    <row r="424" spans="2:19" x14ac:dyDescent="0.35">
      <c r="B424" s="8" t="s">
        <v>443</v>
      </c>
      <c r="C424" s="2" t="s">
        <v>1293</v>
      </c>
      <c r="D424" s="5">
        <v>45458</v>
      </c>
      <c r="E424" s="5">
        <f>D424+4</f>
        <v>45462</v>
      </c>
      <c r="F424" s="2" t="s">
        <v>11</v>
      </c>
      <c r="G424" s="2" t="s">
        <v>32</v>
      </c>
      <c r="H424" s="2" t="s">
        <v>1223</v>
      </c>
      <c r="I424" s="2" t="s">
        <v>13</v>
      </c>
      <c r="J424" s="2">
        <v>7.2</v>
      </c>
      <c r="K424" s="2" t="str">
        <f t="shared" si="18"/>
        <v>&gt;5kg</v>
      </c>
      <c r="L424" s="2">
        <f>tdata[[#This Row],[Received_date]]-tdata[[#This Row],[Shipment_Date]]</f>
        <v>4</v>
      </c>
      <c r="M424" s="2">
        <f>VLOOKUP(tdata[[#This Row],[Service_Type]],Table2[#All],2,0)</f>
        <v>1</v>
      </c>
      <c r="N424" s="2" t="str">
        <f>IF(tdata[[#This Row],[Delivery_Days]]&lt;=tdata[[#This Row],[SLA_Days]],"On Time","Late")</f>
        <v>Late</v>
      </c>
      <c r="O424" s="2">
        <f>VLOOKUP(tdata[[#This Row],[Service_Type]],Table2[#All],4,0)</f>
        <v>12000</v>
      </c>
      <c r="P424" s="2">
        <f>tdata[[#This Row],[price_per_kilo]]*tdata[[#This Row],[Weight_KG]]</f>
        <v>86400</v>
      </c>
      <c r="Q424" s="2" t="str">
        <f>VLOOKUP(tdata[[#This Row],[id_employee]],temployee[#All],2,0)</f>
        <v>Vina Oktaviani</v>
      </c>
      <c r="R424" s="2" t="str">
        <f>VLOOKUP(tdata[[#This Row],[id_employee]],temployee[#All],4,0)</f>
        <v>internal</v>
      </c>
      <c r="S424" s="9" t="str">
        <f>VLOOKUP(tdata[[#This Row],[id_employee]],temployee[#All],5,0)</f>
        <v>rider</v>
      </c>
    </row>
    <row r="425" spans="2:19" x14ac:dyDescent="0.35">
      <c r="B425" s="8" t="s">
        <v>444</v>
      </c>
      <c r="C425" s="2" t="s">
        <v>1294</v>
      </c>
      <c r="D425" s="5">
        <v>45359</v>
      </c>
      <c r="E425" s="5">
        <v>45369</v>
      </c>
      <c r="F425" s="2" t="s">
        <v>15</v>
      </c>
      <c r="G425" s="2" t="s">
        <v>30</v>
      </c>
      <c r="H425" s="2" t="s">
        <v>1224</v>
      </c>
      <c r="I425" s="2" t="s">
        <v>17</v>
      </c>
      <c r="J425" s="2">
        <v>1.62</v>
      </c>
      <c r="K425" s="2" t="str">
        <f t="shared" si="18"/>
        <v>&lt; 5kg</v>
      </c>
      <c r="L425" s="2">
        <f>tdata[[#This Row],[Received_date]]-tdata[[#This Row],[Shipment_Date]]</f>
        <v>10</v>
      </c>
      <c r="M425" s="2">
        <f>VLOOKUP(tdata[[#This Row],[Service_Type]],Table2[#All],2,0)</f>
        <v>3</v>
      </c>
      <c r="N425" s="2" t="str">
        <f>IF(tdata[[#This Row],[Delivery_Days]]&lt;=tdata[[#This Row],[SLA_Days]],"On Time","Late")</f>
        <v>Late</v>
      </c>
      <c r="O425" s="2">
        <f>VLOOKUP(tdata[[#This Row],[Service_Type]],Table2[#All],4,0)</f>
        <v>10000</v>
      </c>
      <c r="P425" s="2">
        <f>tdata[[#This Row],[price_per_kilo]]*tdata[[#This Row],[Weight_KG]]</f>
        <v>16200.000000000002</v>
      </c>
      <c r="Q425" s="2" t="str">
        <f>VLOOKUP(tdata[[#This Row],[id_employee]],temployee[#All],2,0)</f>
        <v>Wahyu Setiawan</v>
      </c>
      <c r="R425" s="2" t="str">
        <f>VLOOKUP(tdata[[#This Row],[id_employee]],temployee[#All],4,0)</f>
        <v>crowd source</v>
      </c>
      <c r="S425" s="9" t="str">
        <f>VLOOKUP(tdata[[#This Row],[id_employee]],temployee[#All],5,0)</f>
        <v>driver</v>
      </c>
    </row>
    <row r="426" spans="2:19" x14ac:dyDescent="0.35">
      <c r="B426" s="8" t="s">
        <v>445</v>
      </c>
      <c r="C426" s="2" t="s">
        <v>1295</v>
      </c>
      <c r="D426" s="5">
        <v>45181</v>
      </c>
      <c r="E426" s="5">
        <v>45189</v>
      </c>
      <c r="F426" s="2" t="s">
        <v>20</v>
      </c>
      <c r="G426" s="2" t="s">
        <v>32</v>
      </c>
      <c r="H426" s="2" t="s">
        <v>1224</v>
      </c>
      <c r="I426" s="2" t="s">
        <v>13</v>
      </c>
      <c r="J426" s="2">
        <v>1.55</v>
      </c>
      <c r="K426" s="2" t="str">
        <f t="shared" si="18"/>
        <v>&lt; 5kg</v>
      </c>
      <c r="L426" s="2">
        <f>tdata[[#This Row],[Received_date]]-tdata[[#This Row],[Shipment_Date]]</f>
        <v>8</v>
      </c>
      <c r="M426" s="2">
        <f>VLOOKUP(tdata[[#This Row],[Service_Type]],Table2[#All],2,0)</f>
        <v>3</v>
      </c>
      <c r="N426" s="2" t="str">
        <f>IF(tdata[[#This Row],[Delivery_Days]]&lt;=tdata[[#This Row],[SLA_Days]],"On Time","Late")</f>
        <v>Late</v>
      </c>
      <c r="O426" s="2">
        <f>VLOOKUP(tdata[[#This Row],[Service_Type]],Table2[#All],4,0)</f>
        <v>10000</v>
      </c>
      <c r="P426" s="2">
        <f>tdata[[#This Row],[price_per_kilo]]*tdata[[#This Row],[Weight_KG]]</f>
        <v>15500</v>
      </c>
      <c r="Q426" s="2" t="str">
        <f>VLOOKUP(tdata[[#This Row],[id_employee]],temployee[#All],2,0)</f>
        <v>Yogi Firmansyah</v>
      </c>
      <c r="R426" s="2" t="str">
        <f>VLOOKUP(tdata[[#This Row],[id_employee]],temployee[#All],4,0)</f>
        <v>internal</v>
      </c>
      <c r="S426" s="9" t="str">
        <f>VLOOKUP(tdata[[#This Row],[id_employee]],temployee[#All],5,0)</f>
        <v>driver</v>
      </c>
    </row>
    <row r="427" spans="2:19" x14ac:dyDescent="0.35">
      <c r="B427" s="8" t="s">
        <v>446</v>
      </c>
      <c r="C427" s="2" t="s">
        <v>1296</v>
      </c>
      <c r="D427" s="5">
        <v>45657</v>
      </c>
      <c r="E427" s="5">
        <v>45662</v>
      </c>
      <c r="F427" s="2" t="s">
        <v>22</v>
      </c>
      <c r="G427" s="2" t="s">
        <v>32</v>
      </c>
      <c r="H427" s="2" t="s">
        <v>1223</v>
      </c>
      <c r="I427" s="2" t="s">
        <v>13</v>
      </c>
      <c r="J427" s="2">
        <v>10</v>
      </c>
      <c r="K427" s="2" t="str">
        <f t="shared" si="18"/>
        <v>&gt;5kg</v>
      </c>
      <c r="L427" s="2">
        <f>tdata[[#This Row],[Received_date]]-tdata[[#This Row],[Shipment_Date]]</f>
        <v>5</v>
      </c>
      <c r="M427" s="2">
        <f>VLOOKUP(tdata[[#This Row],[Service_Type]],Table2[#All],2,0)</f>
        <v>1</v>
      </c>
      <c r="N427" s="2" t="str">
        <f>IF(tdata[[#This Row],[Delivery_Days]]&lt;=tdata[[#This Row],[SLA_Days]],"On Time","Late")</f>
        <v>Late</v>
      </c>
      <c r="O427" s="2">
        <f>VLOOKUP(tdata[[#This Row],[Service_Type]],Table2[#All],4,0)</f>
        <v>12000</v>
      </c>
      <c r="P427" s="2">
        <f>tdata[[#This Row],[price_per_kilo]]*tdata[[#This Row],[Weight_KG]]</f>
        <v>120000</v>
      </c>
      <c r="Q427" s="2" t="str">
        <f>VLOOKUP(tdata[[#This Row],[id_employee]],temployee[#All],2,0)</f>
        <v>Zainal Abidin</v>
      </c>
      <c r="R427" s="2" t="str">
        <f>VLOOKUP(tdata[[#This Row],[id_employee]],temployee[#All],4,0)</f>
        <v>crowd source</v>
      </c>
      <c r="S427" s="9" t="str">
        <f>VLOOKUP(tdata[[#This Row],[id_employee]],temployee[#All],5,0)</f>
        <v>driver</v>
      </c>
    </row>
    <row r="428" spans="2:19" x14ac:dyDescent="0.35">
      <c r="B428" s="8" t="s">
        <v>447</v>
      </c>
      <c r="C428" s="2" t="s">
        <v>1297</v>
      </c>
      <c r="D428" s="5">
        <v>45381</v>
      </c>
      <c r="E428" s="5">
        <v>45386</v>
      </c>
      <c r="F428" s="2" t="s">
        <v>12</v>
      </c>
      <c r="G428" s="2" t="s">
        <v>32</v>
      </c>
      <c r="H428" s="2" t="s">
        <v>1223</v>
      </c>
      <c r="I428" s="2" t="s">
        <v>13</v>
      </c>
      <c r="J428" s="2">
        <v>5.08</v>
      </c>
      <c r="K428" s="2" t="str">
        <f t="shared" si="18"/>
        <v>&gt;5kg</v>
      </c>
      <c r="L428" s="2">
        <f>tdata[[#This Row],[Received_date]]-tdata[[#This Row],[Shipment_Date]]</f>
        <v>5</v>
      </c>
      <c r="M428" s="2">
        <f>VLOOKUP(tdata[[#This Row],[Service_Type]],Table2[#All],2,0)</f>
        <v>1</v>
      </c>
      <c r="N428" s="2" t="str">
        <f>IF(tdata[[#This Row],[Delivery_Days]]&lt;=tdata[[#This Row],[SLA_Days]],"On Time","Late")</f>
        <v>Late</v>
      </c>
      <c r="O428" s="2">
        <f>VLOOKUP(tdata[[#This Row],[Service_Type]],Table2[#All],4,0)</f>
        <v>12000</v>
      </c>
      <c r="P428" s="2">
        <f>tdata[[#This Row],[price_per_kilo]]*tdata[[#This Row],[Weight_KG]]</f>
        <v>60960</v>
      </c>
      <c r="Q428" s="2" t="str">
        <f>VLOOKUP(tdata[[#This Row],[id_employee]],temployee[#All],2,0)</f>
        <v>Ahmad Fauzi</v>
      </c>
      <c r="R428" s="2" t="str">
        <f>VLOOKUP(tdata[[#This Row],[id_employee]],temployee[#All],4,0)</f>
        <v>internal</v>
      </c>
      <c r="S428" s="9" t="str">
        <f>VLOOKUP(tdata[[#This Row],[id_employee]],temployee[#All],5,0)</f>
        <v>rider</v>
      </c>
    </row>
    <row r="429" spans="2:19" x14ac:dyDescent="0.35">
      <c r="B429" s="8" t="s">
        <v>448</v>
      </c>
      <c r="C429" s="2" t="s">
        <v>1298</v>
      </c>
      <c r="D429" s="5">
        <v>45365</v>
      </c>
      <c r="E429" s="5">
        <v>45372</v>
      </c>
      <c r="F429" s="2" t="s">
        <v>30</v>
      </c>
      <c r="G429" s="2" t="s">
        <v>32</v>
      </c>
      <c r="H429" s="2" t="s">
        <v>1224</v>
      </c>
      <c r="I429" s="2" t="s">
        <v>17</v>
      </c>
      <c r="J429" s="2">
        <v>10.31</v>
      </c>
      <c r="K429" s="2" t="str">
        <f t="shared" si="18"/>
        <v>&gt;5kg</v>
      </c>
      <c r="L429" s="2">
        <f>tdata[[#This Row],[Received_date]]-tdata[[#This Row],[Shipment_Date]]</f>
        <v>7</v>
      </c>
      <c r="M429" s="2">
        <f>VLOOKUP(tdata[[#This Row],[Service_Type]],Table2[#All],2,0)</f>
        <v>3</v>
      </c>
      <c r="N429" s="2" t="str">
        <f>IF(tdata[[#This Row],[Delivery_Days]]&lt;=tdata[[#This Row],[SLA_Days]],"On Time","Late")</f>
        <v>Late</v>
      </c>
      <c r="O429" s="2">
        <f>VLOOKUP(tdata[[#This Row],[Service_Type]],Table2[#All],4,0)</f>
        <v>10000</v>
      </c>
      <c r="P429" s="2">
        <f>tdata[[#This Row],[price_per_kilo]]*tdata[[#This Row],[Weight_KG]]</f>
        <v>103100</v>
      </c>
      <c r="Q429" s="2" t="str">
        <f>VLOOKUP(tdata[[#This Row],[id_employee]],temployee[#All],2,0)</f>
        <v>Bayu Ramadhan</v>
      </c>
      <c r="R429" s="2" t="str">
        <f>VLOOKUP(tdata[[#This Row],[id_employee]],temployee[#All],4,0)</f>
        <v>crowd source</v>
      </c>
      <c r="S429" s="9" t="str">
        <f>VLOOKUP(tdata[[#This Row],[id_employee]],temployee[#All],5,0)</f>
        <v>rider</v>
      </c>
    </row>
    <row r="430" spans="2:19" x14ac:dyDescent="0.35">
      <c r="B430" s="8" t="s">
        <v>449</v>
      </c>
      <c r="C430" s="2" t="s">
        <v>1299</v>
      </c>
      <c r="D430" s="5">
        <v>45456</v>
      </c>
      <c r="E430" s="5">
        <v>45465</v>
      </c>
      <c r="F430" s="2" t="s">
        <v>32</v>
      </c>
      <c r="G430" s="2" t="s">
        <v>49</v>
      </c>
      <c r="H430" s="2" t="s">
        <v>1224</v>
      </c>
      <c r="I430" s="2" t="s">
        <v>13</v>
      </c>
      <c r="J430" s="2">
        <v>5.25</v>
      </c>
      <c r="K430" s="2" t="str">
        <f t="shared" si="18"/>
        <v>&gt;5kg</v>
      </c>
      <c r="L430" s="2">
        <f>tdata[[#This Row],[Received_date]]-tdata[[#This Row],[Shipment_Date]]</f>
        <v>9</v>
      </c>
      <c r="M430" s="2">
        <f>VLOOKUP(tdata[[#This Row],[Service_Type]],Table2[#All],2,0)</f>
        <v>3</v>
      </c>
      <c r="N430" s="2" t="str">
        <f>IF(tdata[[#This Row],[Delivery_Days]]&lt;=tdata[[#This Row],[SLA_Days]],"On Time","Late")</f>
        <v>Late</v>
      </c>
      <c r="O430" s="2">
        <f>VLOOKUP(tdata[[#This Row],[Service_Type]],Table2[#All],4,0)</f>
        <v>10000</v>
      </c>
      <c r="P430" s="2">
        <f>tdata[[#This Row],[price_per_kilo]]*tdata[[#This Row],[Weight_KG]]</f>
        <v>52500</v>
      </c>
      <c r="Q430" s="2" t="str">
        <f>VLOOKUP(tdata[[#This Row],[id_employee]],temployee[#All],2,0)</f>
        <v>Cindy Oktavia</v>
      </c>
      <c r="R430" s="2" t="str">
        <f>VLOOKUP(tdata[[#This Row],[id_employee]],temployee[#All],4,0)</f>
        <v>internal</v>
      </c>
      <c r="S430" s="9" t="str">
        <f>VLOOKUP(tdata[[#This Row],[id_employee]],temployee[#All],5,0)</f>
        <v>rider</v>
      </c>
    </row>
    <row r="431" spans="2:19" x14ac:dyDescent="0.35">
      <c r="B431" s="8" t="s">
        <v>450</v>
      </c>
      <c r="C431" s="2" t="s">
        <v>1300</v>
      </c>
      <c r="D431" s="5">
        <v>45038</v>
      </c>
      <c r="E431" s="5">
        <v>45046</v>
      </c>
      <c r="F431" s="2" t="s">
        <v>16</v>
      </c>
      <c r="G431" s="2" t="s">
        <v>49</v>
      </c>
      <c r="H431" s="2" t="s">
        <v>1224</v>
      </c>
      <c r="I431" s="2" t="s">
        <v>17</v>
      </c>
      <c r="J431" s="2">
        <v>7.9</v>
      </c>
      <c r="K431" s="2" t="str">
        <f t="shared" si="18"/>
        <v>&gt;5kg</v>
      </c>
      <c r="L431" s="2">
        <f>tdata[[#This Row],[Received_date]]-tdata[[#This Row],[Shipment_Date]]</f>
        <v>8</v>
      </c>
      <c r="M431" s="2">
        <f>VLOOKUP(tdata[[#This Row],[Service_Type]],Table2[#All],2,0)</f>
        <v>3</v>
      </c>
      <c r="N431" s="2" t="str">
        <f>IF(tdata[[#This Row],[Delivery_Days]]&lt;=tdata[[#This Row],[SLA_Days]],"On Time","Late")</f>
        <v>Late</v>
      </c>
      <c r="O431" s="2">
        <f>VLOOKUP(tdata[[#This Row],[Service_Type]],Table2[#All],4,0)</f>
        <v>10000</v>
      </c>
      <c r="P431" s="2">
        <f>tdata[[#This Row],[price_per_kilo]]*tdata[[#This Row],[Weight_KG]]</f>
        <v>79000</v>
      </c>
      <c r="Q431" s="2" t="str">
        <f>VLOOKUP(tdata[[#This Row],[id_employee]],temployee[#All],2,0)</f>
        <v>Dian Pramudya</v>
      </c>
      <c r="R431" s="2" t="str">
        <f>VLOOKUP(tdata[[#This Row],[id_employee]],temployee[#All],4,0)</f>
        <v>crowd source</v>
      </c>
      <c r="S431" s="9" t="str">
        <f>VLOOKUP(tdata[[#This Row],[id_employee]],temployee[#All],5,0)</f>
        <v>driver</v>
      </c>
    </row>
    <row r="432" spans="2:19" x14ac:dyDescent="0.35">
      <c r="B432" s="8" t="s">
        <v>451</v>
      </c>
      <c r="C432" s="2" t="s">
        <v>1301</v>
      </c>
      <c r="D432" s="5">
        <v>45242</v>
      </c>
      <c r="E432" s="5">
        <v>45242</v>
      </c>
      <c r="F432" s="2" t="s">
        <v>26</v>
      </c>
      <c r="G432" s="2" t="s">
        <v>15</v>
      </c>
      <c r="H432" s="2" t="s">
        <v>1223</v>
      </c>
      <c r="I432" s="2" t="s">
        <v>17</v>
      </c>
      <c r="J432" s="2">
        <v>9.5399999999999991</v>
      </c>
      <c r="K432" s="2" t="str">
        <f t="shared" si="18"/>
        <v>&gt;5kg</v>
      </c>
      <c r="L432" s="2">
        <f>tdata[[#This Row],[Received_date]]-tdata[[#This Row],[Shipment_Date]]</f>
        <v>0</v>
      </c>
      <c r="M432" s="2">
        <f>VLOOKUP(tdata[[#This Row],[Service_Type]],Table2[#All],2,0)</f>
        <v>1</v>
      </c>
      <c r="N432" s="2" t="str">
        <f>IF(tdata[[#This Row],[Delivery_Days]]&lt;=tdata[[#This Row],[SLA_Days]],"On Time","Late")</f>
        <v>On Time</v>
      </c>
      <c r="O432" s="2">
        <f>VLOOKUP(tdata[[#This Row],[Service_Type]],Table2[#All],4,0)</f>
        <v>12000</v>
      </c>
      <c r="P432" s="2">
        <f>tdata[[#This Row],[price_per_kilo]]*tdata[[#This Row],[Weight_KG]]</f>
        <v>114479.99999999999</v>
      </c>
      <c r="Q432" s="2" t="str">
        <f>VLOOKUP(tdata[[#This Row],[id_employee]],temployee[#All],2,0)</f>
        <v>Erwin Kurniawan</v>
      </c>
      <c r="R432" s="2" t="str">
        <f>VLOOKUP(tdata[[#This Row],[id_employee]],temployee[#All],4,0)</f>
        <v>internal</v>
      </c>
      <c r="S432" s="9" t="str">
        <f>VLOOKUP(tdata[[#This Row],[id_employee]],temployee[#All],5,0)</f>
        <v>driver</v>
      </c>
    </row>
    <row r="433" spans="2:19" x14ac:dyDescent="0.35">
      <c r="B433" s="8" t="s">
        <v>452</v>
      </c>
      <c r="C433" s="2" t="s">
        <v>1302</v>
      </c>
      <c r="D433" s="5">
        <v>45120</v>
      </c>
      <c r="E433" s="5">
        <v>45131</v>
      </c>
      <c r="F433" s="2" t="s">
        <v>49</v>
      </c>
      <c r="G433" s="2" t="s">
        <v>30</v>
      </c>
      <c r="H433" s="2" t="s">
        <v>1224</v>
      </c>
      <c r="I433" s="2" t="s">
        <v>17</v>
      </c>
      <c r="J433" s="2">
        <v>8.39</v>
      </c>
      <c r="K433" s="2" t="str">
        <f t="shared" si="18"/>
        <v>&gt;5kg</v>
      </c>
      <c r="L433" s="2">
        <f>tdata[[#This Row],[Received_date]]-tdata[[#This Row],[Shipment_Date]]</f>
        <v>11</v>
      </c>
      <c r="M433" s="2">
        <f>VLOOKUP(tdata[[#This Row],[Service_Type]],Table2[#All],2,0)</f>
        <v>3</v>
      </c>
      <c r="N433" s="2" t="str">
        <f>IF(tdata[[#This Row],[Delivery_Days]]&lt;=tdata[[#This Row],[SLA_Days]],"On Time","Late")</f>
        <v>Late</v>
      </c>
      <c r="O433" s="2">
        <f>VLOOKUP(tdata[[#This Row],[Service_Type]],Table2[#All],4,0)</f>
        <v>10000</v>
      </c>
      <c r="P433" s="2">
        <f>tdata[[#This Row],[price_per_kilo]]*tdata[[#This Row],[Weight_KG]]</f>
        <v>83900</v>
      </c>
      <c r="Q433" s="2" t="str">
        <f>VLOOKUP(tdata[[#This Row],[id_employee]],temployee[#All],2,0)</f>
        <v>Fitri Handayani</v>
      </c>
      <c r="R433" s="2" t="str">
        <f>VLOOKUP(tdata[[#This Row],[id_employee]],temployee[#All],4,0)</f>
        <v>crowd source</v>
      </c>
      <c r="S433" s="9" t="str">
        <f>VLOOKUP(tdata[[#This Row],[id_employee]],temployee[#All],5,0)</f>
        <v>rider</v>
      </c>
    </row>
    <row r="434" spans="2:19" x14ac:dyDescent="0.35">
      <c r="B434" s="8" t="s">
        <v>453</v>
      </c>
      <c r="C434" s="2" t="s">
        <v>1303</v>
      </c>
      <c r="D434" s="5">
        <v>45601</v>
      </c>
      <c r="E434" s="5">
        <f>D434+4</f>
        <v>45605</v>
      </c>
      <c r="F434" s="2" t="s">
        <v>11</v>
      </c>
      <c r="G434" s="2" t="s">
        <v>32</v>
      </c>
      <c r="H434" s="2" t="s">
        <v>23</v>
      </c>
      <c r="I434" s="2" t="s">
        <v>13</v>
      </c>
      <c r="J434" s="2">
        <v>9.41</v>
      </c>
      <c r="K434" s="2" t="str">
        <f t="shared" si="18"/>
        <v>&gt;5kg</v>
      </c>
      <c r="L434" s="2">
        <f>tdata[[#This Row],[Received_date]]-tdata[[#This Row],[Shipment_Date]]</f>
        <v>4</v>
      </c>
      <c r="M434" s="2">
        <f>VLOOKUP(tdata[[#This Row],[Service_Type]],Table2[#All],2,0)</f>
        <v>5</v>
      </c>
      <c r="N434" s="2" t="str">
        <f>IF(tdata[[#This Row],[Delivery_Days]]&lt;=tdata[[#This Row],[SLA_Days]],"On Time","Late")</f>
        <v>On Time</v>
      </c>
      <c r="O434" s="2">
        <f>VLOOKUP(tdata[[#This Row],[Service_Type]],Table2[#All],4,0)</f>
        <v>9000</v>
      </c>
      <c r="P434" s="2">
        <f>tdata[[#This Row],[price_per_kilo]]*tdata[[#This Row],[Weight_KG]]</f>
        <v>84690</v>
      </c>
      <c r="Q434" s="2" t="str">
        <f>VLOOKUP(tdata[[#This Row],[id_employee]],temployee[#All],2,0)</f>
        <v>Gilang Saputra</v>
      </c>
      <c r="R434" s="2" t="str">
        <f>VLOOKUP(tdata[[#This Row],[id_employee]],temployee[#All],4,0)</f>
        <v>internal</v>
      </c>
      <c r="S434" s="9" t="str">
        <f>VLOOKUP(tdata[[#This Row],[id_employee]],temployee[#All],5,0)</f>
        <v>rider</v>
      </c>
    </row>
    <row r="435" spans="2:19" x14ac:dyDescent="0.35">
      <c r="B435" s="8" t="s">
        <v>454</v>
      </c>
      <c r="C435" s="2" t="s">
        <v>1304</v>
      </c>
      <c r="D435" s="5">
        <v>45526</v>
      </c>
      <c r="E435" s="5">
        <v>45527</v>
      </c>
      <c r="F435" s="2" t="s">
        <v>15</v>
      </c>
      <c r="G435" s="2" t="s">
        <v>20</v>
      </c>
      <c r="H435" s="2" t="s">
        <v>1224</v>
      </c>
      <c r="I435" s="2" t="s">
        <v>13</v>
      </c>
      <c r="J435" s="2">
        <v>5.64</v>
      </c>
      <c r="K435" s="2" t="str">
        <f t="shared" si="18"/>
        <v>&gt;5kg</v>
      </c>
      <c r="L435" s="2">
        <f>tdata[[#This Row],[Received_date]]-tdata[[#This Row],[Shipment_Date]]</f>
        <v>1</v>
      </c>
      <c r="M435" s="2">
        <f>VLOOKUP(tdata[[#This Row],[Service_Type]],Table2[#All],2,0)</f>
        <v>3</v>
      </c>
      <c r="N435" s="2" t="str">
        <f>IF(tdata[[#This Row],[Delivery_Days]]&lt;=tdata[[#This Row],[SLA_Days]],"On Time","Late")</f>
        <v>On Time</v>
      </c>
      <c r="O435" s="2">
        <f>VLOOKUP(tdata[[#This Row],[Service_Type]],Table2[#All],4,0)</f>
        <v>10000</v>
      </c>
      <c r="P435" s="2">
        <f>tdata[[#This Row],[price_per_kilo]]*tdata[[#This Row],[Weight_KG]]</f>
        <v>56400</v>
      </c>
      <c r="Q435" s="2" t="str">
        <f>VLOOKUP(tdata[[#This Row],[id_employee]],temployee[#All],2,0)</f>
        <v>Hariyanto</v>
      </c>
      <c r="R435" s="2" t="str">
        <f>VLOOKUP(tdata[[#This Row],[id_employee]],temployee[#All],4,0)</f>
        <v>crowd source</v>
      </c>
      <c r="S435" s="9" t="str">
        <f>VLOOKUP(tdata[[#This Row],[id_employee]],temployee[#All],5,0)</f>
        <v>driver</v>
      </c>
    </row>
    <row r="436" spans="2:19" x14ac:dyDescent="0.35">
      <c r="B436" s="8" t="s">
        <v>455</v>
      </c>
      <c r="C436" s="2" t="s">
        <v>1305</v>
      </c>
      <c r="D436" s="5">
        <v>45109</v>
      </c>
      <c r="E436" s="5">
        <v>45115</v>
      </c>
      <c r="F436" s="2" t="s">
        <v>20</v>
      </c>
      <c r="G436" s="2" t="s">
        <v>20</v>
      </c>
      <c r="H436" s="2" t="s">
        <v>1224</v>
      </c>
      <c r="I436" s="2" t="s">
        <v>17</v>
      </c>
      <c r="J436" s="2">
        <v>6.27</v>
      </c>
      <c r="K436" s="2" t="str">
        <f t="shared" si="18"/>
        <v>&gt;5kg</v>
      </c>
      <c r="L436" s="2">
        <f>tdata[[#This Row],[Received_date]]-tdata[[#This Row],[Shipment_Date]]</f>
        <v>6</v>
      </c>
      <c r="M436" s="2">
        <f>VLOOKUP(tdata[[#This Row],[Service_Type]],Table2[#All],2,0)</f>
        <v>3</v>
      </c>
      <c r="N436" s="2" t="str">
        <f>IF(tdata[[#This Row],[Delivery_Days]]&lt;=tdata[[#This Row],[SLA_Days]],"On Time","Late")</f>
        <v>Late</v>
      </c>
      <c r="O436" s="2">
        <f>VLOOKUP(tdata[[#This Row],[Service_Type]],Table2[#All],4,0)</f>
        <v>10000</v>
      </c>
      <c r="P436" s="2">
        <f>tdata[[#This Row],[price_per_kilo]]*tdata[[#This Row],[Weight_KG]]</f>
        <v>62699.999999999993</v>
      </c>
      <c r="Q436" s="2" t="str">
        <f>VLOOKUP(tdata[[#This Row],[id_employee]],temployee[#All],2,0)</f>
        <v>Intan Maharani</v>
      </c>
      <c r="R436" s="2" t="str">
        <f>VLOOKUP(tdata[[#This Row],[id_employee]],temployee[#All],4,0)</f>
        <v>internal</v>
      </c>
      <c r="S436" s="9" t="str">
        <f>VLOOKUP(tdata[[#This Row],[id_employee]],temployee[#All],5,0)</f>
        <v>rider</v>
      </c>
    </row>
    <row r="437" spans="2:19" x14ac:dyDescent="0.35">
      <c r="B437" s="8" t="s">
        <v>456</v>
      </c>
      <c r="C437" s="2" t="s">
        <v>1306</v>
      </c>
      <c r="D437" s="5">
        <v>45174</v>
      </c>
      <c r="E437" s="5">
        <v>45175</v>
      </c>
      <c r="F437" s="2" t="s">
        <v>22</v>
      </c>
      <c r="G437" s="2" t="s">
        <v>11</v>
      </c>
      <c r="H437" s="2" t="s">
        <v>23</v>
      </c>
      <c r="I437" s="2" t="s">
        <v>17</v>
      </c>
      <c r="J437" s="2">
        <v>0.83</v>
      </c>
      <c r="K437" s="2" t="str">
        <f t="shared" si="18"/>
        <v>&lt; 5kg</v>
      </c>
      <c r="L437" s="2">
        <f>tdata[[#This Row],[Received_date]]-tdata[[#This Row],[Shipment_Date]]</f>
        <v>1</v>
      </c>
      <c r="M437" s="2">
        <f>VLOOKUP(tdata[[#This Row],[Service_Type]],Table2[#All],2,0)</f>
        <v>5</v>
      </c>
      <c r="N437" s="2" t="str">
        <f>IF(tdata[[#This Row],[Delivery_Days]]&lt;=tdata[[#This Row],[SLA_Days]],"On Time","Late")</f>
        <v>On Time</v>
      </c>
      <c r="O437" s="2">
        <f>VLOOKUP(tdata[[#This Row],[Service_Type]],Table2[#All],4,0)</f>
        <v>9000</v>
      </c>
      <c r="P437" s="2">
        <f>tdata[[#This Row],[price_per_kilo]]*tdata[[#This Row],[Weight_KG]]</f>
        <v>7470</v>
      </c>
      <c r="Q437" s="2" t="str">
        <f>VLOOKUP(tdata[[#This Row],[id_employee]],temployee[#All],2,0)</f>
        <v>Jefri Alamsyah</v>
      </c>
      <c r="R437" s="2" t="str">
        <f>VLOOKUP(tdata[[#This Row],[id_employee]],temployee[#All],4,0)</f>
        <v>internal</v>
      </c>
      <c r="S437" s="9" t="str">
        <f>VLOOKUP(tdata[[#This Row],[id_employee]],temployee[#All],5,0)</f>
        <v>driver</v>
      </c>
    </row>
    <row r="438" spans="2:19" x14ac:dyDescent="0.35">
      <c r="B438" s="8" t="s">
        <v>457</v>
      </c>
      <c r="C438" s="2" t="s">
        <v>1307</v>
      </c>
      <c r="D438" s="5">
        <v>45253</v>
      </c>
      <c r="E438" s="5">
        <v>45254</v>
      </c>
      <c r="F438" s="2" t="s">
        <v>12</v>
      </c>
      <c r="G438" s="2" t="s">
        <v>15</v>
      </c>
      <c r="H438" s="2" t="s">
        <v>23</v>
      </c>
      <c r="I438" s="2" t="s">
        <v>13</v>
      </c>
      <c r="J438" s="2">
        <v>2.7</v>
      </c>
      <c r="K438" s="2" t="str">
        <f t="shared" si="18"/>
        <v>&lt; 5kg</v>
      </c>
      <c r="L438" s="2">
        <f>tdata[[#This Row],[Received_date]]-tdata[[#This Row],[Shipment_Date]]</f>
        <v>1</v>
      </c>
      <c r="M438" s="2">
        <f>VLOOKUP(tdata[[#This Row],[Service_Type]],Table2[#All],2,0)</f>
        <v>5</v>
      </c>
      <c r="N438" s="2" t="str">
        <f>IF(tdata[[#This Row],[Delivery_Days]]&lt;=tdata[[#This Row],[SLA_Days]],"On Time","Late")</f>
        <v>On Time</v>
      </c>
      <c r="O438" s="2">
        <f>VLOOKUP(tdata[[#This Row],[Service_Type]],Table2[#All],4,0)</f>
        <v>9000</v>
      </c>
      <c r="P438" s="2">
        <f>tdata[[#This Row],[price_per_kilo]]*tdata[[#This Row],[Weight_KG]]</f>
        <v>24300</v>
      </c>
      <c r="Q438" s="2" t="str">
        <f>VLOOKUP(tdata[[#This Row],[id_employee]],temployee[#All],2,0)</f>
        <v>Kartika Sari</v>
      </c>
      <c r="R438" s="2" t="str">
        <f>VLOOKUP(tdata[[#This Row],[id_employee]],temployee[#All],4,0)</f>
        <v>crowd source</v>
      </c>
      <c r="S438" s="9" t="str">
        <f>VLOOKUP(tdata[[#This Row],[id_employee]],temployee[#All],5,0)</f>
        <v>rider</v>
      </c>
    </row>
    <row r="439" spans="2:19" x14ac:dyDescent="0.35">
      <c r="B439" s="8" t="s">
        <v>458</v>
      </c>
      <c r="C439" s="2" t="s">
        <v>1308</v>
      </c>
      <c r="D439" s="5">
        <v>45216</v>
      </c>
      <c r="E439" s="5">
        <v>45216</v>
      </c>
      <c r="F439" s="2" t="s">
        <v>30</v>
      </c>
      <c r="G439" s="2" t="s">
        <v>15</v>
      </c>
      <c r="H439" s="2" t="s">
        <v>1224</v>
      </c>
      <c r="I439" s="2" t="s">
        <v>17</v>
      </c>
      <c r="J439" s="2">
        <v>5.92</v>
      </c>
      <c r="K439" s="2" t="str">
        <f t="shared" si="18"/>
        <v>&gt;5kg</v>
      </c>
      <c r="L439" s="2">
        <f>tdata[[#This Row],[Received_date]]-tdata[[#This Row],[Shipment_Date]]</f>
        <v>0</v>
      </c>
      <c r="M439" s="2">
        <f>VLOOKUP(tdata[[#This Row],[Service_Type]],Table2[#All],2,0)</f>
        <v>3</v>
      </c>
      <c r="N439" s="2" t="str">
        <f>IF(tdata[[#This Row],[Delivery_Days]]&lt;=tdata[[#This Row],[SLA_Days]],"On Time","Late")</f>
        <v>On Time</v>
      </c>
      <c r="O439" s="2">
        <f>VLOOKUP(tdata[[#This Row],[Service_Type]],Table2[#All],4,0)</f>
        <v>10000</v>
      </c>
      <c r="P439" s="2">
        <f>tdata[[#This Row],[price_per_kilo]]*tdata[[#This Row],[Weight_KG]]</f>
        <v>59200</v>
      </c>
      <c r="Q439" s="2" t="str">
        <f>VLOOKUP(tdata[[#This Row],[id_employee]],temployee[#All],2,0)</f>
        <v>Lukman Hakim</v>
      </c>
      <c r="R439" s="2" t="str">
        <f>VLOOKUP(tdata[[#This Row],[id_employee]],temployee[#All],4,0)</f>
        <v>internal</v>
      </c>
      <c r="S439" s="9" t="str">
        <f>VLOOKUP(tdata[[#This Row],[id_employee]],temployee[#All],5,0)</f>
        <v>driver</v>
      </c>
    </row>
    <row r="440" spans="2:19" x14ac:dyDescent="0.35">
      <c r="B440" s="8" t="s">
        <v>459</v>
      </c>
      <c r="C440" s="2" t="s">
        <v>1309</v>
      </c>
      <c r="D440" s="5">
        <v>45186</v>
      </c>
      <c r="E440" s="5">
        <v>45195</v>
      </c>
      <c r="F440" s="2" t="s">
        <v>32</v>
      </c>
      <c r="G440" s="2" t="s">
        <v>32</v>
      </c>
      <c r="H440" s="2" t="s">
        <v>1224</v>
      </c>
      <c r="I440" s="2" t="s">
        <v>13</v>
      </c>
      <c r="J440" s="2">
        <v>2.82</v>
      </c>
      <c r="K440" s="2" t="str">
        <f t="shared" si="18"/>
        <v>&lt; 5kg</v>
      </c>
      <c r="L440" s="2">
        <f>tdata[[#This Row],[Received_date]]-tdata[[#This Row],[Shipment_Date]]</f>
        <v>9</v>
      </c>
      <c r="M440" s="2">
        <f>VLOOKUP(tdata[[#This Row],[Service_Type]],Table2[#All],2,0)</f>
        <v>3</v>
      </c>
      <c r="N440" s="2" t="str">
        <f>IF(tdata[[#This Row],[Delivery_Days]]&lt;=tdata[[#This Row],[SLA_Days]],"On Time","Late")</f>
        <v>Late</v>
      </c>
      <c r="O440" s="2">
        <f>VLOOKUP(tdata[[#This Row],[Service_Type]],Table2[#All],4,0)</f>
        <v>10000</v>
      </c>
      <c r="P440" s="2">
        <f>tdata[[#This Row],[price_per_kilo]]*tdata[[#This Row],[Weight_KG]]</f>
        <v>28200</v>
      </c>
      <c r="Q440" s="2" t="str">
        <f>VLOOKUP(tdata[[#This Row],[id_employee]],temployee[#All],2,0)</f>
        <v>Mega Puspitasari</v>
      </c>
      <c r="R440" s="2" t="str">
        <f>VLOOKUP(tdata[[#This Row],[id_employee]],temployee[#All],4,0)</f>
        <v>internal</v>
      </c>
      <c r="S440" s="9" t="str">
        <f>VLOOKUP(tdata[[#This Row],[id_employee]],temployee[#All],5,0)</f>
        <v>rider</v>
      </c>
    </row>
    <row r="441" spans="2:19" x14ac:dyDescent="0.35">
      <c r="B441" s="8" t="s">
        <v>460</v>
      </c>
      <c r="C441" s="2" t="s">
        <v>1310</v>
      </c>
      <c r="D441" s="5">
        <v>45499</v>
      </c>
      <c r="E441" s="5">
        <v>45505</v>
      </c>
      <c r="F441" s="2" t="s">
        <v>16</v>
      </c>
      <c r="G441" s="2" t="s">
        <v>26</v>
      </c>
      <c r="H441" s="2" t="s">
        <v>1224</v>
      </c>
      <c r="I441" s="2" t="s">
        <v>17</v>
      </c>
      <c r="J441" s="2">
        <v>6</v>
      </c>
      <c r="K441" s="2" t="str">
        <f t="shared" si="18"/>
        <v>&gt;5kg</v>
      </c>
      <c r="L441" s="2">
        <f>tdata[[#This Row],[Received_date]]-tdata[[#This Row],[Shipment_Date]]</f>
        <v>6</v>
      </c>
      <c r="M441" s="2">
        <f>VLOOKUP(tdata[[#This Row],[Service_Type]],Table2[#All],2,0)</f>
        <v>3</v>
      </c>
      <c r="N441" s="2" t="str">
        <f>IF(tdata[[#This Row],[Delivery_Days]]&lt;=tdata[[#This Row],[SLA_Days]],"On Time","Late")</f>
        <v>Late</v>
      </c>
      <c r="O441" s="2">
        <f>VLOOKUP(tdata[[#This Row],[Service_Type]],Table2[#All],4,0)</f>
        <v>10000</v>
      </c>
      <c r="P441" s="2">
        <f>tdata[[#This Row],[price_per_kilo]]*tdata[[#This Row],[Weight_KG]]</f>
        <v>60000</v>
      </c>
      <c r="Q441" s="2" t="str">
        <f>VLOOKUP(tdata[[#This Row],[id_employee]],temployee[#All],2,0)</f>
        <v>Niko Prasetyo</v>
      </c>
      <c r="R441" s="2" t="str">
        <f>VLOOKUP(tdata[[#This Row],[id_employee]],temployee[#All],4,0)</f>
        <v>crowd source</v>
      </c>
      <c r="S441" s="9" t="str">
        <f>VLOOKUP(tdata[[#This Row],[id_employee]],temployee[#All],5,0)</f>
        <v>driver</v>
      </c>
    </row>
    <row r="442" spans="2:19" x14ac:dyDescent="0.35">
      <c r="B442" s="8" t="s">
        <v>461</v>
      </c>
      <c r="C442" s="2" t="s">
        <v>1311</v>
      </c>
      <c r="D442" s="5">
        <v>45074</v>
      </c>
      <c r="E442" s="5">
        <v>45085</v>
      </c>
      <c r="F442" s="2" t="s">
        <v>26</v>
      </c>
      <c r="G442" s="2" t="s">
        <v>32</v>
      </c>
      <c r="H442" s="2" t="s">
        <v>1224</v>
      </c>
      <c r="I442" s="2" t="s">
        <v>17</v>
      </c>
      <c r="J442" s="2">
        <v>9.76</v>
      </c>
      <c r="K442" s="2" t="str">
        <f t="shared" si="18"/>
        <v>&gt;5kg</v>
      </c>
      <c r="L442" s="2">
        <f>tdata[[#This Row],[Received_date]]-tdata[[#This Row],[Shipment_Date]]</f>
        <v>11</v>
      </c>
      <c r="M442" s="2">
        <f>VLOOKUP(tdata[[#This Row],[Service_Type]],Table2[#All],2,0)</f>
        <v>3</v>
      </c>
      <c r="N442" s="2" t="str">
        <f>IF(tdata[[#This Row],[Delivery_Days]]&lt;=tdata[[#This Row],[SLA_Days]],"On Time","Late")</f>
        <v>Late</v>
      </c>
      <c r="O442" s="2">
        <f>VLOOKUP(tdata[[#This Row],[Service_Type]],Table2[#All],4,0)</f>
        <v>10000</v>
      </c>
      <c r="P442" s="2">
        <f>tdata[[#This Row],[price_per_kilo]]*tdata[[#This Row],[Weight_KG]]</f>
        <v>97600</v>
      </c>
      <c r="Q442" s="2" t="str">
        <f>VLOOKUP(tdata[[#This Row],[id_employee]],temployee[#All],2,0)</f>
        <v>Olivia Putri</v>
      </c>
      <c r="R442" s="2" t="str">
        <f>VLOOKUP(tdata[[#This Row],[id_employee]],temployee[#All],4,0)</f>
        <v>internal</v>
      </c>
      <c r="S442" s="9" t="str">
        <f>VLOOKUP(tdata[[#This Row],[id_employee]],temployee[#All],5,0)</f>
        <v>rider</v>
      </c>
    </row>
    <row r="443" spans="2:19" x14ac:dyDescent="0.35">
      <c r="B443" s="8" t="s">
        <v>462</v>
      </c>
      <c r="C443" s="2" t="s">
        <v>1312</v>
      </c>
      <c r="D443" s="5">
        <v>45118</v>
      </c>
      <c r="E443" s="5">
        <v>45120</v>
      </c>
      <c r="F443" s="2" t="s">
        <v>49</v>
      </c>
      <c r="G443" s="2" t="s">
        <v>49</v>
      </c>
      <c r="H443" s="2" t="s">
        <v>23</v>
      </c>
      <c r="I443" s="2" t="s">
        <v>13</v>
      </c>
      <c r="J443" s="2">
        <v>0.62</v>
      </c>
      <c r="K443" s="2" t="str">
        <f t="shared" si="18"/>
        <v>&lt; 5kg</v>
      </c>
      <c r="L443" s="2">
        <f>tdata[[#This Row],[Received_date]]-tdata[[#This Row],[Shipment_Date]]</f>
        <v>2</v>
      </c>
      <c r="M443" s="2">
        <f>VLOOKUP(tdata[[#This Row],[Service_Type]],Table2[#All],2,0)</f>
        <v>5</v>
      </c>
      <c r="N443" s="2" t="str">
        <f>IF(tdata[[#This Row],[Delivery_Days]]&lt;=tdata[[#This Row],[SLA_Days]],"On Time","Late")</f>
        <v>On Time</v>
      </c>
      <c r="O443" s="2">
        <f>VLOOKUP(tdata[[#This Row],[Service_Type]],Table2[#All],4,0)</f>
        <v>9000</v>
      </c>
      <c r="P443" s="2">
        <f>tdata[[#This Row],[price_per_kilo]]*tdata[[#This Row],[Weight_KG]]</f>
        <v>5580</v>
      </c>
      <c r="Q443" s="2" t="str">
        <f>VLOOKUP(tdata[[#This Row],[id_employee]],temployee[#All],2,0)</f>
        <v>Prasetyo Utomo</v>
      </c>
      <c r="R443" s="2" t="str">
        <f>VLOOKUP(tdata[[#This Row],[id_employee]],temployee[#All],4,0)</f>
        <v>internal</v>
      </c>
      <c r="S443" s="9" t="str">
        <f>VLOOKUP(tdata[[#This Row],[id_employee]],temployee[#All],5,0)</f>
        <v>driver</v>
      </c>
    </row>
    <row r="444" spans="2:19" x14ac:dyDescent="0.35">
      <c r="B444" s="8" t="s">
        <v>463</v>
      </c>
      <c r="C444" s="2" t="s">
        <v>1313</v>
      </c>
      <c r="D444" s="5">
        <v>45517</v>
      </c>
      <c r="E444" s="5">
        <v>45521</v>
      </c>
      <c r="F444" s="2" t="s">
        <v>11</v>
      </c>
      <c r="G444" s="2" t="s">
        <v>22</v>
      </c>
      <c r="H444" s="2" t="s">
        <v>23</v>
      </c>
      <c r="I444" s="2" t="s">
        <v>13</v>
      </c>
      <c r="J444" s="2">
        <v>2.06</v>
      </c>
      <c r="K444" s="2" t="str">
        <f t="shared" si="18"/>
        <v>&lt; 5kg</v>
      </c>
      <c r="L444" s="2">
        <f>tdata[[#This Row],[Received_date]]-tdata[[#This Row],[Shipment_Date]]</f>
        <v>4</v>
      </c>
      <c r="M444" s="2">
        <f>VLOOKUP(tdata[[#This Row],[Service_Type]],Table2[#All],2,0)</f>
        <v>5</v>
      </c>
      <c r="N444" s="2" t="str">
        <f>IF(tdata[[#This Row],[Delivery_Days]]&lt;=tdata[[#This Row],[SLA_Days]],"On Time","Late")</f>
        <v>On Time</v>
      </c>
      <c r="O444" s="2">
        <f>VLOOKUP(tdata[[#This Row],[Service_Type]],Table2[#All],4,0)</f>
        <v>9000</v>
      </c>
      <c r="P444" s="2">
        <f>tdata[[#This Row],[price_per_kilo]]*tdata[[#This Row],[Weight_KG]]</f>
        <v>18540</v>
      </c>
      <c r="Q444" s="2" t="str">
        <f>VLOOKUP(tdata[[#This Row],[id_employee]],temployee[#All],2,0)</f>
        <v>Qori Annisa</v>
      </c>
      <c r="R444" s="2" t="str">
        <f>VLOOKUP(tdata[[#This Row],[id_employee]],temployee[#All],4,0)</f>
        <v>crowd source</v>
      </c>
      <c r="S444" s="9" t="str">
        <f>VLOOKUP(tdata[[#This Row],[id_employee]],temployee[#All],5,0)</f>
        <v>rider</v>
      </c>
    </row>
    <row r="445" spans="2:19" x14ac:dyDescent="0.35">
      <c r="B445" s="8" t="s">
        <v>464</v>
      </c>
      <c r="C445" s="2" t="s">
        <v>1314</v>
      </c>
      <c r="D445" s="5">
        <v>45150</v>
      </c>
      <c r="E445" s="5">
        <v>45150</v>
      </c>
      <c r="F445" s="2" t="s">
        <v>15</v>
      </c>
      <c r="G445" s="2" t="s">
        <v>11</v>
      </c>
      <c r="H445" s="2" t="s">
        <v>1223</v>
      </c>
      <c r="I445" s="2" t="s">
        <v>13</v>
      </c>
      <c r="J445" s="2">
        <v>0.92</v>
      </c>
      <c r="K445" s="2" t="str">
        <f t="shared" si="18"/>
        <v>&lt; 5kg</v>
      </c>
      <c r="L445" s="2">
        <f>tdata[[#This Row],[Received_date]]-tdata[[#This Row],[Shipment_Date]]</f>
        <v>0</v>
      </c>
      <c r="M445" s="2">
        <f>VLOOKUP(tdata[[#This Row],[Service_Type]],Table2[#All],2,0)</f>
        <v>1</v>
      </c>
      <c r="N445" s="2" t="str">
        <f>IF(tdata[[#This Row],[Delivery_Days]]&lt;=tdata[[#This Row],[SLA_Days]],"On Time","Late")</f>
        <v>On Time</v>
      </c>
      <c r="O445" s="2">
        <f>VLOOKUP(tdata[[#This Row],[Service_Type]],Table2[#All],4,0)</f>
        <v>12000</v>
      </c>
      <c r="P445" s="2">
        <f>tdata[[#This Row],[price_per_kilo]]*tdata[[#This Row],[Weight_KG]]</f>
        <v>11040</v>
      </c>
      <c r="Q445" s="2" t="str">
        <f>VLOOKUP(tdata[[#This Row],[id_employee]],temployee[#All],2,0)</f>
        <v>Rangga Saptonugroho</v>
      </c>
      <c r="R445" s="2" t="str">
        <f>VLOOKUP(tdata[[#This Row],[id_employee]],temployee[#All],4,0)</f>
        <v>crowd source</v>
      </c>
      <c r="S445" s="9" t="str">
        <f>VLOOKUP(tdata[[#This Row],[id_employee]],temployee[#All],5,0)</f>
        <v>driver</v>
      </c>
    </row>
    <row r="446" spans="2:19" x14ac:dyDescent="0.35">
      <c r="B446" s="8" t="s">
        <v>465</v>
      </c>
      <c r="C446" s="2" t="s">
        <v>1315</v>
      </c>
      <c r="D446" s="5">
        <v>45380</v>
      </c>
      <c r="E446" s="5">
        <v>45384</v>
      </c>
      <c r="F446" s="2" t="s">
        <v>20</v>
      </c>
      <c r="G446" s="2" t="s">
        <v>32</v>
      </c>
      <c r="H446" s="2" t="s">
        <v>1223</v>
      </c>
      <c r="I446" s="2" t="s">
        <v>13</v>
      </c>
      <c r="J446" s="2">
        <v>4.2</v>
      </c>
      <c r="K446" s="2" t="str">
        <f t="shared" si="18"/>
        <v>&lt; 5kg</v>
      </c>
      <c r="L446" s="2">
        <f>tdata[[#This Row],[Received_date]]-tdata[[#This Row],[Shipment_Date]]</f>
        <v>4</v>
      </c>
      <c r="M446" s="2">
        <f>VLOOKUP(tdata[[#This Row],[Service_Type]],Table2[#All],2,0)</f>
        <v>1</v>
      </c>
      <c r="N446" s="2" t="str">
        <f>IF(tdata[[#This Row],[Delivery_Days]]&lt;=tdata[[#This Row],[SLA_Days]],"On Time","Late")</f>
        <v>Late</v>
      </c>
      <c r="O446" s="2">
        <f>VLOOKUP(tdata[[#This Row],[Service_Type]],Table2[#All],4,0)</f>
        <v>12000</v>
      </c>
      <c r="P446" s="2">
        <f>tdata[[#This Row],[price_per_kilo]]*tdata[[#This Row],[Weight_KG]]</f>
        <v>50400</v>
      </c>
      <c r="Q446" s="2" t="str">
        <f>VLOOKUP(tdata[[#This Row],[id_employee]],temployee[#All],2,0)</f>
        <v>Sinta Dewi</v>
      </c>
      <c r="R446" s="2" t="str">
        <f>VLOOKUP(tdata[[#This Row],[id_employee]],temployee[#All],4,0)</f>
        <v>internal</v>
      </c>
      <c r="S446" s="9" t="str">
        <f>VLOOKUP(tdata[[#This Row],[id_employee]],temployee[#All],5,0)</f>
        <v>rider</v>
      </c>
    </row>
    <row r="447" spans="2:19" x14ac:dyDescent="0.35">
      <c r="B447" s="8" t="s">
        <v>466</v>
      </c>
      <c r="C447" s="2" t="s">
        <v>1316</v>
      </c>
      <c r="D447" s="5">
        <v>45049</v>
      </c>
      <c r="E447" s="5">
        <v>45057</v>
      </c>
      <c r="F447" s="2" t="s">
        <v>22</v>
      </c>
      <c r="G447" s="2" t="s">
        <v>30</v>
      </c>
      <c r="H447" s="2" t="s">
        <v>1223</v>
      </c>
      <c r="I447" s="2" t="s">
        <v>13</v>
      </c>
      <c r="J447" s="2">
        <v>5.77</v>
      </c>
      <c r="K447" s="2" t="str">
        <f t="shared" si="18"/>
        <v>&gt;5kg</v>
      </c>
      <c r="L447" s="2">
        <f>tdata[[#This Row],[Received_date]]-tdata[[#This Row],[Shipment_Date]]</f>
        <v>8</v>
      </c>
      <c r="M447" s="2">
        <f>VLOOKUP(tdata[[#This Row],[Service_Type]],Table2[#All],2,0)</f>
        <v>1</v>
      </c>
      <c r="N447" s="2" t="str">
        <f>IF(tdata[[#This Row],[Delivery_Days]]&lt;=tdata[[#This Row],[SLA_Days]],"On Time","Late")</f>
        <v>Late</v>
      </c>
      <c r="O447" s="2">
        <f>VLOOKUP(tdata[[#This Row],[Service_Type]],Table2[#All],4,0)</f>
        <v>12000</v>
      </c>
      <c r="P447" s="2">
        <f>tdata[[#This Row],[price_per_kilo]]*tdata[[#This Row],[Weight_KG]]</f>
        <v>69240</v>
      </c>
      <c r="Q447" s="2" t="str">
        <f>VLOOKUP(tdata[[#This Row],[id_employee]],temployee[#All],2,0)</f>
        <v>Taufik Hidayat</v>
      </c>
      <c r="R447" s="2" t="str">
        <f>VLOOKUP(tdata[[#This Row],[id_employee]],temployee[#All],4,0)</f>
        <v>internal</v>
      </c>
      <c r="S447" s="9" t="str">
        <f>VLOOKUP(tdata[[#This Row],[id_employee]],temployee[#All],5,0)</f>
        <v>driver</v>
      </c>
    </row>
    <row r="448" spans="2:19" x14ac:dyDescent="0.35">
      <c r="B448" s="8" t="s">
        <v>467</v>
      </c>
      <c r="C448" s="2" t="s">
        <v>1317</v>
      </c>
      <c r="D448" s="5">
        <v>45392</v>
      </c>
      <c r="E448" s="5">
        <v>45403</v>
      </c>
      <c r="F448" s="2" t="s">
        <v>12</v>
      </c>
      <c r="G448" s="2" t="s">
        <v>32</v>
      </c>
      <c r="H448" s="2" t="s">
        <v>1224</v>
      </c>
      <c r="I448" s="2" t="s">
        <v>17</v>
      </c>
      <c r="J448" s="2">
        <v>3.11</v>
      </c>
      <c r="K448" s="2" t="str">
        <f t="shared" si="18"/>
        <v>&lt; 5kg</v>
      </c>
      <c r="L448" s="2">
        <f>tdata[[#This Row],[Received_date]]-tdata[[#This Row],[Shipment_Date]]</f>
        <v>11</v>
      </c>
      <c r="M448" s="2">
        <f>VLOOKUP(tdata[[#This Row],[Service_Type]],Table2[#All],2,0)</f>
        <v>3</v>
      </c>
      <c r="N448" s="2" t="str">
        <f>IF(tdata[[#This Row],[Delivery_Days]]&lt;=tdata[[#This Row],[SLA_Days]],"On Time","Late")</f>
        <v>Late</v>
      </c>
      <c r="O448" s="2">
        <f>VLOOKUP(tdata[[#This Row],[Service_Type]],Table2[#All],4,0)</f>
        <v>10000</v>
      </c>
      <c r="P448" s="2">
        <f>tdata[[#This Row],[price_per_kilo]]*tdata[[#This Row],[Weight_KG]]</f>
        <v>31100</v>
      </c>
      <c r="Q448" s="2" t="str">
        <f>VLOOKUP(tdata[[#This Row],[id_employee]],temployee[#All],2,0)</f>
        <v>Usman Ali</v>
      </c>
      <c r="R448" s="2" t="str">
        <f>VLOOKUP(tdata[[#This Row],[id_employee]],temployee[#All],4,0)</f>
        <v>crowd source</v>
      </c>
      <c r="S448" s="9" t="str">
        <f>VLOOKUP(tdata[[#This Row],[id_employee]],temployee[#All],5,0)</f>
        <v>rider</v>
      </c>
    </row>
    <row r="449" spans="2:19" x14ac:dyDescent="0.35">
      <c r="B449" s="8" t="s">
        <v>468</v>
      </c>
      <c r="C449" s="2" t="s">
        <v>1318</v>
      </c>
      <c r="D449" s="5">
        <v>45461</v>
      </c>
      <c r="E449" s="5">
        <v>45466</v>
      </c>
      <c r="F449" s="2" t="s">
        <v>30</v>
      </c>
      <c r="G449" s="2" t="s">
        <v>32</v>
      </c>
      <c r="H449" s="2" t="s">
        <v>1223</v>
      </c>
      <c r="I449" s="2" t="s">
        <v>17</v>
      </c>
      <c r="J449" s="2">
        <v>3.52</v>
      </c>
      <c r="K449" s="2" t="str">
        <f t="shared" si="18"/>
        <v>&lt; 5kg</v>
      </c>
      <c r="L449" s="2">
        <f>tdata[[#This Row],[Received_date]]-tdata[[#This Row],[Shipment_Date]]</f>
        <v>5</v>
      </c>
      <c r="M449" s="2">
        <f>VLOOKUP(tdata[[#This Row],[Service_Type]],Table2[#All],2,0)</f>
        <v>1</v>
      </c>
      <c r="N449" s="2" t="str">
        <f>IF(tdata[[#This Row],[Delivery_Days]]&lt;=tdata[[#This Row],[SLA_Days]],"On Time","Late")</f>
        <v>Late</v>
      </c>
      <c r="O449" s="2">
        <f>VLOOKUP(tdata[[#This Row],[Service_Type]],Table2[#All],4,0)</f>
        <v>12000</v>
      </c>
      <c r="P449" s="2">
        <f>tdata[[#This Row],[price_per_kilo]]*tdata[[#This Row],[Weight_KG]]</f>
        <v>42240</v>
      </c>
      <c r="Q449" s="2" t="str">
        <f>VLOOKUP(tdata[[#This Row],[id_employee]],temployee[#All],2,0)</f>
        <v>Vivi Lestari</v>
      </c>
      <c r="R449" s="2" t="str">
        <f>VLOOKUP(tdata[[#This Row],[id_employee]],temployee[#All],4,0)</f>
        <v>internal</v>
      </c>
      <c r="S449" s="9" t="str">
        <f>VLOOKUP(tdata[[#This Row],[id_employee]],temployee[#All],5,0)</f>
        <v>rider</v>
      </c>
    </row>
    <row r="450" spans="2:19" x14ac:dyDescent="0.35">
      <c r="B450" s="8" t="s">
        <v>469</v>
      </c>
      <c r="C450" s="2" t="s">
        <v>1319</v>
      </c>
      <c r="D450" s="5">
        <v>45016</v>
      </c>
      <c r="E450" s="5">
        <v>45016</v>
      </c>
      <c r="F450" s="2" t="s">
        <v>32</v>
      </c>
      <c r="G450" s="2" t="s">
        <v>22</v>
      </c>
      <c r="H450" s="2" t="s">
        <v>1223</v>
      </c>
      <c r="I450" s="2" t="s">
        <v>17</v>
      </c>
      <c r="J450" s="2">
        <v>0.51</v>
      </c>
      <c r="K450" s="2" t="str">
        <f t="shared" si="18"/>
        <v>&lt; 5kg</v>
      </c>
      <c r="L450" s="2">
        <f>tdata[[#This Row],[Received_date]]-tdata[[#This Row],[Shipment_Date]]</f>
        <v>0</v>
      </c>
      <c r="M450" s="2">
        <f>VLOOKUP(tdata[[#This Row],[Service_Type]],Table2[#All],2,0)</f>
        <v>1</v>
      </c>
      <c r="N450" s="2" t="str">
        <f>IF(tdata[[#This Row],[Delivery_Days]]&lt;=tdata[[#This Row],[SLA_Days]],"On Time","Late")</f>
        <v>On Time</v>
      </c>
      <c r="O450" s="2">
        <f>VLOOKUP(tdata[[#This Row],[Service_Type]],Table2[#All],4,0)</f>
        <v>12000</v>
      </c>
      <c r="P450" s="2">
        <f>tdata[[#This Row],[price_per_kilo]]*tdata[[#This Row],[Weight_KG]]</f>
        <v>6120</v>
      </c>
      <c r="Q450" s="2" t="str">
        <f>VLOOKUP(tdata[[#This Row],[id_employee]],temployee[#All],2,0)</f>
        <v>Wawan Setiabudi</v>
      </c>
      <c r="R450" s="2" t="str">
        <f>VLOOKUP(tdata[[#This Row],[id_employee]],temployee[#All],4,0)</f>
        <v>internal</v>
      </c>
      <c r="S450" s="9" t="str">
        <f>VLOOKUP(tdata[[#This Row],[id_employee]],temployee[#All],5,0)</f>
        <v>driver</v>
      </c>
    </row>
    <row r="451" spans="2:19" x14ac:dyDescent="0.35">
      <c r="B451" s="8" t="s">
        <v>470</v>
      </c>
      <c r="C451" s="2" t="s">
        <v>1320</v>
      </c>
      <c r="D451" s="5">
        <v>45421</v>
      </c>
      <c r="E451" s="5">
        <f t="shared" ref="E451:E452" si="21">D451+4</f>
        <v>45425</v>
      </c>
      <c r="F451" s="2" t="s">
        <v>16</v>
      </c>
      <c r="G451" s="2" t="s">
        <v>32</v>
      </c>
      <c r="H451" s="2" t="s">
        <v>23</v>
      </c>
      <c r="I451" s="2" t="s">
        <v>13</v>
      </c>
      <c r="J451" s="2">
        <v>8.1999999999999993</v>
      </c>
      <c r="K451" s="2" t="str">
        <f t="shared" si="18"/>
        <v>&gt;5kg</v>
      </c>
      <c r="L451" s="2">
        <f>tdata[[#This Row],[Received_date]]-tdata[[#This Row],[Shipment_Date]]</f>
        <v>4</v>
      </c>
      <c r="M451" s="2">
        <f>VLOOKUP(tdata[[#This Row],[Service_Type]],Table2[#All],2,0)</f>
        <v>5</v>
      </c>
      <c r="N451" s="2" t="str">
        <f>IF(tdata[[#This Row],[Delivery_Days]]&lt;=tdata[[#This Row],[SLA_Days]],"On Time","Late")</f>
        <v>On Time</v>
      </c>
      <c r="O451" s="2">
        <f>VLOOKUP(tdata[[#This Row],[Service_Type]],Table2[#All],4,0)</f>
        <v>9000</v>
      </c>
      <c r="P451" s="2">
        <f>tdata[[#This Row],[price_per_kilo]]*tdata[[#This Row],[Weight_KG]]</f>
        <v>73800</v>
      </c>
      <c r="Q451" s="2" t="str">
        <f>VLOOKUP(tdata[[#This Row],[id_employee]],temployee[#All],2,0)</f>
        <v>Xenia Maharani</v>
      </c>
      <c r="R451" s="2" t="str">
        <f>VLOOKUP(tdata[[#This Row],[id_employee]],temployee[#All],4,0)</f>
        <v>crowd source</v>
      </c>
      <c r="S451" s="9" t="str">
        <f>VLOOKUP(tdata[[#This Row],[id_employee]],temployee[#All],5,0)</f>
        <v>rider</v>
      </c>
    </row>
    <row r="452" spans="2:19" x14ac:dyDescent="0.35">
      <c r="B452" s="8" t="s">
        <v>471</v>
      </c>
      <c r="C452" s="2" t="s">
        <v>1321</v>
      </c>
      <c r="D452" s="5">
        <v>45223</v>
      </c>
      <c r="E452" s="5">
        <f t="shared" si="21"/>
        <v>45227</v>
      </c>
      <c r="F452" s="2" t="s">
        <v>26</v>
      </c>
      <c r="G452" s="2" t="s">
        <v>16</v>
      </c>
      <c r="H452" s="2" t="s">
        <v>1223</v>
      </c>
      <c r="I452" s="2" t="s">
        <v>17</v>
      </c>
      <c r="J452" s="2">
        <v>6.83</v>
      </c>
      <c r="K452" s="2" t="str">
        <f t="shared" si="18"/>
        <v>&gt;5kg</v>
      </c>
      <c r="L452" s="2">
        <f>tdata[[#This Row],[Received_date]]-tdata[[#This Row],[Shipment_Date]]</f>
        <v>4</v>
      </c>
      <c r="M452" s="2">
        <f>VLOOKUP(tdata[[#This Row],[Service_Type]],Table2[#All],2,0)</f>
        <v>1</v>
      </c>
      <c r="N452" s="2" t="str">
        <f>IF(tdata[[#This Row],[Delivery_Days]]&lt;=tdata[[#This Row],[SLA_Days]],"On Time","Late")</f>
        <v>Late</v>
      </c>
      <c r="O452" s="2">
        <f>VLOOKUP(tdata[[#This Row],[Service_Type]],Table2[#All],4,0)</f>
        <v>12000</v>
      </c>
      <c r="P452" s="2">
        <f>tdata[[#This Row],[price_per_kilo]]*tdata[[#This Row],[Weight_KG]]</f>
        <v>81960</v>
      </c>
      <c r="Q452" s="2" t="str">
        <f>VLOOKUP(tdata[[#This Row],[id_employee]],temployee[#All],2,0)</f>
        <v>Yoga Pradana</v>
      </c>
      <c r="R452" s="2" t="str">
        <f>VLOOKUP(tdata[[#This Row],[id_employee]],temployee[#All],4,0)</f>
        <v>internal</v>
      </c>
      <c r="S452" s="9" t="str">
        <f>VLOOKUP(tdata[[#This Row],[id_employee]],temployee[#All],5,0)</f>
        <v>rider</v>
      </c>
    </row>
    <row r="453" spans="2:19" x14ac:dyDescent="0.35">
      <c r="B453" s="8" t="s">
        <v>472</v>
      </c>
      <c r="C453" s="2" t="s">
        <v>1322</v>
      </c>
      <c r="D453" s="5">
        <v>45307</v>
      </c>
      <c r="E453" s="5">
        <v>45308</v>
      </c>
      <c r="F453" s="2" t="s">
        <v>49</v>
      </c>
      <c r="G453" s="2" t="s">
        <v>12</v>
      </c>
      <c r="H453" s="2" t="s">
        <v>23</v>
      </c>
      <c r="I453" s="2" t="s">
        <v>13</v>
      </c>
      <c r="J453" s="2">
        <v>8.06</v>
      </c>
      <c r="K453" s="2" t="str">
        <f t="shared" ref="K453:K516" si="22">IF(J453&lt;5,"&lt; 5kg", "&gt;5kg")</f>
        <v>&gt;5kg</v>
      </c>
      <c r="L453" s="2">
        <f>tdata[[#This Row],[Received_date]]-tdata[[#This Row],[Shipment_Date]]</f>
        <v>1</v>
      </c>
      <c r="M453" s="2">
        <f>VLOOKUP(tdata[[#This Row],[Service_Type]],Table2[#All],2,0)</f>
        <v>5</v>
      </c>
      <c r="N453" s="2" t="str">
        <f>IF(tdata[[#This Row],[Delivery_Days]]&lt;=tdata[[#This Row],[SLA_Days]],"On Time","Late")</f>
        <v>On Time</v>
      </c>
      <c r="O453" s="2">
        <f>VLOOKUP(tdata[[#This Row],[Service_Type]],Table2[#All],4,0)</f>
        <v>9000</v>
      </c>
      <c r="P453" s="2">
        <f>tdata[[#This Row],[price_per_kilo]]*tdata[[#This Row],[Weight_KG]]</f>
        <v>72540</v>
      </c>
      <c r="Q453" s="2" t="str">
        <f>VLOOKUP(tdata[[#This Row],[id_employee]],temployee[#All],2,0)</f>
        <v>Zulfikar Ramadhan</v>
      </c>
      <c r="R453" s="2" t="str">
        <f>VLOOKUP(tdata[[#This Row],[id_employee]],temployee[#All],4,0)</f>
        <v>crowd source</v>
      </c>
      <c r="S453" s="9" t="str">
        <f>VLOOKUP(tdata[[#This Row],[id_employee]],temployee[#All],5,0)</f>
        <v>driver</v>
      </c>
    </row>
    <row r="454" spans="2:19" x14ac:dyDescent="0.35">
      <c r="B454" s="8" t="s">
        <v>473</v>
      </c>
      <c r="C454" s="2" t="s">
        <v>1323</v>
      </c>
      <c r="D454" s="5">
        <v>45385</v>
      </c>
      <c r="E454" s="5">
        <f>D454+4</f>
        <v>45389</v>
      </c>
      <c r="F454" s="2" t="s">
        <v>11</v>
      </c>
      <c r="G454" s="2" t="s">
        <v>16</v>
      </c>
      <c r="H454" s="2" t="s">
        <v>1224</v>
      </c>
      <c r="I454" s="2" t="s">
        <v>17</v>
      </c>
      <c r="J454" s="2">
        <v>9.9600000000000009</v>
      </c>
      <c r="K454" s="2" t="str">
        <f t="shared" si="22"/>
        <v>&gt;5kg</v>
      </c>
      <c r="L454" s="2">
        <f>tdata[[#This Row],[Received_date]]-tdata[[#This Row],[Shipment_Date]]</f>
        <v>4</v>
      </c>
      <c r="M454" s="2">
        <f>VLOOKUP(tdata[[#This Row],[Service_Type]],Table2[#All],2,0)</f>
        <v>3</v>
      </c>
      <c r="N454" s="2" t="str">
        <f>IF(tdata[[#This Row],[Delivery_Days]]&lt;=tdata[[#This Row],[SLA_Days]],"On Time","Late")</f>
        <v>Late</v>
      </c>
      <c r="O454" s="2">
        <f>VLOOKUP(tdata[[#This Row],[Service_Type]],Table2[#All],4,0)</f>
        <v>10000</v>
      </c>
      <c r="P454" s="2">
        <f>tdata[[#This Row],[price_per_kilo]]*tdata[[#This Row],[Weight_KG]]</f>
        <v>99600.000000000015</v>
      </c>
      <c r="Q454" s="2" t="str">
        <f>VLOOKUP(tdata[[#This Row],[id_employee]],temployee[#All],2,0)</f>
        <v>Aditya Saputra</v>
      </c>
      <c r="R454" s="2" t="str">
        <f>VLOOKUP(tdata[[#This Row],[id_employee]],temployee[#All],4,0)</f>
        <v>internal</v>
      </c>
      <c r="S454" s="9" t="str">
        <f>VLOOKUP(tdata[[#This Row],[id_employee]],temployee[#All],5,0)</f>
        <v>rider</v>
      </c>
    </row>
    <row r="455" spans="2:19" x14ac:dyDescent="0.35">
      <c r="B455" s="8" t="s">
        <v>474</v>
      </c>
      <c r="C455" s="2" t="s">
        <v>1324</v>
      </c>
      <c r="D455" s="5">
        <v>45443</v>
      </c>
      <c r="E455" s="5">
        <v>45446</v>
      </c>
      <c r="F455" s="2" t="s">
        <v>15</v>
      </c>
      <c r="G455" s="2" t="s">
        <v>30</v>
      </c>
      <c r="H455" s="2" t="s">
        <v>23</v>
      </c>
      <c r="I455" s="2" t="s">
        <v>13</v>
      </c>
      <c r="J455" s="2">
        <v>3.22</v>
      </c>
      <c r="K455" s="2" t="str">
        <f t="shared" si="22"/>
        <v>&lt; 5kg</v>
      </c>
      <c r="L455" s="2">
        <f>tdata[[#This Row],[Received_date]]-tdata[[#This Row],[Shipment_Date]]</f>
        <v>3</v>
      </c>
      <c r="M455" s="2">
        <f>VLOOKUP(tdata[[#This Row],[Service_Type]],Table2[#All],2,0)</f>
        <v>5</v>
      </c>
      <c r="N455" s="2" t="str">
        <f>IF(tdata[[#This Row],[Delivery_Days]]&lt;=tdata[[#This Row],[SLA_Days]],"On Time","Late")</f>
        <v>On Time</v>
      </c>
      <c r="O455" s="2">
        <f>VLOOKUP(tdata[[#This Row],[Service_Type]],Table2[#All],4,0)</f>
        <v>9000</v>
      </c>
      <c r="P455" s="2">
        <f>tdata[[#This Row],[price_per_kilo]]*tdata[[#This Row],[Weight_KG]]</f>
        <v>28980</v>
      </c>
      <c r="Q455" s="2" t="str">
        <f>VLOOKUP(tdata[[#This Row],[id_employee]],temployee[#All],2,0)</f>
        <v>Bella Oktaviani</v>
      </c>
      <c r="R455" s="2" t="str">
        <f>VLOOKUP(tdata[[#This Row],[id_employee]],temployee[#All],4,0)</f>
        <v>internal</v>
      </c>
      <c r="S455" s="9" t="str">
        <f>VLOOKUP(tdata[[#This Row],[id_employee]],temployee[#All],5,0)</f>
        <v>rider</v>
      </c>
    </row>
    <row r="456" spans="2:19" x14ac:dyDescent="0.35">
      <c r="B456" s="8" t="s">
        <v>475</v>
      </c>
      <c r="C456" s="2" t="s">
        <v>1325</v>
      </c>
      <c r="D456" s="5">
        <v>45227</v>
      </c>
      <c r="E456" s="5">
        <v>45237</v>
      </c>
      <c r="F456" s="2" t="s">
        <v>20</v>
      </c>
      <c r="G456" s="2" t="s">
        <v>12</v>
      </c>
      <c r="H456" s="2" t="s">
        <v>1224</v>
      </c>
      <c r="I456" s="2" t="s">
        <v>13</v>
      </c>
      <c r="J456" s="2">
        <v>7.51</v>
      </c>
      <c r="K456" s="2" t="str">
        <f t="shared" si="22"/>
        <v>&gt;5kg</v>
      </c>
      <c r="L456" s="2">
        <f>tdata[[#This Row],[Received_date]]-tdata[[#This Row],[Shipment_Date]]</f>
        <v>10</v>
      </c>
      <c r="M456" s="2">
        <f>VLOOKUP(tdata[[#This Row],[Service_Type]],Table2[#All],2,0)</f>
        <v>3</v>
      </c>
      <c r="N456" s="2" t="str">
        <f>IF(tdata[[#This Row],[Delivery_Days]]&lt;=tdata[[#This Row],[SLA_Days]],"On Time","Late")</f>
        <v>Late</v>
      </c>
      <c r="O456" s="2">
        <f>VLOOKUP(tdata[[#This Row],[Service_Type]],Table2[#All],4,0)</f>
        <v>10000</v>
      </c>
      <c r="P456" s="2">
        <f>tdata[[#This Row],[price_per_kilo]]*tdata[[#This Row],[Weight_KG]]</f>
        <v>75100</v>
      </c>
      <c r="Q456" s="2" t="str">
        <f>VLOOKUP(tdata[[#This Row],[id_employee]],temployee[#All],2,0)</f>
        <v>Chandra Wijaya</v>
      </c>
      <c r="R456" s="2" t="str">
        <f>VLOOKUP(tdata[[#This Row],[id_employee]],temployee[#All],4,0)</f>
        <v>crowd source</v>
      </c>
      <c r="S456" s="9" t="str">
        <f>VLOOKUP(tdata[[#This Row],[id_employee]],temployee[#All],5,0)</f>
        <v>driver</v>
      </c>
    </row>
    <row r="457" spans="2:19" x14ac:dyDescent="0.35">
      <c r="B457" s="8" t="s">
        <v>476</v>
      </c>
      <c r="C457" s="2" t="s">
        <v>1326</v>
      </c>
      <c r="D457" s="5">
        <v>45085</v>
      </c>
      <c r="E457" s="5">
        <v>45088</v>
      </c>
      <c r="F457" s="2" t="s">
        <v>22</v>
      </c>
      <c r="G457" s="2" t="s">
        <v>26</v>
      </c>
      <c r="H457" s="2" t="s">
        <v>1224</v>
      </c>
      <c r="I457" s="2" t="s">
        <v>13</v>
      </c>
      <c r="J457" s="2">
        <v>0.68</v>
      </c>
      <c r="K457" s="2" t="str">
        <f t="shared" si="22"/>
        <v>&lt; 5kg</v>
      </c>
      <c r="L457" s="2">
        <f>tdata[[#This Row],[Received_date]]-tdata[[#This Row],[Shipment_Date]]</f>
        <v>3</v>
      </c>
      <c r="M457" s="2">
        <f>VLOOKUP(tdata[[#This Row],[Service_Type]],Table2[#All],2,0)</f>
        <v>3</v>
      </c>
      <c r="N457" s="2" t="str">
        <f>IF(tdata[[#This Row],[Delivery_Days]]&lt;=tdata[[#This Row],[SLA_Days]],"On Time","Late")</f>
        <v>On Time</v>
      </c>
      <c r="O457" s="2">
        <f>VLOOKUP(tdata[[#This Row],[Service_Type]],Table2[#All],4,0)</f>
        <v>10000</v>
      </c>
      <c r="P457" s="2">
        <f>tdata[[#This Row],[price_per_kilo]]*tdata[[#This Row],[Weight_KG]]</f>
        <v>6800.0000000000009</v>
      </c>
      <c r="Q457" s="2" t="str">
        <f>VLOOKUP(tdata[[#This Row],[id_employee]],temployee[#All],2,0)</f>
        <v>Dewi Sartika</v>
      </c>
      <c r="R457" s="2" t="str">
        <f>VLOOKUP(tdata[[#This Row],[id_employee]],temployee[#All],4,0)</f>
        <v>internal</v>
      </c>
      <c r="S457" s="9" t="str">
        <f>VLOOKUP(tdata[[#This Row],[id_employee]],temployee[#All],5,0)</f>
        <v>rider</v>
      </c>
    </row>
    <row r="458" spans="2:19" x14ac:dyDescent="0.35">
      <c r="B458" s="8" t="s">
        <v>477</v>
      </c>
      <c r="C458" s="2" t="s">
        <v>1327</v>
      </c>
      <c r="D458" s="5">
        <v>45622</v>
      </c>
      <c r="E458" s="5">
        <v>45623</v>
      </c>
      <c r="F458" s="2" t="s">
        <v>12</v>
      </c>
      <c r="G458" s="2" t="s">
        <v>15</v>
      </c>
      <c r="H458" s="2" t="s">
        <v>1224</v>
      </c>
      <c r="I458" s="2" t="s">
        <v>13</v>
      </c>
      <c r="J458" s="2">
        <v>1.36</v>
      </c>
      <c r="K458" s="2" t="str">
        <f t="shared" si="22"/>
        <v>&lt; 5kg</v>
      </c>
      <c r="L458" s="2">
        <f>tdata[[#This Row],[Received_date]]-tdata[[#This Row],[Shipment_Date]]</f>
        <v>1</v>
      </c>
      <c r="M458" s="2">
        <f>VLOOKUP(tdata[[#This Row],[Service_Type]],Table2[#All],2,0)</f>
        <v>3</v>
      </c>
      <c r="N458" s="2" t="str">
        <f>IF(tdata[[#This Row],[Delivery_Days]]&lt;=tdata[[#This Row],[SLA_Days]],"On Time","Late")</f>
        <v>On Time</v>
      </c>
      <c r="O458" s="2">
        <f>VLOOKUP(tdata[[#This Row],[Service_Type]],Table2[#All],4,0)</f>
        <v>10000</v>
      </c>
      <c r="P458" s="2">
        <f>tdata[[#This Row],[price_per_kilo]]*tdata[[#This Row],[Weight_KG]]</f>
        <v>13600.000000000002</v>
      </c>
      <c r="Q458" s="2" t="str">
        <f>VLOOKUP(tdata[[#This Row],[id_employee]],temployee[#All],2,0)</f>
        <v>Edi Kurniawan</v>
      </c>
      <c r="R458" s="2" t="str">
        <f>VLOOKUP(tdata[[#This Row],[id_employee]],temployee[#All],4,0)</f>
        <v>internal</v>
      </c>
      <c r="S458" s="9" t="str">
        <f>VLOOKUP(tdata[[#This Row],[id_employee]],temployee[#All],5,0)</f>
        <v>driver</v>
      </c>
    </row>
    <row r="459" spans="2:19" x14ac:dyDescent="0.35">
      <c r="B459" s="8" t="s">
        <v>478</v>
      </c>
      <c r="C459" s="2" t="s">
        <v>1328</v>
      </c>
      <c r="D459" s="5">
        <v>45253</v>
      </c>
      <c r="E459" s="5">
        <v>45263</v>
      </c>
      <c r="F459" s="2" t="s">
        <v>30</v>
      </c>
      <c r="G459" s="2" t="s">
        <v>20</v>
      </c>
      <c r="H459" s="2" t="s">
        <v>23</v>
      </c>
      <c r="I459" s="2" t="s">
        <v>13</v>
      </c>
      <c r="J459" s="2">
        <v>7.96</v>
      </c>
      <c r="K459" s="2" t="str">
        <f t="shared" si="22"/>
        <v>&gt;5kg</v>
      </c>
      <c r="L459" s="2">
        <f>tdata[[#This Row],[Received_date]]-tdata[[#This Row],[Shipment_Date]]</f>
        <v>10</v>
      </c>
      <c r="M459" s="2">
        <f>VLOOKUP(tdata[[#This Row],[Service_Type]],Table2[#All],2,0)</f>
        <v>5</v>
      </c>
      <c r="N459" s="2" t="str">
        <f>IF(tdata[[#This Row],[Delivery_Days]]&lt;=tdata[[#This Row],[SLA_Days]],"On Time","Late")</f>
        <v>Late</v>
      </c>
      <c r="O459" s="2">
        <f>VLOOKUP(tdata[[#This Row],[Service_Type]],Table2[#All],4,0)</f>
        <v>9000</v>
      </c>
      <c r="P459" s="2">
        <f>tdata[[#This Row],[price_per_kilo]]*tdata[[#This Row],[Weight_KG]]</f>
        <v>71640</v>
      </c>
      <c r="Q459" s="2" t="str">
        <f>VLOOKUP(tdata[[#This Row],[id_employee]],temployee[#All],2,0)</f>
        <v>Farah Nabila</v>
      </c>
      <c r="R459" s="2" t="str">
        <f>VLOOKUP(tdata[[#This Row],[id_employee]],temployee[#All],4,0)</f>
        <v>crowd source</v>
      </c>
      <c r="S459" s="9" t="str">
        <f>VLOOKUP(tdata[[#This Row],[id_employee]],temployee[#All],5,0)</f>
        <v>rider</v>
      </c>
    </row>
    <row r="460" spans="2:19" x14ac:dyDescent="0.35">
      <c r="B460" s="8" t="s">
        <v>479</v>
      </c>
      <c r="C460" s="2" t="s">
        <v>1329</v>
      </c>
      <c r="D460" s="5">
        <v>45317</v>
      </c>
      <c r="E460" s="5">
        <f>D460+4</f>
        <v>45321</v>
      </c>
      <c r="F460" s="2" t="s">
        <v>32</v>
      </c>
      <c r="G460" s="2" t="s">
        <v>11</v>
      </c>
      <c r="H460" s="2" t="s">
        <v>23</v>
      </c>
      <c r="I460" s="2" t="s">
        <v>13</v>
      </c>
      <c r="J460" s="2">
        <v>8.58</v>
      </c>
      <c r="K460" s="2" t="str">
        <f t="shared" si="22"/>
        <v>&gt;5kg</v>
      </c>
      <c r="L460" s="2">
        <f>tdata[[#This Row],[Received_date]]-tdata[[#This Row],[Shipment_Date]]</f>
        <v>4</v>
      </c>
      <c r="M460" s="2">
        <f>VLOOKUP(tdata[[#This Row],[Service_Type]],Table2[#All],2,0)</f>
        <v>5</v>
      </c>
      <c r="N460" s="2" t="str">
        <f>IF(tdata[[#This Row],[Delivery_Days]]&lt;=tdata[[#This Row],[SLA_Days]],"On Time","Late")</f>
        <v>On Time</v>
      </c>
      <c r="O460" s="2">
        <f>VLOOKUP(tdata[[#This Row],[Service_Type]],Table2[#All],4,0)</f>
        <v>9000</v>
      </c>
      <c r="P460" s="2">
        <f>tdata[[#This Row],[price_per_kilo]]*tdata[[#This Row],[Weight_KG]]</f>
        <v>77220</v>
      </c>
      <c r="Q460" s="2" t="str">
        <f>VLOOKUP(tdata[[#This Row],[id_employee]],temployee[#All],2,0)</f>
        <v>Galih Pratomo</v>
      </c>
      <c r="R460" s="2" t="str">
        <f>VLOOKUP(tdata[[#This Row],[id_employee]],temployee[#All],4,0)</f>
        <v>internal</v>
      </c>
      <c r="S460" s="9" t="str">
        <f>VLOOKUP(tdata[[#This Row],[id_employee]],temployee[#All],5,0)</f>
        <v>rider</v>
      </c>
    </row>
    <row r="461" spans="2:19" x14ac:dyDescent="0.35">
      <c r="B461" s="8" t="s">
        <v>480</v>
      </c>
      <c r="C461" s="2" t="s">
        <v>1330</v>
      </c>
      <c r="D461" s="5">
        <v>45242</v>
      </c>
      <c r="E461" s="5">
        <v>45242</v>
      </c>
      <c r="F461" s="2" t="s">
        <v>16</v>
      </c>
      <c r="G461" s="2" t="s">
        <v>26</v>
      </c>
      <c r="H461" s="2" t="s">
        <v>1224</v>
      </c>
      <c r="I461" s="2" t="s">
        <v>13</v>
      </c>
      <c r="J461" s="2">
        <v>10.42</v>
      </c>
      <c r="K461" s="2" t="str">
        <f t="shared" si="22"/>
        <v>&gt;5kg</v>
      </c>
      <c r="L461" s="2">
        <f>tdata[[#This Row],[Received_date]]-tdata[[#This Row],[Shipment_Date]]</f>
        <v>0</v>
      </c>
      <c r="M461" s="2">
        <f>VLOOKUP(tdata[[#This Row],[Service_Type]],Table2[#All],2,0)</f>
        <v>3</v>
      </c>
      <c r="N461" s="2" t="str">
        <f>IF(tdata[[#This Row],[Delivery_Days]]&lt;=tdata[[#This Row],[SLA_Days]],"On Time","Late")</f>
        <v>On Time</v>
      </c>
      <c r="O461" s="2">
        <f>VLOOKUP(tdata[[#This Row],[Service_Type]],Table2[#All],4,0)</f>
        <v>10000</v>
      </c>
      <c r="P461" s="2">
        <f>tdata[[#This Row],[price_per_kilo]]*tdata[[#This Row],[Weight_KG]]</f>
        <v>104200</v>
      </c>
      <c r="Q461" s="2" t="str">
        <f>VLOOKUP(tdata[[#This Row],[id_employee]],temployee[#All],2,0)</f>
        <v>Hadi Purnomo</v>
      </c>
      <c r="R461" s="2" t="str">
        <f>VLOOKUP(tdata[[#This Row],[id_employee]],temployee[#All],4,0)</f>
        <v>crowd source</v>
      </c>
      <c r="S461" s="9" t="str">
        <f>VLOOKUP(tdata[[#This Row],[id_employee]],temployee[#All],5,0)</f>
        <v>driver</v>
      </c>
    </row>
    <row r="462" spans="2:19" x14ac:dyDescent="0.35">
      <c r="B462" s="8" t="s">
        <v>481</v>
      </c>
      <c r="C462" s="2" t="s">
        <v>1331</v>
      </c>
      <c r="D462" s="5">
        <v>45152</v>
      </c>
      <c r="E462" s="5">
        <v>45158</v>
      </c>
      <c r="F462" s="2" t="s">
        <v>26</v>
      </c>
      <c r="G462" s="2" t="s">
        <v>20</v>
      </c>
      <c r="H462" s="2" t="s">
        <v>1223</v>
      </c>
      <c r="I462" s="2" t="s">
        <v>17</v>
      </c>
      <c r="J462" s="2">
        <v>4.0599999999999996</v>
      </c>
      <c r="K462" s="2" t="str">
        <f t="shared" si="22"/>
        <v>&lt; 5kg</v>
      </c>
      <c r="L462" s="2">
        <f>tdata[[#This Row],[Received_date]]-tdata[[#This Row],[Shipment_Date]]</f>
        <v>6</v>
      </c>
      <c r="M462" s="2">
        <f>VLOOKUP(tdata[[#This Row],[Service_Type]],Table2[#All],2,0)</f>
        <v>1</v>
      </c>
      <c r="N462" s="2" t="str">
        <f>IF(tdata[[#This Row],[Delivery_Days]]&lt;=tdata[[#This Row],[SLA_Days]],"On Time","Late")</f>
        <v>Late</v>
      </c>
      <c r="O462" s="2">
        <f>VLOOKUP(tdata[[#This Row],[Service_Type]],Table2[#All],4,0)</f>
        <v>12000</v>
      </c>
      <c r="P462" s="2">
        <f>tdata[[#This Row],[price_per_kilo]]*tdata[[#This Row],[Weight_KG]]</f>
        <v>48719.999999999993</v>
      </c>
      <c r="Q462" s="2" t="str">
        <f>VLOOKUP(tdata[[#This Row],[id_employee]],temployee[#All],2,0)</f>
        <v>Ika Lestari</v>
      </c>
      <c r="R462" s="2" t="str">
        <f>VLOOKUP(tdata[[#This Row],[id_employee]],temployee[#All],4,0)</f>
        <v>internal</v>
      </c>
      <c r="S462" s="9" t="str">
        <f>VLOOKUP(tdata[[#This Row],[id_employee]],temployee[#All],5,0)</f>
        <v>rider</v>
      </c>
    </row>
    <row r="463" spans="2:19" x14ac:dyDescent="0.35">
      <c r="B463" s="8" t="s">
        <v>482</v>
      </c>
      <c r="C463" s="2" t="s">
        <v>1332</v>
      </c>
      <c r="D463" s="5">
        <v>45537</v>
      </c>
      <c r="E463" s="5">
        <v>45538</v>
      </c>
      <c r="F463" s="2" t="s">
        <v>49</v>
      </c>
      <c r="G463" s="2" t="s">
        <v>22</v>
      </c>
      <c r="H463" s="2" t="s">
        <v>1224</v>
      </c>
      <c r="I463" s="2" t="s">
        <v>17</v>
      </c>
      <c r="J463" s="2">
        <v>4.1100000000000003</v>
      </c>
      <c r="K463" s="2" t="str">
        <f t="shared" si="22"/>
        <v>&lt; 5kg</v>
      </c>
      <c r="L463" s="2">
        <f>tdata[[#This Row],[Received_date]]-tdata[[#This Row],[Shipment_Date]]</f>
        <v>1</v>
      </c>
      <c r="M463" s="2">
        <f>VLOOKUP(tdata[[#This Row],[Service_Type]],Table2[#All],2,0)</f>
        <v>3</v>
      </c>
      <c r="N463" s="2" t="str">
        <f>IF(tdata[[#This Row],[Delivery_Days]]&lt;=tdata[[#This Row],[SLA_Days]],"On Time","Late")</f>
        <v>On Time</v>
      </c>
      <c r="O463" s="2">
        <f>VLOOKUP(tdata[[#This Row],[Service_Type]],Table2[#All],4,0)</f>
        <v>10000</v>
      </c>
      <c r="P463" s="2">
        <f>tdata[[#This Row],[price_per_kilo]]*tdata[[#This Row],[Weight_KG]]</f>
        <v>41100</v>
      </c>
      <c r="Q463" s="2" t="str">
        <f>VLOOKUP(tdata[[#This Row],[id_employee]],temployee[#All],2,0)</f>
        <v>Jamil Akbar</v>
      </c>
      <c r="R463" s="2" t="str">
        <f>VLOOKUP(tdata[[#This Row],[id_employee]],temployee[#All],4,0)</f>
        <v>internal</v>
      </c>
      <c r="S463" s="9" t="str">
        <f>VLOOKUP(tdata[[#This Row],[id_employee]],temployee[#All],5,0)</f>
        <v>driver</v>
      </c>
    </row>
    <row r="464" spans="2:19" x14ac:dyDescent="0.35">
      <c r="B464" s="8" t="s">
        <v>483</v>
      </c>
      <c r="C464" s="2" t="s">
        <v>1333</v>
      </c>
      <c r="D464" s="5">
        <v>45346</v>
      </c>
      <c r="E464" s="5">
        <f t="shared" ref="E464:E465" si="23">D464+4</f>
        <v>45350</v>
      </c>
      <c r="F464" s="2" t="s">
        <v>11</v>
      </c>
      <c r="G464" s="2" t="s">
        <v>26</v>
      </c>
      <c r="H464" s="2" t="s">
        <v>1224</v>
      </c>
      <c r="I464" s="2" t="s">
        <v>13</v>
      </c>
      <c r="J464" s="2">
        <v>6.97</v>
      </c>
      <c r="K464" s="2" t="str">
        <f t="shared" si="22"/>
        <v>&gt;5kg</v>
      </c>
      <c r="L464" s="2">
        <f>tdata[[#This Row],[Received_date]]-tdata[[#This Row],[Shipment_Date]]</f>
        <v>4</v>
      </c>
      <c r="M464" s="2">
        <f>VLOOKUP(tdata[[#This Row],[Service_Type]],Table2[#All],2,0)</f>
        <v>3</v>
      </c>
      <c r="N464" s="2" t="str">
        <f>IF(tdata[[#This Row],[Delivery_Days]]&lt;=tdata[[#This Row],[SLA_Days]],"On Time","Late")</f>
        <v>Late</v>
      </c>
      <c r="O464" s="2">
        <f>VLOOKUP(tdata[[#This Row],[Service_Type]],Table2[#All],4,0)</f>
        <v>10000</v>
      </c>
      <c r="P464" s="2">
        <f>tdata[[#This Row],[price_per_kilo]]*tdata[[#This Row],[Weight_KG]]</f>
        <v>69700</v>
      </c>
      <c r="Q464" s="2" t="str">
        <f>VLOOKUP(tdata[[#This Row],[id_employee]],temployee[#All],2,0)</f>
        <v>Kevin Sanjaya</v>
      </c>
      <c r="R464" s="2" t="str">
        <f>VLOOKUP(tdata[[#This Row],[id_employee]],temployee[#All],4,0)</f>
        <v>crowd source</v>
      </c>
      <c r="S464" s="9" t="str">
        <f>VLOOKUP(tdata[[#This Row],[id_employee]],temployee[#All],5,0)</f>
        <v>rider</v>
      </c>
    </row>
    <row r="465" spans="2:19" x14ac:dyDescent="0.35">
      <c r="B465" s="8" t="s">
        <v>484</v>
      </c>
      <c r="C465" s="2" t="s">
        <v>1334</v>
      </c>
      <c r="D465" s="5">
        <v>45542</v>
      </c>
      <c r="E465" s="5">
        <f t="shared" si="23"/>
        <v>45546</v>
      </c>
      <c r="F465" s="2" t="s">
        <v>15</v>
      </c>
      <c r="G465" s="2" t="s">
        <v>15</v>
      </c>
      <c r="H465" s="2" t="s">
        <v>23</v>
      </c>
      <c r="I465" s="2" t="s">
        <v>17</v>
      </c>
      <c r="J465" s="2">
        <v>9.8000000000000007</v>
      </c>
      <c r="K465" s="2" t="str">
        <f t="shared" si="22"/>
        <v>&gt;5kg</v>
      </c>
      <c r="L465" s="2">
        <f>tdata[[#This Row],[Received_date]]-tdata[[#This Row],[Shipment_Date]]</f>
        <v>4</v>
      </c>
      <c r="M465" s="2">
        <f>VLOOKUP(tdata[[#This Row],[Service_Type]],Table2[#All],2,0)</f>
        <v>5</v>
      </c>
      <c r="N465" s="2" t="str">
        <f>IF(tdata[[#This Row],[Delivery_Days]]&lt;=tdata[[#This Row],[SLA_Days]],"On Time","Late")</f>
        <v>On Time</v>
      </c>
      <c r="O465" s="2">
        <f>VLOOKUP(tdata[[#This Row],[Service_Type]],Table2[#All],4,0)</f>
        <v>9000</v>
      </c>
      <c r="P465" s="2">
        <f>tdata[[#This Row],[price_per_kilo]]*tdata[[#This Row],[Weight_KG]]</f>
        <v>88200</v>
      </c>
      <c r="Q465" s="2" t="str">
        <f>VLOOKUP(tdata[[#This Row],[id_employee]],temployee[#All],2,0)</f>
        <v>Laila Nuraini</v>
      </c>
      <c r="R465" s="2" t="str">
        <f>VLOOKUP(tdata[[#This Row],[id_employee]],temployee[#All],4,0)</f>
        <v>internal</v>
      </c>
      <c r="S465" s="9" t="str">
        <f>VLOOKUP(tdata[[#This Row],[id_employee]],temployee[#All],5,0)</f>
        <v>rider</v>
      </c>
    </row>
    <row r="466" spans="2:19" x14ac:dyDescent="0.35">
      <c r="B466" s="8" t="s">
        <v>485</v>
      </c>
      <c r="C466" s="2" t="s">
        <v>1335</v>
      </c>
      <c r="D466" s="5">
        <v>45397</v>
      </c>
      <c r="E466" s="5">
        <v>45407</v>
      </c>
      <c r="F466" s="2" t="s">
        <v>20</v>
      </c>
      <c r="G466" s="2" t="s">
        <v>20</v>
      </c>
      <c r="H466" s="2" t="s">
        <v>1224</v>
      </c>
      <c r="I466" s="2" t="s">
        <v>17</v>
      </c>
      <c r="J466" s="2">
        <v>10</v>
      </c>
      <c r="K466" s="2" t="str">
        <f t="shared" si="22"/>
        <v>&gt;5kg</v>
      </c>
      <c r="L466" s="2">
        <f>tdata[[#This Row],[Received_date]]-tdata[[#This Row],[Shipment_Date]]</f>
        <v>10</v>
      </c>
      <c r="M466" s="2">
        <f>VLOOKUP(tdata[[#This Row],[Service_Type]],Table2[#All],2,0)</f>
        <v>3</v>
      </c>
      <c r="N466" s="2" t="str">
        <f>IF(tdata[[#This Row],[Delivery_Days]]&lt;=tdata[[#This Row],[SLA_Days]],"On Time","Late")</f>
        <v>Late</v>
      </c>
      <c r="O466" s="2">
        <f>VLOOKUP(tdata[[#This Row],[Service_Type]],Table2[#All],4,0)</f>
        <v>10000</v>
      </c>
      <c r="P466" s="2">
        <f>tdata[[#This Row],[price_per_kilo]]*tdata[[#This Row],[Weight_KG]]</f>
        <v>100000</v>
      </c>
      <c r="Q466" s="2" t="str">
        <f>VLOOKUP(tdata[[#This Row],[id_employee]],temployee[#All],2,0)</f>
        <v>Miko Setiawan</v>
      </c>
      <c r="R466" s="2" t="str">
        <f>VLOOKUP(tdata[[#This Row],[id_employee]],temployee[#All],4,0)</f>
        <v>crowd source</v>
      </c>
      <c r="S466" s="9" t="str">
        <f>VLOOKUP(tdata[[#This Row],[id_employee]],temployee[#All],5,0)</f>
        <v>driver</v>
      </c>
    </row>
    <row r="467" spans="2:19" x14ac:dyDescent="0.35">
      <c r="B467" s="8" t="s">
        <v>486</v>
      </c>
      <c r="C467" s="2" t="s">
        <v>1336</v>
      </c>
      <c r="D467" s="5">
        <v>44928</v>
      </c>
      <c r="E467" s="5">
        <v>44937</v>
      </c>
      <c r="F467" s="2" t="s">
        <v>22</v>
      </c>
      <c r="G467" s="2" t="s">
        <v>26</v>
      </c>
      <c r="H467" s="2" t="s">
        <v>1224</v>
      </c>
      <c r="I467" s="2" t="s">
        <v>17</v>
      </c>
      <c r="J467" s="2">
        <v>9.64</v>
      </c>
      <c r="K467" s="2" t="str">
        <f t="shared" si="22"/>
        <v>&gt;5kg</v>
      </c>
      <c r="L467" s="2">
        <f>tdata[[#This Row],[Received_date]]-tdata[[#This Row],[Shipment_Date]]</f>
        <v>9</v>
      </c>
      <c r="M467" s="2">
        <f>VLOOKUP(tdata[[#This Row],[Service_Type]],Table2[#All],2,0)</f>
        <v>3</v>
      </c>
      <c r="N467" s="2" t="str">
        <f>IF(tdata[[#This Row],[Delivery_Days]]&lt;=tdata[[#This Row],[SLA_Days]],"On Time","Late")</f>
        <v>Late</v>
      </c>
      <c r="O467" s="2">
        <f>VLOOKUP(tdata[[#This Row],[Service_Type]],Table2[#All],4,0)</f>
        <v>10000</v>
      </c>
      <c r="P467" s="2">
        <f>tdata[[#This Row],[price_per_kilo]]*tdata[[#This Row],[Weight_KG]]</f>
        <v>96400</v>
      </c>
      <c r="Q467" s="2" t="str">
        <f>VLOOKUP(tdata[[#This Row],[id_employee]],temployee[#All],2,0)</f>
        <v>Nisa Aulia</v>
      </c>
      <c r="R467" s="2" t="str">
        <f>VLOOKUP(tdata[[#This Row],[id_employee]],temployee[#All],4,0)</f>
        <v>internal</v>
      </c>
      <c r="S467" s="9" t="str">
        <f>VLOOKUP(tdata[[#This Row],[id_employee]],temployee[#All],5,0)</f>
        <v>rider</v>
      </c>
    </row>
    <row r="468" spans="2:19" x14ac:dyDescent="0.35">
      <c r="B468" s="8" t="s">
        <v>487</v>
      </c>
      <c r="C468" s="2" t="s">
        <v>1337</v>
      </c>
      <c r="D468" s="5">
        <v>45115</v>
      </c>
      <c r="E468" s="5">
        <v>45122</v>
      </c>
      <c r="F468" s="2" t="s">
        <v>12</v>
      </c>
      <c r="G468" s="2" t="s">
        <v>22</v>
      </c>
      <c r="H468" s="2" t="s">
        <v>1223</v>
      </c>
      <c r="I468" s="2" t="s">
        <v>17</v>
      </c>
      <c r="J468" s="2">
        <v>4.55</v>
      </c>
      <c r="K468" s="2" t="str">
        <f t="shared" si="22"/>
        <v>&lt; 5kg</v>
      </c>
      <c r="L468" s="2">
        <f>tdata[[#This Row],[Received_date]]-tdata[[#This Row],[Shipment_Date]]</f>
        <v>7</v>
      </c>
      <c r="M468" s="2">
        <f>VLOOKUP(tdata[[#This Row],[Service_Type]],Table2[#All],2,0)</f>
        <v>1</v>
      </c>
      <c r="N468" s="2" t="str">
        <f>IF(tdata[[#This Row],[Delivery_Days]]&lt;=tdata[[#This Row],[SLA_Days]],"On Time","Late")</f>
        <v>Late</v>
      </c>
      <c r="O468" s="2">
        <f>VLOOKUP(tdata[[#This Row],[Service_Type]],Table2[#All],4,0)</f>
        <v>12000</v>
      </c>
      <c r="P468" s="2">
        <f>tdata[[#This Row],[price_per_kilo]]*tdata[[#This Row],[Weight_KG]]</f>
        <v>54600</v>
      </c>
      <c r="Q468" s="2" t="str">
        <f>VLOOKUP(tdata[[#This Row],[id_employee]],temployee[#All],2,0)</f>
        <v>Oki Pramono</v>
      </c>
      <c r="R468" s="2" t="str">
        <f>VLOOKUP(tdata[[#This Row],[id_employee]],temployee[#All],4,0)</f>
        <v>internal</v>
      </c>
      <c r="S468" s="9" t="str">
        <f>VLOOKUP(tdata[[#This Row],[id_employee]],temployee[#All],5,0)</f>
        <v>driver</v>
      </c>
    </row>
    <row r="469" spans="2:19" x14ac:dyDescent="0.35">
      <c r="B469" s="8" t="s">
        <v>488</v>
      </c>
      <c r="C469" s="2" t="s">
        <v>1338</v>
      </c>
      <c r="D469" s="5">
        <v>45204</v>
      </c>
      <c r="E469" s="5">
        <f t="shared" ref="E469:E470" si="24">D469+4</f>
        <v>45208</v>
      </c>
      <c r="F469" s="2" t="s">
        <v>30</v>
      </c>
      <c r="G469" s="2" t="s">
        <v>11</v>
      </c>
      <c r="H469" s="2" t="s">
        <v>1224</v>
      </c>
      <c r="I469" s="2" t="s">
        <v>13</v>
      </c>
      <c r="J469" s="2">
        <v>7.38</v>
      </c>
      <c r="K469" s="2" t="str">
        <f t="shared" si="22"/>
        <v>&gt;5kg</v>
      </c>
      <c r="L469" s="2">
        <f>tdata[[#This Row],[Received_date]]-tdata[[#This Row],[Shipment_Date]]</f>
        <v>4</v>
      </c>
      <c r="M469" s="2">
        <f>VLOOKUP(tdata[[#This Row],[Service_Type]],Table2[#All],2,0)</f>
        <v>3</v>
      </c>
      <c r="N469" s="2" t="str">
        <f>IF(tdata[[#This Row],[Delivery_Days]]&lt;=tdata[[#This Row],[SLA_Days]],"On Time","Late")</f>
        <v>Late</v>
      </c>
      <c r="O469" s="2">
        <f>VLOOKUP(tdata[[#This Row],[Service_Type]],Table2[#All],4,0)</f>
        <v>10000</v>
      </c>
      <c r="P469" s="2">
        <f>tdata[[#This Row],[price_per_kilo]]*tdata[[#This Row],[Weight_KG]]</f>
        <v>73800</v>
      </c>
      <c r="Q469" s="2" t="str">
        <f>VLOOKUP(tdata[[#This Row],[id_employee]],temployee[#All],2,0)</f>
        <v>Putra Mahendra</v>
      </c>
      <c r="R469" s="2" t="str">
        <f>VLOOKUP(tdata[[#This Row],[id_employee]],temployee[#All],4,0)</f>
        <v>crowd source</v>
      </c>
      <c r="S469" s="9" t="str">
        <f>VLOOKUP(tdata[[#This Row],[id_employee]],temployee[#All],5,0)</f>
        <v>rider</v>
      </c>
    </row>
    <row r="470" spans="2:19" x14ac:dyDescent="0.35">
      <c r="B470" s="8" t="s">
        <v>489</v>
      </c>
      <c r="C470" s="2" t="s">
        <v>1339</v>
      </c>
      <c r="D470" s="5">
        <v>45152</v>
      </c>
      <c r="E470" s="5">
        <f t="shared" si="24"/>
        <v>45156</v>
      </c>
      <c r="F470" s="2" t="s">
        <v>32</v>
      </c>
      <c r="G470" s="2" t="s">
        <v>12</v>
      </c>
      <c r="H470" s="2" t="s">
        <v>1224</v>
      </c>
      <c r="I470" s="2" t="s">
        <v>17</v>
      </c>
      <c r="J470" s="2">
        <v>8.11</v>
      </c>
      <c r="K470" s="2" t="str">
        <f t="shared" si="22"/>
        <v>&gt;5kg</v>
      </c>
      <c r="L470" s="2">
        <f>tdata[[#This Row],[Received_date]]-tdata[[#This Row],[Shipment_Date]]</f>
        <v>4</v>
      </c>
      <c r="M470" s="2">
        <f>VLOOKUP(tdata[[#This Row],[Service_Type]],Table2[#All],2,0)</f>
        <v>3</v>
      </c>
      <c r="N470" s="2" t="str">
        <f>IF(tdata[[#This Row],[Delivery_Days]]&lt;=tdata[[#This Row],[SLA_Days]],"On Time","Late")</f>
        <v>Late</v>
      </c>
      <c r="O470" s="2">
        <f>VLOOKUP(tdata[[#This Row],[Service_Type]],Table2[#All],4,0)</f>
        <v>10000</v>
      </c>
      <c r="P470" s="2">
        <f>tdata[[#This Row],[price_per_kilo]]*tdata[[#This Row],[Weight_KG]]</f>
        <v>81100</v>
      </c>
      <c r="Q470" s="2" t="str">
        <f>VLOOKUP(tdata[[#This Row],[id_employee]],temployee[#All],2,0)</f>
        <v>Qolbi Ramadhani</v>
      </c>
      <c r="R470" s="2" t="str">
        <f>VLOOKUP(tdata[[#This Row],[id_employee]],temployee[#All],4,0)</f>
        <v>internal</v>
      </c>
      <c r="S470" s="9" t="str">
        <f>VLOOKUP(tdata[[#This Row],[id_employee]],temployee[#All],5,0)</f>
        <v>rider</v>
      </c>
    </row>
    <row r="471" spans="2:19" x14ac:dyDescent="0.35">
      <c r="B471" s="8" t="s">
        <v>490</v>
      </c>
      <c r="C471" s="2" t="s">
        <v>1340</v>
      </c>
      <c r="D471" s="5">
        <v>45536</v>
      </c>
      <c r="E471" s="5">
        <v>45538</v>
      </c>
      <c r="F471" s="2" t="s">
        <v>16</v>
      </c>
      <c r="G471" s="2" t="s">
        <v>22</v>
      </c>
      <c r="H471" s="2" t="s">
        <v>23</v>
      </c>
      <c r="I471" s="2" t="s">
        <v>17</v>
      </c>
      <c r="J471" s="2">
        <v>9.06</v>
      </c>
      <c r="K471" s="2" t="str">
        <f t="shared" si="22"/>
        <v>&gt;5kg</v>
      </c>
      <c r="L471" s="2">
        <f>tdata[[#This Row],[Received_date]]-tdata[[#This Row],[Shipment_Date]]</f>
        <v>2</v>
      </c>
      <c r="M471" s="2">
        <f>VLOOKUP(tdata[[#This Row],[Service_Type]],Table2[#All],2,0)</f>
        <v>5</v>
      </c>
      <c r="N471" s="2" t="str">
        <f>IF(tdata[[#This Row],[Delivery_Days]]&lt;=tdata[[#This Row],[SLA_Days]],"On Time","Late")</f>
        <v>On Time</v>
      </c>
      <c r="O471" s="2">
        <f>VLOOKUP(tdata[[#This Row],[Service_Type]],Table2[#All],4,0)</f>
        <v>9000</v>
      </c>
      <c r="P471" s="2">
        <f>tdata[[#This Row],[price_per_kilo]]*tdata[[#This Row],[Weight_KG]]</f>
        <v>81540</v>
      </c>
      <c r="Q471" s="2" t="str">
        <f>VLOOKUP(tdata[[#This Row],[id_employee]],temployee[#All],2,0)</f>
        <v>Reza Firmansyah</v>
      </c>
      <c r="R471" s="2" t="str">
        <f>VLOOKUP(tdata[[#This Row],[id_employee]],temployee[#All],4,0)</f>
        <v>crowd source</v>
      </c>
      <c r="S471" s="9" t="str">
        <f>VLOOKUP(tdata[[#This Row],[id_employee]],temployee[#All],5,0)</f>
        <v>driver</v>
      </c>
    </row>
    <row r="472" spans="2:19" x14ac:dyDescent="0.35">
      <c r="B472" s="8" t="s">
        <v>491</v>
      </c>
      <c r="C472" s="2" t="s">
        <v>1341</v>
      </c>
      <c r="D472" s="5">
        <v>45402</v>
      </c>
      <c r="E472" s="5">
        <f>D472+4</f>
        <v>45406</v>
      </c>
      <c r="F472" s="2" t="s">
        <v>26</v>
      </c>
      <c r="G472" s="2" t="s">
        <v>11</v>
      </c>
      <c r="H472" s="2" t="s">
        <v>1224</v>
      </c>
      <c r="I472" s="2" t="s">
        <v>13</v>
      </c>
      <c r="J472" s="2">
        <v>8.0399999999999991</v>
      </c>
      <c r="K472" s="2" t="str">
        <f t="shared" si="22"/>
        <v>&gt;5kg</v>
      </c>
      <c r="L472" s="2">
        <f>tdata[[#This Row],[Received_date]]-tdata[[#This Row],[Shipment_Date]]</f>
        <v>4</v>
      </c>
      <c r="M472" s="2">
        <f>VLOOKUP(tdata[[#This Row],[Service_Type]],Table2[#All],2,0)</f>
        <v>3</v>
      </c>
      <c r="N472" s="2" t="str">
        <f>IF(tdata[[#This Row],[Delivery_Days]]&lt;=tdata[[#This Row],[SLA_Days]],"On Time","Late")</f>
        <v>Late</v>
      </c>
      <c r="O472" s="2">
        <f>VLOOKUP(tdata[[#This Row],[Service_Type]],Table2[#All],4,0)</f>
        <v>10000</v>
      </c>
      <c r="P472" s="2">
        <f>tdata[[#This Row],[price_per_kilo]]*tdata[[#This Row],[Weight_KG]]</f>
        <v>80399.999999999985</v>
      </c>
      <c r="Q472" s="2" t="str">
        <f>VLOOKUP(tdata[[#This Row],[id_employee]],temployee[#All],2,0)</f>
        <v>Siska Amelia</v>
      </c>
      <c r="R472" s="2" t="str">
        <f>VLOOKUP(tdata[[#This Row],[id_employee]],temployee[#All],4,0)</f>
        <v>internal</v>
      </c>
      <c r="S472" s="9" t="str">
        <f>VLOOKUP(tdata[[#This Row],[id_employee]],temployee[#All],5,0)</f>
        <v>rider</v>
      </c>
    </row>
    <row r="473" spans="2:19" x14ac:dyDescent="0.35">
      <c r="B473" s="8" t="s">
        <v>492</v>
      </c>
      <c r="C473" s="2" t="s">
        <v>1342</v>
      </c>
      <c r="D473" s="5">
        <v>45433</v>
      </c>
      <c r="E473" s="5">
        <v>45441</v>
      </c>
      <c r="F473" s="2" t="s">
        <v>49</v>
      </c>
      <c r="G473" s="2" t="s">
        <v>32</v>
      </c>
      <c r="H473" s="2" t="s">
        <v>1223</v>
      </c>
      <c r="I473" s="2" t="s">
        <v>13</v>
      </c>
      <c r="J473" s="2">
        <v>2.58</v>
      </c>
      <c r="K473" s="2" t="str">
        <f t="shared" si="22"/>
        <v>&lt; 5kg</v>
      </c>
      <c r="L473" s="2">
        <f>tdata[[#This Row],[Received_date]]-tdata[[#This Row],[Shipment_Date]]</f>
        <v>8</v>
      </c>
      <c r="M473" s="2">
        <f>VLOOKUP(tdata[[#This Row],[Service_Type]],Table2[#All],2,0)</f>
        <v>1</v>
      </c>
      <c r="N473" s="2" t="str">
        <f>IF(tdata[[#This Row],[Delivery_Days]]&lt;=tdata[[#This Row],[SLA_Days]],"On Time","Late")</f>
        <v>Late</v>
      </c>
      <c r="O473" s="2">
        <f>VLOOKUP(tdata[[#This Row],[Service_Type]],Table2[#All],4,0)</f>
        <v>12000</v>
      </c>
      <c r="P473" s="2">
        <f>tdata[[#This Row],[price_per_kilo]]*tdata[[#This Row],[Weight_KG]]</f>
        <v>30960</v>
      </c>
      <c r="Q473" s="2" t="str">
        <f>VLOOKUP(tdata[[#This Row],[id_employee]],temployee[#All],2,0)</f>
        <v>Tri Wibowo</v>
      </c>
      <c r="R473" s="2" t="str">
        <f>VLOOKUP(tdata[[#This Row],[id_employee]],temployee[#All],4,0)</f>
        <v>internal</v>
      </c>
      <c r="S473" s="9" t="str">
        <f>VLOOKUP(tdata[[#This Row],[id_employee]],temployee[#All],5,0)</f>
        <v>driver</v>
      </c>
    </row>
    <row r="474" spans="2:19" x14ac:dyDescent="0.35">
      <c r="B474" s="8" t="s">
        <v>493</v>
      </c>
      <c r="C474" s="2" t="s">
        <v>1343</v>
      </c>
      <c r="D474" s="5">
        <v>45037</v>
      </c>
      <c r="E474" s="5">
        <v>45045</v>
      </c>
      <c r="F474" s="2" t="s">
        <v>11</v>
      </c>
      <c r="G474" s="2" t="s">
        <v>49</v>
      </c>
      <c r="H474" s="2" t="s">
        <v>23</v>
      </c>
      <c r="I474" s="2" t="s">
        <v>17</v>
      </c>
      <c r="J474" s="2">
        <v>3.42</v>
      </c>
      <c r="K474" s="2" t="str">
        <f t="shared" si="22"/>
        <v>&lt; 5kg</v>
      </c>
      <c r="L474" s="2">
        <f>tdata[[#This Row],[Received_date]]-tdata[[#This Row],[Shipment_Date]]</f>
        <v>8</v>
      </c>
      <c r="M474" s="2">
        <f>VLOOKUP(tdata[[#This Row],[Service_Type]],Table2[#All],2,0)</f>
        <v>5</v>
      </c>
      <c r="N474" s="2" t="str">
        <f>IF(tdata[[#This Row],[Delivery_Days]]&lt;=tdata[[#This Row],[SLA_Days]],"On Time","Late")</f>
        <v>Late</v>
      </c>
      <c r="O474" s="2">
        <f>VLOOKUP(tdata[[#This Row],[Service_Type]],Table2[#All],4,0)</f>
        <v>9000</v>
      </c>
      <c r="P474" s="2">
        <f>tdata[[#This Row],[price_per_kilo]]*tdata[[#This Row],[Weight_KG]]</f>
        <v>30780</v>
      </c>
      <c r="Q474" s="2" t="str">
        <f>VLOOKUP(tdata[[#This Row],[id_employee]],temployee[#All],2,0)</f>
        <v>Ubay Prakoso</v>
      </c>
      <c r="R474" s="2" t="str">
        <f>VLOOKUP(tdata[[#This Row],[id_employee]],temployee[#All],4,0)</f>
        <v>crowd source</v>
      </c>
      <c r="S474" s="9" t="str">
        <f>VLOOKUP(tdata[[#This Row],[id_employee]],temployee[#All],5,0)</f>
        <v>rider</v>
      </c>
    </row>
    <row r="475" spans="2:19" x14ac:dyDescent="0.35">
      <c r="B475" s="8" t="s">
        <v>494</v>
      </c>
      <c r="C475" s="2" t="s">
        <v>1344</v>
      </c>
      <c r="D475" s="5">
        <v>45415</v>
      </c>
      <c r="E475" s="5">
        <f>D475+4</f>
        <v>45419</v>
      </c>
      <c r="F475" s="2" t="s">
        <v>15</v>
      </c>
      <c r="G475" s="2" t="s">
        <v>11</v>
      </c>
      <c r="H475" s="2" t="s">
        <v>1224</v>
      </c>
      <c r="I475" s="2" t="s">
        <v>13</v>
      </c>
      <c r="J475" s="2">
        <v>7.85</v>
      </c>
      <c r="K475" s="2" t="str">
        <f t="shared" si="22"/>
        <v>&gt;5kg</v>
      </c>
      <c r="L475" s="2">
        <f>tdata[[#This Row],[Received_date]]-tdata[[#This Row],[Shipment_Date]]</f>
        <v>4</v>
      </c>
      <c r="M475" s="2">
        <f>VLOOKUP(tdata[[#This Row],[Service_Type]],Table2[#All],2,0)</f>
        <v>3</v>
      </c>
      <c r="N475" s="2" t="str">
        <f>IF(tdata[[#This Row],[Delivery_Days]]&lt;=tdata[[#This Row],[SLA_Days]],"On Time","Late")</f>
        <v>Late</v>
      </c>
      <c r="O475" s="2">
        <f>VLOOKUP(tdata[[#This Row],[Service_Type]],Table2[#All],4,0)</f>
        <v>10000</v>
      </c>
      <c r="P475" s="2">
        <f>tdata[[#This Row],[price_per_kilo]]*tdata[[#This Row],[Weight_KG]]</f>
        <v>78500</v>
      </c>
      <c r="Q475" s="2" t="str">
        <f>VLOOKUP(tdata[[#This Row],[id_employee]],temployee[#All],2,0)</f>
        <v>Vania Putri</v>
      </c>
      <c r="R475" s="2" t="str">
        <f>VLOOKUP(tdata[[#This Row],[id_employee]],temployee[#All],4,0)</f>
        <v>internal</v>
      </c>
      <c r="S475" s="9" t="str">
        <f>VLOOKUP(tdata[[#This Row],[id_employee]],temployee[#All],5,0)</f>
        <v>rider</v>
      </c>
    </row>
    <row r="476" spans="2:19" x14ac:dyDescent="0.35">
      <c r="B476" s="8" t="s">
        <v>495</v>
      </c>
      <c r="C476" s="2" t="s">
        <v>1345</v>
      </c>
      <c r="D476" s="5">
        <v>45561</v>
      </c>
      <c r="E476" s="5">
        <v>45561</v>
      </c>
      <c r="F476" s="2" t="s">
        <v>20</v>
      </c>
      <c r="G476" s="2" t="s">
        <v>15</v>
      </c>
      <c r="H476" s="2" t="s">
        <v>1223</v>
      </c>
      <c r="I476" s="2" t="s">
        <v>13</v>
      </c>
      <c r="J476" s="2">
        <v>4.2699999999999996</v>
      </c>
      <c r="K476" s="2" t="str">
        <f t="shared" si="22"/>
        <v>&lt; 5kg</v>
      </c>
      <c r="L476" s="2">
        <f>tdata[[#This Row],[Received_date]]-tdata[[#This Row],[Shipment_Date]]</f>
        <v>0</v>
      </c>
      <c r="M476" s="2">
        <f>VLOOKUP(tdata[[#This Row],[Service_Type]],Table2[#All],2,0)</f>
        <v>1</v>
      </c>
      <c r="N476" s="2" t="str">
        <f>IF(tdata[[#This Row],[Delivery_Days]]&lt;=tdata[[#This Row],[SLA_Days]],"On Time","Late")</f>
        <v>On Time</v>
      </c>
      <c r="O476" s="2">
        <f>VLOOKUP(tdata[[#This Row],[Service_Type]],Table2[#All],4,0)</f>
        <v>12000</v>
      </c>
      <c r="P476" s="2">
        <f>tdata[[#This Row],[price_per_kilo]]*tdata[[#This Row],[Weight_KG]]</f>
        <v>51239.999999999993</v>
      </c>
      <c r="Q476" s="2" t="str">
        <f>VLOOKUP(tdata[[#This Row],[id_employee]],temployee[#All],2,0)</f>
        <v>Wira Nugraha</v>
      </c>
      <c r="R476" s="2" t="str">
        <f>VLOOKUP(tdata[[#This Row],[id_employee]],temployee[#All],4,0)</f>
        <v>internal</v>
      </c>
      <c r="S476" s="9" t="str">
        <f>VLOOKUP(tdata[[#This Row],[id_employee]],temployee[#All],5,0)</f>
        <v>driver</v>
      </c>
    </row>
    <row r="477" spans="2:19" x14ac:dyDescent="0.35">
      <c r="B477" s="8" t="s">
        <v>496</v>
      </c>
      <c r="C477" s="2" t="s">
        <v>1346</v>
      </c>
      <c r="D477" s="5">
        <v>45165</v>
      </c>
      <c r="E477" s="5">
        <v>45173</v>
      </c>
      <c r="F477" s="2" t="s">
        <v>22</v>
      </c>
      <c r="G477" s="2" t="s">
        <v>49</v>
      </c>
      <c r="H477" s="2" t="s">
        <v>1224</v>
      </c>
      <c r="I477" s="2" t="s">
        <v>13</v>
      </c>
      <c r="J477" s="2">
        <v>2.11</v>
      </c>
      <c r="K477" s="2" t="str">
        <f t="shared" si="22"/>
        <v>&lt; 5kg</v>
      </c>
      <c r="L477" s="2">
        <f>tdata[[#This Row],[Received_date]]-tdata[[#This Row],[Shipment_Date]]</f>
        <v>8</v>
      </c>
      <c r="M477" s="2">
        <f>VLOOKUP(tdata[[#This Row],[Service_Type]],Table2[#All],2,0)</f>
        <v>3</v>
      </c>
      <c r="N477" s="2" t="str">
        <f>IF(tdata[[#This Row],[Delivery_Days]]&lt;=tdata[[#This Row],[SLA_Days]],"On Time","Late")</f>
        <v>Late</v>
      </c>
      <c r="O477" s="2">
        <f>VLOOKUP(tdata[[#This Row],[Service_Type]],Table2[#All],4,0)</f>
        <v>10000</v>
      </c>
      <c r="P477" s="2">
        <f>tdata[[#This Row],[price_per_kilo]]*tdata[[#This Row],[Weight_KG]]</f>
        <v>21100</v>
      </c>
      <c r="Q477" s="2" t="str">
        <f>VLOOKUP(tdata[[#This Row],[id_employee]],temployee[#All],2,0)</f>
        <v>Xaverius Adi</v>
      </c>
      <c r="R477" s="2" t="str">
        <f>VLOOKUP(tdata[[#This Row],[id_employee]],temployee[#All],4,0)</f>
        <v>crowd source</v>
      </c>
      <c r="S477" s="9" t="str">
        <f>VLOOKUP(tdata[[#This Row],[id_employee]],temployee[#All],5,0)</f>
        <v>driver</v>
      </c>
    </row>
    <row r="478" spans="2:19" x14ac:dyDescent="0.35">
      <c r="B478" s="8" t="s">
        <v>497</v>
      </c>
      <c r="C478" s="2" t="s">
        <v>1347</v>
      </c>
      <c r="D478" s="5">
        <v>45243</v>
      </c>
      <c r="E478" s="5">
        <v>45252</v>
      </c>
      <c r="F478" s="2" t="s">
        <v>12</v>
      </c>
      <c r="G478" s="2" t="s">
        <v>22</v>
      </c>
      <c r="H478" s="2" t="s">
        <v>23</v>
      </c>
      <c r="I478" s="2" t="s">
        <v>13</v>
      </c>
      <c r="J478" s="2">
        <v>7.89</v>
      </c>
      <c r="K478" s="2" t="str">
        <f t="shared" si="22"/>
        <v>&gt;5kg</v>
      </c>
      <c r="L478" s="2">
        <f>tdata[[#This Row],[Received_date]]-tdata[[#This Row],[Shipment_Date]]</f>
        <v>9</v>
      </c>
      <c r="M478" s="2">
        <f>VLOOKUP(tdata[[#This Row],[Service_Type]],Table2[#All],2,0)</f>
        <v>5</v>
      </c>
      <c r="N478" s="2" t="str">
        <f>IF(tdata[[#This Row],[Delivery_Days]]&lt;=tdata[[#This Row],[SLA_Days]],"On Time","Late")</f>
        <v>Late</v>
      </c>
      <c r="O478" s="2">
        <f>VLOOKUP(tdata[[#This Row],[Service_Type]],Table2[#All],4,0)</f>
        <v>9000</v>
      </c>
      <c r="P478" s="2">
        <f>tdata[[#This Row],[price_per_kilo]]*tdata[[#This Row],[Weight_KG]]</f>
        <v>71010</v>
      </c>
      <c r="Q478" s="2" t="str">
        <f>VLOOKUP(tdata[[#This Row],[id_employee]],temployee[#All],2,0)</f>
        <v>Yuliana Kartini</v>
      </c>
      <c r="R478" s="2" t="str">
        <f>VLOOKUP(tdata[[#This Row],[id_employee]],temployee[#All],4,0)</f>
        <v>internal</v>
      </c>
      <c r="S478" s="9" t="str">
        <f>VLOOKUP(tdata[[#This Row],[id_employee]],temployee[#All],5,0)</f>
        <v>rider</v>
      </c>
    </row>
    <row r="479" spans="2:19" x14ac:dyDescent="0.35">
      <c r="B479" s="8" t="s">
        <v>498</v>
      </c>
      <c r="C479" s="2" t="s">
        <v>1348</v>
      </c>
      <c r="D479" s="5">
        <v>44958</v>
      </c>
      <c r="E479" s="5">
        <f>D479+4</f>
        <v>44962</v>
      </c>
      <c r="F479" s="2" t="s">
        <v>30</v>
      </c>
      <c r="G479" s="2" t="s">
        <v>15</v>
      </c>
      <c r="H479" s="2" t="s">
        <v>1224</v>
      </c>
      <c r="I479" s="2" t="s">
        <v>13</v>
      </c>
      <c r="J479" s="2">
        <v>6.99</v>
      </c>
      <c r="K479" s="2" t="str">
        <f t="shared" si="22"/>
        <v>&gt;5kg</v>
      </c>
      <c r="L479" s="2">
        <f>tdata[[#This Row],[Received_date]]-tdata[[#This Row],[Shipment_Date]]</f>
        <v>4</v>
      </c>
      <c r="M479" s="2">
        <f>VLOOKUP(tdata[[#This Row],[Service_Type]],Table2[#All],2,0)</f>
        <v>3</v>
      </c>
      <c r="N479" s="2" t="str">
        <f>IF(tdata[[#This Row],[Delivery_Days]]&lt;=tdata[[#This Row],[SLA_Days]],"On Time","Late")</f>
        <v>Late</v>
      </c>
      <c r="O479" s="2">
        <f>VLOOKUP(tdata[[#This Row],[Service_Type]],Table2[#All],4,0)</f>
        <v>10000</v>
      </c>
      <c r="P479" s="2">
        <f>tdata[[#This Row],[price_per_kilo]]*tdata[[#This Row],[Weight_KG]]</f>
        <v>69900</v>
      </c>
      <c r="Q479" s="2" t="str">
        <f>VLOOKUP(tdata[[#This Row],[id_employee]],temployee[#All],2,0)</f>
        <v>Zaki Alamsyah</v>
      </c>
      <c r="R479" s="2" t="str">
        <f>VLOOKUP(tdata[[#This Row],[id_employee]],temployee[#All],4,0)</f>
        <v>internal</v>
      </c>
      <c r="S479" s="9" t="str">
        <f>VLOOKUP(tdata[[#This Row],[id_employee]],temployee[#All],5,0)</f>
        <v>rider</v>
      </c>
    </row>
    <row r="480" spans="2:19" x14ac:dyDescent="0.35">
      <c r="B480" s="8" t="s">
        <v>499</v>
      </c>
      <c r="C480" s="2" t="s">
        <v>1349</v>
      </c>
      <c r="D480" s="5">
        <v>45300</v>
      </c>
      <c r="E480" s="5">
        <v>45309</v>
      </c>
      <c r="F480" s="2" t="s">
        <v>32</v>
      </c>
      <c r="G480" s="2" t="s">
        <v>20</v>
      </c>
      <c r="H480" s="2" t="s">
        <v>1224</v>
      </c>
      <c r="I480" s="2" t="s">
        <v>13</v>
      </c>
      <c r="J480" s="2">
        <v>9.64</v>
      </c>
      <c r="K480" s="2" t="str">
        <f t="shared" si="22"/>
        <v>&gt;5kg</v>
      </c>
      <c r="L480" s="2">
        <f>tdata[[#This Row],[Received_date]]-tdata[[#This Row],[Shipment_Date]]</f>
        <v>9</v>
      </c>
      <c r="M480" s="2">
        <f>VLOOKUP(tdata[[#This Row],[Service_Type]],Table2[#All],2,0)</f>
        <v>3</v>
      </c>
      <c r="N480" s="2" t="str">
        <f>IF(tdata[[#This Row],[Delivery_Days]]&lt;=tdata[[#This Row],[SLA_Days]],"On Time","Late")</f>
        <v>Late</v>
      </c>
      <c r="O480" s="2">
        <f>VLOOKUP(tdata[[#This Row],[Service_Type]],Table2[#All],4,0)</f>
        <v>10000</v>
      </c>
      <c r="P480" s="2">
        <f>tdata[[#This Row],[price_per_kilo]]*tdata[[#This Row],[Weight_KG]]</f>
        <v>96400</v>
      </c>
      <c r="Q480" s="2" t="str">
        <f>VLOOKUP(tdata[[#This Row],[id_employee]],temployee[#All],2,0)</f>
        <v>Arief Setyawan</v>
      </c>
      <c r="R480" s="2" t="str">
        <f>VLOOKUP(tdata[[#This Row],[id_employee]],temployee[#All],4,0)</f>
        <v>crowd source</v>
      </c>
      <c r="S480" s="9" t="str">
        <f>VLOOKUP(tdata[[#This Row],[id_employee]],temployee[#All],5,0)</f>
        <v>driver</v>
      </c>
    </row>
    <row r="481" spans="2:19" x14ac:dyDescent="0.35">
      <c r="B481" s="8" t="s">
        <v>500</v>
      </c>
      <c r="C481" s="2" t="s">
        <v>1350</v>
      </c>
      <c r="D481" s="5">
        <v>45352</v>
      </c>
      <c r="E481" s="5">
        <v>45354</v>
      </c>
      <c r="F481" s="2" t="s">
        <v>16</v>
      </c>
      <c r="G481" s="2" t="s">
        <v>16</v>
      </c>
      <c r="H481" s="2" t="s">
        <v>1224</v>
      </c>
      <c r="I481" s="2" t="s">
        <v>17</v>
      </c>
      <c r="J481" s="2">
        <v>1.51</v>
      </c>
      <c r="K481" s="2" t="str">
        <f t="shared" si="22"/>
        <v>&lt; 5kg</v>
      </c>
      <c r="L481" s="2">
        <f>tdata[[#This Row],[Received_date]]-tdata[[#This Row],[Shipment_Date]]</f>
        <v>2</v>
      </c>
      <c r="M481" s="2">
        <f>VLOOKUP(tdata[[#This Row],[Service_Type]],Table2[#All],2,0)</f>
        <v>3</v>
      </c>
      <c r="N481" s="2" t="str">
        <f>IF(tdata[[#This Row],[Delivery_Days]]&lt;=tdata[[#This Row],[SLA_Days]],"On Time","Late")</f>
        <v>On Time</v>
      </c>
      <c r="O481" s="2">
        <f>VLOOKUP(tdata[[#This Row],[Service_Type]],Table2[#All],4,0)</f>
        <v>10000</v>
      </c>
      <c r="P481" s="2">
        <f>tdata[[#This Row],[price_per_kilo]]*tdata[[#This Row],[Weight_KG]]</f>
        <v>15100</v>
      </c>
      <c r="Q481" s="2" t="str">
        <f>VLOOKUP(tdata[[#This Row],[id_employee]],temployee[#All],2,0)</f>
        <v>Bunga Cahyani</v>
      </c>
      <c r="R481" s="2" t="str">
        <f>VLOOKUP(tdata[[#This Row],[id_employee]],temployee[#All],4,0)</f>
        <v>internal</v>
      </c>
      <c r="S481" s="9" t="str">
        <f>VLOOKUP(tdata[[#This Row],[id_employee]],temployee[#All],5,0)</f>
        <v>rider</v>
      </c>
    </row>
    <row r="482" spans="2:19" x14ac:dyDescent="0.35">
      <c r="B482" s="8" t="s">
        <v>501</v>
      </c>
      <c r="C482" s="2" t="s">
        <v>1351</v>
      </c>
      <c r="D482" s="5">
        <v>45522</v>
      </c>
      <c r="E482" s="5">
        <v>45528</v>
      </c>
      <c r="F482" s="2" t="s">
        <v>26</v>
      </c>
      <c r="G482" s="2" t="s">
        <v>49</v>
      </c>
      <c r="H482" s="2" t="s">
        <v>23</v>
      </c>
      <c r="I482" s="2" t="s">
        <v>13</v>
      </c>
      <c r="J482" s="2">
        <v>2.4500000000000002</v>
      </c>
      <c r="K482" s="2" t="str">
        <f t="shared" si="22"/>
        <v>&lt; 5kg</v>
      </c>
      <c r="L482" s="2">
        <f>tdata[[#This Row],[Received_date]]-tdata[[#This Row],[Shipment_Date]]</f>
        <v>6</v>
      </c>
      <c r="M482" s="2">
        <f>VLOOKUP(tdata[[#This Row],[Service_Type]],Table2[#All],2,0)</f>
        <v>5</v>
      </c>
      <c r="N482" s="2" t="str">
        <f>IF(tdata[[#This Row],[Delivery_Days]]&lt;=tdata[[#This Row],[SLA_Days]],"On Time","Late")</f>
        <v>Late</v>
      </c>
      <c r="O482" s="2">
        <f>VLOOKUP(tdata[[#This Row],[Service_Type]],Table2[#All],4,0)</f>
        <v>9000</v>
      </c>
      <c r="P482" s="2">
        <f>tdata[[#This Row],[price_per_kilo]]*tdata[[#This Row],[Weight_KG]]</f>
        <v>22050</v>
      </c>
      <c r="Q482" s="2" t="str">
        <f>VLOOKUP(tdata[[#This Row],[id_employee]],temployee[#All],2,0)</f>
        <v>Cahyo Prabowo</v>
      </c>
      <c r="R482" s="2" t="str">
        <f>VLOOKUP(tdata[[#This Row],[id_employee]],temployee[#All],4,0)</f>
        <v>internal</v>
      </c>
      <c r="S482" s="9" t="str">
        <f>VLOOKUP(tdata[[#This Row],[id_employee]],temployee[#All],5,0)</f>
        <v>driver</v>
      </c>
    </row>
    <row r="483" spans="2:19" x14ac:dyDescent="0.35">
      <c r="B483" s="8" t="s">
        <v>502</v>
      </c>
      <c r="C483" s="2" t="s">
        <v>1352</v>
      </c>
      <c r="D483" s="5">
        <v>45517</v>
      </c>
      <c r="E483" s="5">
        <v>45521</v>
      </c>
      <c r="F483" s="2" t="s">
        <v>49</v>
      </c>
      <c r="G483" s="2" t="s">
        <v>49</v>
      </c>
      <c r="H483" s="2" t="s">
        <v>1224</v>
      </c>
      <c r="I483" s="2" t="s">
        <v>13</v>
      </c>
      <c r="J483" s="2">
        <v>10.32</v>
      </c>
      <c r="K483" s="2" t="str">
        <f t="shared" si="22"/>
        <v>&gt;5kg</v>
      </c>
      <c r="L483" s="2">
        <f>tdata[[#This Row],[Received_date]]-tdata[[#This Row],[Shipment_Date]]</f>
        <v>4</v>
      </c>
      <c r="M483" s="2">
        <f>VLOOKUP(tdata[[#This Row],[Service_Type]],Table2[#All],2,0)</f>
        <v>3</v>
      </c>
      <c r="N483" s="2" t="str">
        <f>IF(tdata[[#This Row],[Delivery_Days]]&lt;=tdata[[#This Row],[SLA_Days]],"On Time","Late")</f>
        <v>Late</v>
      </c>
      <c r="O483" s="2">
        <f>VLOOKUP(tdata[[#This Row],[Service_Type]],Table2[#All],4,0)</f>
        <v>10000</v>
      </c>
      <c r="P483" s="2">
        <f>tdata[[#This Row],[price_per_kilo]]*tdata[[#This Row],[Weight_KG]]</f>
        <v>103200</v>
      </c>
      <c r="Q483" s="2" t="str">
        <f>VLOOKUP(tdata[[#This Row],[id_employee]],temployee[#All],2,0)</f>
        <v>Diah Permata</v>
      </c>
      <c r="R483" s="2" t="str">
        <f>VLOOKUP(tdata[[#This Row],[id_employee]],temployee[#All],4,0)</f>
        <v>crowd source</v>
      </c>
      <c r="S483" s="9" t="str">
        <f>VLOOKUP(tdata[[#This Row],[id_employee]],temployee[#All],5,0)</f>
        <v>rider</v>
      </c>
    </row>
    <row r="484" spans="2:19" x14ac:dyDescent="0.35">
      <c r="B484" s="8" t="s">
        <v>503</v>
      </c>
      <c r="C484" s="2" t="s">
        <v>1353</v>
      </c>
      <c r="D484" s="5">
        <v>45591</v>
      </c>
      <c r="E484" s="5">
        <v>45596</v>
      </c>
      <c r="F484" s="2" t="s">
        <v>11</v>
      </c>
      <c r="G484" s="2" t="s">
        <v>22</v>
      </c>
      <c r="H484" s="2" t="s">
        <v>1223</v>
      </c>
      <c r="I484" s="2" t="s">
        <v>13</v>
      </c>
      <c r="J484" s="2">
        <v>5.2</v>
      </c>
      <c r="K484" s="2" t="str">
        <f t="shared" si="22"/>
        <v>&gt;5kg</v>
      </c>
      <c r="L484" s="2">
        <f>tdata[[#This Row],[Received_date]]-tdata[[#This Row],[Shipment_Date]]</f>
        <v>5</v>
      </c>
      <c r="M484" s="2">
        <f>VLOOKUP(tdata[[#This Row],[Service_Type]],Table2[#All],2,0)</f>
        <v>1</v>
      </c>
      <c r="N484" s="2" t="str">
        <f>IF(tdata[[#This Row],[Delivery_Days]]&lt;=tdata[[#This Row],[SLA_Days]],"On Time","Late")</f>
        <v>Late</v>
      </c>
      <c r="O484" s="2">
        <f>VLOOKUP(tdata[[#This Row],[Service_Type]],Table2[#All],4,0)</f>
        <v>12000</v>
      </c>
      <c r="P484" s="2">
        <f>tdata[[#This Row],[price_per_kilo]]*tdata[[#This Row],[Weight_KG]]</f>
        <v>62400</v>
      </c>
      <c r="Q484" s="2" t="str">
        <f>VLOOKUP(tdata[[#This Row],[id_employee]],temployee[#All],2,0)</f>
        <v>Evania Putri</v>
      </c>
      <c r="R484" s="2" t="str">
        <f>VLOOKUP(tdata[[#This Row],[id_employee]],temployee[#All],4,0)</f>
        <v>internal</v>
      </c>
      <c r="S484" s="9" t="str">
        <f>VLOOKUP(tdata[[#This Row],[id_employee]],temployee[#All],5,0)</f>
        <v>rider</v>
      </c>
    </row>
    <row r="485" spans="2:19" x14ac:dyDescent="0.35">
      <c r="B485" s="8" t="s">
        <v>504</v>
      </c>
      <c r="C485" s="2" t="s">
        <v>1354</v>
      </c>
      <c r="D485" s="5">
        <v>45199</v>
      </c>
      <c r="E485" s="5">
        <v>45199</v>
      </c>
      <c r="F485" s="2" t="s">
        <v>15</v>
      </c>
      <c r="G485" s="2" t="s">
        <v>11</v>
      </c>
      <c r="H485" s="2" t="s">
        <v>1223</v>
      </c>
      <c r="I485" s="2" t="s">
        <v>13</v>
      </c>
      <c r="J485" s="2">
        <v>7.58</v>
      </c>
      <c r="K485" s="2" t="str">
        <f t="shared" si="22"/>
        <v>&gt;5kg</v>
      </c>
      <c r="L485" s="2">
        <f>tdata[[#This Row],[Received_date]]-tdata[[#This Row],[Shipment_Date]]</f>
        <v>0</v>
      </c>
      <c r="M485" s="2">
        <f>VLOOKUP(tdata[[#This Row],[Service_Type]],Table2[#All],2,0)</f>
        <v>1</v>
      </c>
      <c r="N485" s="2" t="str">
        <f>IF(tdata[[#This Row],[Delivery_Days]]&lt;=tdata[[#This Row],[SLA_Days]],"On Time","Late")</f>
        <v>On Time</v>
      </c>
      <c r="O485" s="2">
        <f>VLOOKUP(tdata[[#This Row],[Service_Type]],Table2[#All],4,0)</f>
        <v>12000</v>
      </c>
      <c r="P485" s="2">
        <f>tdata[[#This Row],[price_per_kilo]]*tdata[[#This Row],[Weight_KG]]</f>
        <v>90960</v>
      </c>
      <c r="Q485" s="2" t="str">
        <f>VLOOKUP(tdata[[#This Row],[id_employee]],temployee[#All],2,0)</f>
        <v>Fikri Ramadhan</v>
      </c>
      <c r="R485" s="2" t="str">
        <f>VLOOKUP(tdata[[#This Row],[id_employee]],temployee[#All],4,0)</f>
        <v>crowd source</v>
      </c>
      <c r="S485" s="9" t="str">
        <f>VLOOKUP(tdata[[#This Row],[id_employee]],temployee[#All],5,0)</f>
        <v>driver</v>
      </c>
    </row>
    <row r="486" spans="2:19" x14ac:dyDescent="0.35">
      <c r="B486" s="8" t="s">
        <v>505</v>
      </c>
      <c r="C486" s="2" t="s">
        <v>1355</v>
      </c>
      <c r="D486" s="5">
        <v>45477</v>
      </c>
      <c r="E486" s="5">
        <v>45478</v>
      </c>
      <c r="F486" s="2" t="s">
        <v>20</v>
      </c>
      <c r="G486" s="2" t="s">
        <v>11</v>
      </c>
      <c r="H486" s="2" t="s">
        <v>1223</v>
      </c>
      <c r="I486" s="2" t="s">
        <v>13</v>
      </c>
      <c r="J486" s="2">
        <v>4.93</v>
      </c>
      <c r="K486" s="2" t="str">
        <f t="shared" si="22"/>
        <v>&lt; 5kg</v>
      </c>
      <c r="L486" s="2">
        <f>tdata[[#This Row],[Received_date]]-tdata[[#This Row],[Shipment_Date]]</f>
        <v>1</v>
      </c>
      <c r="M486" s="2">
        <f>VLOOKUP(tdata[[#This Row],[Service_Type]],Table2[#All],2,0)</f>
        <v>1</v>
      </c>
      <c r="N486" s="2" t="str">
        <f>IF(tdata[[#This Row],[Delivery_Days]]&lt;=tdata[[#This Row],[SLA_Days]],"On Time","Late")</f>
        <v>On Time</v>
      </c>
      <c r="O486" s="2">
        <f>VLOOKUP(tdata[[#This Row],[Service_Type]],Table2[#All],4,0)</f>
        <v>12000</v>
      </c>
      <c r="P486" s="2">
        <f>tdata[[#This Row],[price_per_kilo]]*tdata[[#This Row],[Weight_KG]]</f>
        <v>59160</v>
      </c>
      <c r="Q486" s="2" t="str">
        <f>VLOOKUP(tdata[[#This Row],[id_employee]],temployee[#All],2,0)</f>
        <v>Gilang Ramli</v>
      </c>
      <c r="R486" s="2" t="str">
        <f>VLOOKUP(tdata[[#This Row],[id_employee]],temployee[#All],4,0)</f>
        <v>internal</v>
      </c>
      <c r="S486" s="9" t="str">
        <f>VLOOKUP(tdata[[#This Row],[id_employee]],temployee[#All],5,0)</f>
        <v>rider</v>
      </c>
    </row>
    <row r="487" spans="2:19" x14ac:dyDescent="0.35">
      <c r="B487" s="8" t="s">
        <v>506</v>
      </c>
      <c r="C487" s="2" t="s">
        <v>1356</v>
      </c>
      <c r="D487" s="5">
        <v>44951</v>
      </c>
      <c r="E487" s="5">
        <v>44951</v>
      </c>
      <c r="F487" s="2" t="s">
        <v>22</v>
      </c>
      <c r="G487" s="2" t="s">
        <v>20</v>
      </c>
      <c r="H487" s="2" t="s">
        <v>1224</v>
      </c>
      <c r="I487" s="2" t="s">
        <v>13</v>
      </c>
      <c r="J487" s="2">
        <v>0.91</v>
      </c>
      <c r="K487" s="2" t="str">
        <f t="shared" si="22"/>
        <v>&lt; 5kg</v>
      </c>
      <c r="L487" s="2">
        <f>tdata[[#This Row],[Received_date]]-tdata[[#This Row],[Shipment_Date]]</f>
        <v>0</v>
      </c>
      <c r="M487" s="2">
        <f>VLOOKUP(tdata[[#This Row],[Service_Type]],Table2[#All],2,0)</f>
        <v>3</v>
      </c>
      <c r="N487" s="2" t="str">
        <f>IF(tdata[[#This Row],[Delivery_Days]]&lt;=tdata[[#This Row],[SLA_Days]],"On Time","Late")</f>
        <v>On Time</v>
      </c>
      <c r="O487" s="2">
        <f>VLOOKUP(tdata[[#This Row],[Service_Type]],Table2[#All],4,0)</f>
        <v>10000</v>
      </c>
      <c r="P487" s="2">
        <f>tdata[[#This Row],[price_per_kilo]]*tdata[[#This Row],[Weight_KG]]</f>
        <v>9100</v>
      </c>
      <c r="Q487" s="2" t="str">
        <f>VLOOKUP(tdata[[#This Row],[id_employee]],temployee[#All],2,0)</f>
        <v>Hana Zahra</v>
      </c>
      <c r="R487" s="2" t="str">
        <f>VLOOKUP(tdata[[#This Row],[id_employee]],temployee[#All],4,0)</f>
        <v>internal</v>
      </c>
      <c r="S487" s="9" t="str">
        <f>VLOOKUP(tdata[[#This Row],[id_employee]],temployee[#All],5,0)</f>
        <v>rider</v>
      </c>
    </row>
    <row r="488" spans="2:19" x14ac:dyDescent="0.35">
      <c r="B488" s="8" t="s">
        <v>507</v>
      </c>
      <c r="C488" s="2" t="s">
        <v>1357</v>
      </c>
      <c r="D488" s="5">
        <v>45345</v>
      </c>
      <c r="E488" s="5">
        <v>45348</v>
      </c>
      <c r="F488" s="2" t="s">
        <v>12</v>
      </c>
      <c r="G488" s="2" t="s">
        <v>12</v>
      </c>
      <c r="H488" s="2" t="s">
        <v>1224</v>
      </c>
      <c r="I488" s="2" t="s">
        <v>17</v>
      </c>
      <c r="J488" s="2">
        <v>9.93</v>
      </c>
      <c r="K488" s="2" t="str">
        <f t="shared" si="22"/>
        <v>&gt;5kg</v>
      </c>
      <c r="L488" s="2">
        <f>tdata[[#This Row],[Received_date]]-tdata[[#This Row],[Shipment_Date]]</f>
        <v>3</v>
      </c>
      <c r="M488" s="2">
        <f>VLOOKUP(tdata[[#This Row],[Service_Type]],Table2[#All],2,0)</f>
        <v>3</v>
      </c>
      <c r="N488" s="2" t="str">
        <f>IF(tdata[[#This Row],[Delivery_Days]]&lt;=tdata[[#This Row],[SLA_Days]],"On Time","Late")</f>
        <v>On Time</v>
      </c>
      <c r="O488" s="2">
        <f>VLOOKUP(tdata[[#This Row],[Service_Type]],Table2[#All],4,0)</f>
        <v>10000</v>
      </c>
      <c r="P488" s="2">
        <f>tdata[[#This Row],[price_per_kilo]]*tdata[[#This Row],[Weight_KG]]</f>
        <v>99300</v>
      </c>
      <c r="Q488" s="2" t="str">
        <f>VLOOKUP(tdata[[#This Row],[id_employee]],temployee[#All],2,0)</f>
        <v>Irfan Maulana</v>
      </c>
      <c r="R488" s="2" t="str">
        <f>VLOOKUP(tdata[[#This Row],[id_employee]],temployee[#All],4,0)</f>
        <v>internal</v>
      </c>
      <c r="S488" s="9" t="str">
        <f>VLOOKUP(tdata[[#This Row],[id_employee]],temployee[#All],5,0)</f>
        <v>driver</v>
      </c>
    </row>
    <row r="489" spans="2:19" x14ac:dyDescent="0.35">
      <c r="B489" s="8" t="s">
        <v>508</v>
      </c>
      <c r="C489" s="2" t="s">
        <v>1358</v>
      </c>
      <c r="D489" s="5">
        <v>45439</v>
      </c>
      <c r="E489" s="5">
        <f>D489+4</f>
        <v>45443</v>
      </c>
      <c r="F489" s="2" t="s">
        <v>30</v>
      </c>
      <c r="G489" s="2" t="s">
        <v>15</v>
      </c>
      <c r="H489" s="2" t="s">
        <v>1224</v>
      </c>
      <c r="I489" s="2" t="s">
        <v>17</v>
      </c>
      <c r="J489" s="2">
        <v>8.11</v>
      </c>
      <c r="K489" s="2" t="str">
        <f t="shared" si="22"/>
        <v>&gt;5kg</v>
      </c>
      <c r="L489" s="2">
        <f>tdata[[#This Row],[Received_date]]-tdata[[#This Row],[Shipment_Date]]</f>
        <v>4</v>
      </c>
      <c r="M489" s="2">
        <f>VLOOKUP(tdata[[#This Row],[Service_Type]],Table2[#All],2,0)</f>
        <v>3</v>
      </c>
      <c r="N489" s="2" t="str">
        <f>IF(tdata[[#This Row],[Delivery_Days]]&lt;=tdata[[#This Row],[SLA_Days]],"On Time","Late")</f>
        <v>Late</v>
      </c>
      <c r="O489" s="2">
        <f>VLOOKUP(tdata[[#This Row],[Service_Type]],Table2[#All],4,0)</f>
        <v>10000</v>
      </c>
      <c r="P489" s="2">
        <f>tdata[[#This Row],[price_per_kilo]]*tdata[[#This Row],[Weight_KG]]</f>
        <v>81100</v>
      </c>
      <c r="Q489" s="2" t="str">
        <f>VLOOKUP(tdata[[#This Row],[id_employee]],temployee[#All],2,0)</f>
        <v>Jihan Salsabila</v>
      </c>
      <c r="R489" s="2" t="str">
        <f>VLOOKUP(tdata[[#This Row],[id_employee]],temployee[#All],4,0)</f>
        <v>crowd source</v>
      </c>
      <c r="S489" s="9" t="str">
        <f>VLOOKUP(tdata[[#This Row],[id_employee]],temployee[#All],5,0)</f>
        <v>rider</v>
      </c>
    </row>
    <row r="490" spans="2:19" x14ac:dyDescent="0.35">
      <c r="B490" s="8" t="s">
        <v>509</v>
      </c>
      <c r="C490" s="2" t="s">
        <v>1359</v>
      </c>
      <c r="D490" s="5">
        <v>45519</v>
      </c>
      <c r="E490" s="5">
        <v>45526</v>
      </c>
      <c r="F490" s="2" t="s">
        <v>32</v>
      </c>
      <c r="G490" s="2" t="s">
        <v>12</v>
      </c>
      <c r="H490" s="2" t="s">
        <v>1224</v>
      </c>
      <c r="I490" s="2" t="s">
        <v>17</v>
      </c>
      <c r="J490" s="2">
        <v>9.08</v>
      </c>
      <c r="K490" s="2" t="str">
        <f t="shared" si="22"/>
        <v>&gt;5kg</v>
      </c>
      <c r="L490" s="2">
        <f>tdata[[#This Row],[Received_date]]-tdata[[#This Row],[Shipment_Date]]</f>
        <v>7</v>
      </c>
      <c r="M490" s="2">
        <f>VLOOKUP(tdata[[#This Row],[Service_Type]],Table2[#All],2,0)</f>
        <v>3</v>
      </c>
      <c r="N490" s="2" t="str">
        <f>IF(tdata[[#This Row],[Delivery_Days]]&lt;=tdata[[#This Row],[SLA_Days]],"On Time","Late")</f>
        <v>Late</v>
      </c>
      <c r="O490" s="2">
        <f>VLOOKUP(tdata[[#This Row],[Service_Type]],Table2[#All],4,0)</f>
        <v>10000</v>
      </c>
      <c r="P490" s="2">
        <f>tdata[[#This Row],[price_per_kilo]]*tdata[[#This Row],[Weight_KG]]</f>
        <v>90800</v>
      </c>
      <c r="Q490" s="2" t="str">
        <f>VLOOKUP(tdata[[#This Row],[id_employee]],temployee[#All],2,0)</f>
        <v>Koko Santoso</v>
      </c>
      <c r="R490" s="2" t="str">
        <f>VLOOKUP(tdata[[#This Row],[id_employee]],temployee[#All],4,0)</f>
        <v>internal</v>
      </c>
      <c r="S490" s="9" t="str">
        <f>VLOOKUP(tdata[[#This Row],[id_employee]],temployee[#All],5,0)</f>
        <v>rider</v>
      </c>
    </row>
    <row r="491" spans="2:19" x14ac:dyDescent="0.35">
      <c r="B491" s="8" t="s">
        <v>510</v>
      </c>
      <c r="C491" s="2" t="s">
        <v>1360</v>
      </c>
      <c r="D491" s="5">
        <v>45404</v>
      </c>
      <c r="E491" s="5">
        <v>45411</v>
      </c>
      <c r="F491" s="2" t="s">
        <v>16</v>
      </c>
      <c r="G491" s="2" t="s">
        <v>12</v>
      </c>
      <c r="H491" s="2" t="s">
        <v>1224</v>
      </c>
      <c r="I491" s="2" t="s">
        <v>17</v>
      </c>
      <c r="J491" s="2">
        <v>4.01</v>
      </c>
      <c r="K491" s="2" t="str">
        <f t="shared" si="22"/>
        <v>&lt; 5kg</v>
      </c>
      <c r="L491" s="2">
        <f>tdata[[#This Row],[Received_date]]-tdata[[#This Row],[Shipment_Date]]</f>
        <v>7</v>
      </c>
      <c r="M491" s="2">
        <f>VLOOKUP(tdata[[#This Row],[Service_Type]],Table2[#All],2,0)</f>
        <v>3</v>
      </c>
      <c r="N491" s="2" t="str">
        <f>IF(tdata[[#This Row],[Delivery_Days]]&lt;=tdata[[#This Row],[SLA_Days]],"On Time","Late")</f>
        <v>Late</v>
      </c>
      <c r="O491" s="2">
        <f>VLOOKUP(tdata[[#This Row],[Service_Type]],Table2[#All],4,0)</f>
        <v>10000</v>
      </c>
      <c r="P491" s="2">
        <f>tdata[[#This Row],[price_per_kilo]]*tdata[[#This Row],[Weight_KG]]</f>
        <v>40100</v>
      </c>
      <c r="Q491" s="2" t="str">
        <f>VLOOKUP(tdata[[#This Row],[id_employee]],temployee[#All],2,0)</f>
        <v>Luthfi Hakim</v>
      </c>
      <c r="R491" s="2" t="str">
        <f>VLOOKUP(tdata[[#This Row],[id_employee]],temployee[#All],4,0)</f>
        <v>crowd source</v>
      </c>
      <c r="S491" s="9" t="str">
        <f>VLOOKUP(tdata[[#This Row],[id_employee]],temployee[#All],5,0)</f>
        <v>driver</v>
      </c>
    </row>
    <row r="492" spans="2:19" x14ac:dyDescent="0.35">
      <c r="B492" s="8" t="s">
        <v>511</v>
      </c>
      <c r="C492" s="2" t="s">
        <v>1361</v>
      </c>
      <c r="D492" s="5">
        <v>45184</v>
      </c>
      <c r="E492" s="5">
        <v>45184</v>
      </c>
      <c r="F492" s="2" t="s">
        <v>26</v>
      </c>
      <c r="G492" s="2" t="s">
        <v>15</v>
      </c>
      <c r="H492" s="2" t="s">
        <v>1223</v>
      </c>
      <c r="I492" s="2" t="s">
        <v>13</v>
      </c>
      <c r="J492" s="2">
        <v>2.7</v>
      </c>
      <c r="K492" s="2" t="str">
        <f t="shared" si="22"/>
        <v>&lt; 5kg</v>
      </c>
      <c r="L492" s="2">
        <f>tdata[[#This Row],[Received_date]]-tdata[[#This Row],[Shipment_Date]]</f>
        <v>0</v>
      </c>
      <c r="M492" s="2">
        <f>VLOOKUP(tdata[[#This Row],[Service_Type]],Table2[#All],2,0)</f>
        <v>1</v>
      </c>
      <c r="N492" s="2" t="str">
        <f>IF(tdata[[#This Row],[Delivery_Days]]&lt;=tdata[[#This Row],[SLA_Days]],"On Time","Late")</f>
        <v>On Time</v>
      </c>
      <c r="O492" s="2">
        <f>VLOOKUP(tdata[[#This Row],[Service_Type]],Table2[#All],4,0)</f>
        <v>12000</v>
      </c>
      <c r="P492" s="2">
        <f>tdata[[#This Row],[price_per_kilo]]*tdata[[#This Row],[Weight_KG]]</f>
        <v>32400.000000000004</v>
      </c>
      <c r="Q492" s="2" t="str">
        <f>VLOOKUP(tdata[[#This Row],[id_employee]],temployee[#All],2,0)</f>
        <v>Melati Anggraini</v>
      </c>
      <c r="R492" s="2" t="str">
        <f>VLOOKUP(tdata[[#This Row],[id_employee]],temployee[#All],4,0)</f>
        <v>internal</v>
      </c>
      <c r="S492" s="9" t="str">
        <f>VLOOKUP(tdata[[#This Row],[id_employee]],temployee[#All],5,0)</f>
        <v>rider</v>
      </c>
    </row>
    <row r="493" spans="2:19" x14ac:dyDescent="0.35">
      <c r="B493" s="8" t="s">
        <v>512</v>
      </c>
      <c r="C493" s="2" t="s">
        <v>1362</v>
      </c>
      <c r="D493" s="5">
        <v>45444</v>
      </c>
      <c r="E493" s="5">
        <v>45451</v>
      </c>
      <c r="F493" s="2" t="s">
        <v>49</v>
      </c>
      <c r="G493" s="2" t="s">
        <v>49</v>
      </c>
      <c r="H493" s="2" t="s">
        <v>1224</v>
      </c>
      <c r="I493" s="2" t="s">
        <v>13</v>
      </c>
      <c r="J493" s="2">
        <v>7.28</v>
      </c>
      <c r="K493" s="2" t="str">
        <f t="shared" si="22"/>
        <v>&gt;5kg</v>
      </c>
      <c r="L493" s="2">
        <f>tdata[[#This Row],[Received_date]]-tdata[[#This Row],[Shipment_Date]]</f>
        <v>7</v>
      </c>
      <c r="M493" s="2">
        <f>VLOOKUP(tdata[[#This Row],[Service_Type]],Table2[#All],2,0)</f>
        <v>3</v>
      </c>
      <c r="N493" s="2" t="str">
        <f>IF(tdata[[#This Row],[Delivery_Days]]&lt;=tdata[[#This Row],[SLA_Days]],"On Time","Late")</f>
        <v>Late</v>
      </c>
      <c r="O493" s="2">
        <f>VLOOKUP(tdata[[#This Row],[Service_Type]],Table2[#All],4,0)</f>
        <v>10000</v>
      </c>
      <c r="P493" s="2">
        <f>tdata[[#This Row],[price_per_kilo]]*tdata[[#This Row],[Weight_KG]]</f>
        <v>72800</v>
      </c>
      <c r="Q493" s="2" t="str">
        <f>VLOOKUP(tdata[[#This Row],[id_employee]],temployee[#All],2,0)</f>
        <v>Naufal Rizky</v>
      </c>
      <c r="R493" s="2" t="str">
        <f>VLOOKUP(tdata[[#This Row],[id_employee]],temployee[#All],4,0)</f>
        <v>internal</v>
      </c>
      <c r="S493" s="9" t="str">
        <f>VLOOKUP(tdata[[#This Row],[id_employee]],temployee[#All],5,0)</f>
        <v>driver</v>
      </c>
    </row>
    <row r="494" spans="2:19" x14ac:dyDescent="0.35">
      <c r="B494" s="8" t="s">
        <v>513</v>
      </c>
      <c r="C494" s="2" t="s">
        <v>1363</v>
      </c>
      <c r="D494" s="5">
        <v>45617</v>
      </c>
      <c r="E494" s="5">
        <f>D494+4</f>
        <v>45621</v>
      </c>
      <c r="F494" s="2" t="s">
        <v>11</v>
      </c>
      <c r="G494" s="2" t="s">
        <v>12</v>
      </c>
      <c r="H494" s="2" t="s">
        <v>1224</v>
      </c>
      <c r="I494" s="2" t="s">
        <v>17</v>
      </c>
      <c r="J494" s="2">
        <v>5.79</v>
      </c>
      <c r="K494" s="2" t="str">
        <f t="shared" si="22"/>
        <v>&gt;5kg</v>
      </c>
      <c r="L494" s="2">
        <f>tdata[[#This Row],[Received_date]]-tdata[[#This Row],[Shipment_Date]]</f>
        <v>4</v>
      </c>
      <c r="M494" s="2">
        <f>VLOOKUP(tdata[[#This Row],[Service_Type]],Table2[#All],2,0)</f>
        <v>3</v>
      </c>
      <c r="N494" s="2" t="str">
        <f>IF(tdata[[#This Row],[Delivery_Days]]&lt;=tdata[[#This Row],[SLA_Days]],"On Time","Late")</f>
        <v>Late</v>
      </c>
      <c r="O494" s="2">
        <f>VLOOKUP(tdata[[#This Row],[Service_Type]],Table2[#All],4,0)</f>
        <v>10000</v>
      </c>
      <c r="P494" s="2">
        <f>tdata[[#This Row],[price_per_kilo]]*tdata[[#This Row],[Weight_KG]]</f>
        <v>57900</v>
      </c>
      <c r="Q494" s="2" t="str">
        <f>VLOOKUP(tdata[[#This Row],[id_employee]],temployee[#All],2,0)</f>
        <v>Olin Febriani</v>
      </c>
      <c r="R494" s="2" t="str">
        <f>VLOOKUP(tdata[[#This Row],[id_employee]],temployee[#All],4,0)</f>
        <v>crowd source</v>
      </c>
      <c r="S494" s="9" t="str">
        <f>VLOOKUP(tdata[[#This Row],[id_employee]],temployee[#All],5,0)</f>
        <v>rider</v>
      </c>
    </row>
    <row r="495" spans="2:19" x14ac:dyDescent="0.35">
      <c r="B495" s="8" t="s">
        <v>514</v>
      </c>
      <c r="C495" s="2" t="s">
        <v>1364</v>
      </c>
      <c r="D495" s="5">
        <v>45264</v>
      </c>
      <c r="E495" s="5">
        <v>45264</v>
      </c>
      <c r="F495" s="2" t="s">
        <v>15</v>
      </c>
      <c r="G495" s="2" t="s">
        <v>11</v>
      </c>
      <c r="H495" s="2" t="s">
        <v>1223</v>
      </c>
      <c r="I495" s="2" t="s">
        <v>17</v>
      </c>
      <c r="J495" s="2">
        <v>6.35</v>
      </c>
      <c r="K495" s="2" t="str">
        <f t="shared" si="22"/>
        <v>&gt;5kg</v>
      </c>
      <c r="L495" s="2">
        <f>tdata[[#This Row],[Received_date]]-tdata[[#This Row],[Shipment_Date]]</f>
        <v>0</v>
      </c>
      <c r="M495" s="2">
        <f>VLOOKUP(tdata[[#This Row],[Service_Type]],Table2[#All],2,0)</f>
        <v>1</v>
      </c>
      <c r="N495" s="2" t="str">
        <f>IF(tdata[[#This Row],[Delivery_Days]]&lt;=tdata[[#This Row],[SLA_Days]],"On Time","Late")</f>
        <v>On Time</v>
      </c>
      <c r="O495" s="2">
        <f>VLOOKUP(tdata[[#This Row],[Service_Type]],Table2[#All],4,0)</f>
        <v>12000</v>
      </c>
      <c r="P495" s="2">
        <f>tdata[[#This Row],[price_per_kilo]]*tdata[[#This Row],[Weight_KG]]</f>
        <v>76200</v>
      </c>
      <c r="Q495" s="2" t="str">
        <f>VLOOKUP(tdata[[#This Row],[id_employee]],temployee[#All],2,0)</f>
        <v>Praditya Wicaksono</v>
      </c>
      <c r="R495" s="2" t="str">
        <f>VLOOKUP(tdata[[#This Row],[id_employee]],temployee[#All],4,0)</f>
        <v>internal</v>
      </c>
      <c r="S495" s="9" t="str">
        <f>VLOOKUP(tdata[[#This Row],[id_employee]],temployee[#All],5,0)</f>
        <v>driver</v>
      </c>
    </row>
    <row r="496" spans="2:19" x14ac:dyDescent="0.35">
      <c r="B496" s="8" t="s">
        <v>515</v>
      </c>
      <c r="C496" s="2" t="s">
        <v>1365</v>
      </c>
      <c r="D496" s="5">
        <v>45220</v>
      </c>
      <c r="E496" s="5">
        <v>45226</v>
      </c>
      <c r="F496" s="2" t="s">
        <v>20</v>
      </c>
      <c r="G496" s="2" t="s">
        <v>12</v>
      </c>
      <c r="H496" s="2" t="s">
        <v>1224</v>
      </c>
      <c r="I496" s="2" t="s">
        <v>13</v>
      </c>
      <c r="J496" s="2">
        <v>1.26</v>
      </c>
      <c r="K496" s="2" t="str">
        <f t="shared" si="22"/>
        <v>&lt; 5kg</v>
      </c>
      <c r="L496" s="2">
        <f>tdata[[#This Row],[Received_date]]-tdata[[#This Row],[Shipment_Date]]</f>
        <v>6</v>
      </c>
      <c r="M496" s="2">
        <f>VLOOKUP(tdata[[#This Row],[Service_Type]],Table2[#All],2,0)</f>
        <v>3</v>
      </c>
      <c r="N496" s="2" t="str">
        <f>IF(tdata[[#This Row],[Delivery_Days]]&lt;=tdata[[#This Row],[SLA_Days]],"On Time","Late")</f>
        <v>Late</v>
      </c>
      <c r="O496" s="2">
        <f>VLOOKUP(tdata[[#This Row],[Service_Type]],Table2[#All],4,0)</f>
        <v>10000</v>
      </c>
      <c r="P496" s="2">
        <f>tdata[[#This Row],[price_per_kilo]]*tdata[[#This Row],[Weight_KG]]</f>
        <v>12600</v>
      </c>
      <c r="Q496" s="2" t="str">
        <f>VLOOKUP(tdata[[#This Row],[id_employee]],temployee[#All],2,0)</f>
        <v>Qory Azzahra</v>
      </c>
      <c r="R496" s="2" t="str">
        <f>VLOOKUP(tdata[[#This Row],[id_employee]],temployee[#All],4,0)</f>
        <v>internal</v>
      </c>
      <c r="S496" s="9" t="str">
        <f>VLOOKUP(tdata[[#This Row],[id_employee]],temployee[#All],5,0)</f>
        <v>rider</v>
      </c>
    </row>
    <row r="497" spans="2:19" x14ac:dyDescent="0.35">
      <c r="B497" s="8" t="s">
        <v>516</v>
      </c>
      <c r="C497" s="2" t="s">
        <v>1366</v>
      </c>
      <c r="D497" s="5">
        <v>45353</v>
      </c>
      <c r="E497" s="5">
        <v>45354</v>
      </c>
      <c r="F497" s="2" t="s">
        <v>22</v>
      </c>
      <c r="G497" s="2" t="s">
        <v>11</v>
      </c>
      <c r="H497" s="2" t="s">
        <v>1224</v>
      </c>
      <c r="I497" s="2" t="s">
        <v>13</v>
      </c>
      <c r="J497" s="2">
        <v>4.8499999999999996</v>
      </c>
      <c r="K497" s="2" t="str">
        <f t="shared" si="22"/>
        <v>&lt; 5kg</v>
      </c>
      <c r="L497" s="2">
        <f>tdata[[#This Row],[Received_date]]-tdata[[#This Row],[Shipment_Date]]</f>
        <v>1</v>
      </c>
      <c r="M497" s="2">
        <f>VLOOKUP(tdata[[#This Row],[Service_Type]],Table2[#All],2,0)</f>
        <v>3</v>
      </c>
      <c r="N497" s="2" t="str">
        <f>IF(tdata[[#This Row],[Delivery_Days]]&lt;=tdata[[#This Row],[SLA_Days]],"On Time","Late")</f>
        <v>On Time</v>
      </c>
      <c r="O497" s="2">
        <f>VLOOKUP(tdata[[#This Row],[Service_Type]],Table2[#All],4,0)</f>
        <v>10000</v>
      </c>
      <c r="P497" s="2">
        <f>tdata[[#This Row],[price_per_kilo]]*tdata[[#This Row],[Weight_KG]]</f>
        <v>48500</v>
      </c>
      <c r="Q497" s="2" t="str">
        <f>VLOOKUP(tdata[[#This Row],[id_employee]],temployee[#All],2,0)</f>
        <v>Rendi Saputra</v>
      </c>
      <c r="R497" s="2" t="str">
        <f>VLOOKUP(tdata[[#This Row],[id_employee]],temployee[#All],4,0)</f>
        <v>crowd source</v>
      </c>
      <c r="S497" s="9" t="str">
        <f>VLOOKUP(tdata[[#This Row],[id_employee]],temployee[#All],5,0)</f>
        <v>driver</v>
      </c>
    </row>
    <row r="498" spans="2:19" x14ac:dyDescent="0.35">
      <c r="B498" s="8" t="s">
        <v>517</v>
      </c>
      <c r="C498" s="2" t="s">
        <v>1367</v>
      </c>
      <c r="D498" s="5">
        <v>45471</v>
      </c>
      <c r="E498" s="5">
        <v>45472</v>
      </c>
      <c r="F498" s="2" t="s">
        <v>12</v>
      </c>
      <c r="G498" s="2" t="s">
        <v>16</v>
      </c>
      <c r="H498" s="2" t="s">
        <v>1224</v>
      </c>
      <c r="I498" s="2" t="s">
        <v>13</v>
      </c>
      <c r="J498" s="2">
        <v>1.1299999999999999</v>
      </c>
      <c r="K498" s="2" t="str">
        <f t="shared" si="22"/>
        <v>&lt; 5kg</v>
      </c>
      <c r="L498" s="2">
        <f>tdata[[#This Row],[Received_date]]-tdata[[#This Row],[Shipment_Date]]</f>
        <v>1</v>
      </c>
      <c r="M498" s="2">
        <f>VLOOKUP(tdata[[#This Row],[Service_Type]],Table2[#All],2,0)</f>
        <v>3</v>
      </c>
      <c r="N498" s="2" t="str">
        <f>IF(tdata[[#This Row],[Delivery_Days]]&lt;=tdata[[#This Row],[SLA_Days]],"On Time","Late")</f>
        <v>On Time</v>
      </c>
      <c r="O498" s="2">
        <f>VLOOKUP(tdata[[#This Row],[Service_Type]],Table2[#All],4,0)</f>
        <v>10000</v>
      </c>
      <c r="P498" s="2">
        <f>tdata[[#This Row],[price_per_kilo]]*tdata[[#This Row],[Weight_KG]]</f>
        <v>11299.999999999998</v>
      </c>
      <c r="Q498" s="2" t="str">
        <f>VLOOKUP(tdata[[#This Row],[id_employee]],temployee[#All],2,0)</f>
        <v>Salma Nuraini</v>
      </c>
      <c r="R498" s="2" t="str">
        <f>VLOOKUP(tdata[[#This Row],[id_employee]],temployee[#All],4,0)</f>
        <v>internal</v>
      </c>
      <c r="S498" s="9" t="str">
        <f>VLOOKUP(tdata[[#This Row],[id_employee]],temployee[#All],5,0)</f>
        <v>rider</v>
      </c>
    </row>
    <row r="499" spans="2:19" x14ac:dyDescent="0.35">
      <c r="B499" s="8" t="s">
        <v>518</v>
      </c>
      <c r="C499" s="2" t="s">
        <v>1368</v>
      </c>
      <c r="D499" s="5">
        <v>45244</v>
      </c>
      <c r="E499" s="5">
        <v>45247</v>
      </c>
      <c r="F499" s="2" t="s">
        <v>30</v>
      </c>
      <c r="G499" s="2" t="s">
        <v>16</v>
      </c>
      <c r="H499" s="2" t="s">
        <v>1224</v>
      </c>
      <c r="I499" s="2" t="s">
        <v>13</v>
      </c>
      <c r="J499" s="2">
        <v>3.67</v>
      </c>
      <c r="K499" s="2" t="str">
        <f t="shared" si="22"/>
        <v>&lt; 5kg</v>
      </c>
      <c r="L499" s="2">
        <f>tdata[[#This Row],[Received_date]]-tdata[[#This Row],[Shipment_Date]]</f>
        <v>3</v>
      </c>
      <c r="M499" s="2">
        <f>VLOOKUP(tdata[[#This Row],[Service_Type]],Table2[#All],2,0)</f>
        <v>3</v>
      </c>
      <c r="N499" s="2" t="str">
        <f>IF(tdata[[#This Row],[Delivery_Days]]&lt;=tdata[[#This Row],[SLA_Days]],"On Time","Late")</f>
        <v>On Time</v>
      </c>
      <c r="O499" s="2">
        <f>VLOOKUP(tdata[[#This Row],[Service_Type]],Table2[#All],4,0)</f>
        <v>10000</v>
      </c>
      <c r="P499" s="2">
        <f>tdata[[#This Row],[price_per_kilo]]*tdata[[#This Row],[Weight_KG]]</f>
        <v>36700</v>
      </c>
      <c r="Q499" s="2" t="str">
        <f>VLOOKUP(tdata[[#This Row],[id_employee]],temployee[#All],2,0)</f>
        <v>Tegar Prakoso</v>
      </c>
      <c r="R499" s="2" t="str">
        <f>VLOOKUP(tdata[[#This Row],[id_employee]],temployee[#All],4,0)</f>
        <v>internal</v>
      </c>
      <c r="S499" s="9" t="str">
        <f>VLOOKUP(tdata[[#This Row],[id_employee]],temployee[#All],5,0)</f>
        <v>driver</v>
      </c>
    </row>
    <row r="500" spans="2:19" x14ac:dyDescent="0.35">
      <c r="B500" s="8" t="s">
        <v>519</v>
      </c>
      <c r="C500" s="2" t="s">
        <v>1369</v>
      </c>
      <c r="D500" s="5">
        <v>45067</v>
      </c>
      <c r="E500" s="5">
        <v>45068</v>
      </c>
      <c r="F500" s="2" t="s">
        <v>32</v>
      </c>
      <c r="G500" s="2" t="s">
        <v>11</v>
      </c>
      <c r="H500" s="2" t="s">
        <v>23</v>
      </c>
      <c r="I500" s="2" t="s">
        <v>13</v>
      </c>
      <c r="J500" s="2">
        <v>0.94</v>
      </c>
      <c r="K500" s="2" t="str">
        <f t="shared" si="22"/>
        <v>&lt; 5kg</v>
      </c>
      <c r="L500" s="2">
        <f>tdata[[#This Row],[Received_date]]-tdata[[#This Row],[Shipment_Date]]</f>
        <v>1</v>
      </c>
      <c r="M500" s="2">
        <f>VLOOKUP(tdata[[#This Row],[Service_Type]],Table2[#All],2,0)</f>
        <v>5</v>
      </c>
      <c r="N500" s="2" t="str">
        <f>IF(tdata[[#This Row],[Delivery_Days]]&lt;=tdata[[#This Row],[SLA_Days]],"On Time","Late")</f>
        <v>On Time</v>
      </c>
      <c r="O500" s="2">
        <f>VLOOKUP(tdata[[#This Row],[Service_Type]],Table2[#All],4,0)</f>
        <v>9000</v>
      </c>
      <c r="P500" s="2">
        <f>tdata[[#This Row],[price_per_kilo]]*tdata[[#This Row],[Weight_KG]]</f>
        <v>8460</v>
      </c>
      <c r="Q500" s="2" t="str">
        <f>VLOOKUP(tdata[[#This Row],[id_employee]],temployee[#All],2,0)</f>
        <v>Ulfa Khairunnisa</v>
      </c>
      <c r="R500" s="2" t="str">
        <f>VLOOKUP(tdata[[#This Row],[id_employee]],temployee[#All],4,0)</f>
        <v>crowd source</v>
      </c>
      <c r="S500" s="9" t="str">
        <f>VLOOKUP(tdata[[#This Row],[id_employee]],temployee[#All],5,0)</f>
        <v>rider</v>
      </c>
    </row>
    <row r="501" spans="2:19" x14ac:dyDescent="0.35">
      <c r="B501" s="8" t="s">
        <v>520</v>
      </c>
      <c r="C501" s="2" t="s">
        <v>1370</v>
      </c>
      <c r="D501" s="5">
        <v>44978</v>
      </c>
      <c r="E501" s="5">
        <v>44978</v>
      </c>
      <c r="F501" s="2" t="s">
        <v>16</v>
      </c>
      <c r="G501" s="2" t="s">
        <v>26</v>
      </c>
      <c r="H501" s="2" t="s">
        <v>1224</v>
      </c>
      <c r="I501" s="2" t="s">
        <v>17</v>
      </c>
      <c r="J501" s="2">
        <v>3.2</v>
      </c>
      <c r="K501" s="2" t="str">
        <f t="shared" si="22"/>
        <v>&lt; 5kg</v>
      </c>
      <c r="L501" s="2">
        <f>tdata[[#This Row],[Received_date]]-tdata[[#This Row],[Shipment_Date]]</f>
        <v>0</v>
      </c>
      <c r="M501" s="2">
        <f>VLOOKUP(tdata[[#This Row],[Service_Type]],Table2[#All],2,0)</f>
        <v>3</v>
      </c>
      <c r="N501" s="2" t="str">
        <f>IF(tdata[[#This Row],[Delivery_Days]]&lt;=tdata[[#This Row],[SLA_Days]],"On Time","Late")</f>
        <v>On Time</v>
      </c>
      <c r="O501" s="2">
        <f>VLOOKUP(tdata[[#This Row],[Service_Type]],Table2[#All],4,0)</f>
        <v>10000</v>
      </c>
      <c r="P501" s="2">
        <f>tdata[[#This Row],[price_per_kilo]]*tdata[[#This Row],[Weight_KG]]</f>
        <v>32000</v>
      </c>
      <c r="Q501" s="2" t="str">
        <f>VLOOKUP(tdata[[#This Row],[id_employee]],temployee[#All],2,0)</f>
        <v>Vito Mahendra</v>
      </c>
      <c r="R501" s="2" t="str">
        <f>VLOOKUP(tdata[[#This Row],[id_employee]],temployee[#All],4,0)</f>
        <v>internal</v>
      </c>
      <c r="S501" s="9" t="str">
        <f>VLOOKUP(tdata[[#This Row],[id_employee]],temployee[#All],5,0)</f>
        <v>rider</v>
      </c>
    </row>
    <row r="502" spans="2:19" x14ac:dyDescent="0.35">
      <c r="B502" s="8" t="s">
        <v>521</v>
      </c>
      <c r="C502" s="2" t="s">
        <v>1371</v>
      </c>
      <c r="D502" s="5">
        <v>45437</v>
      </c>
      <c r="E502" s="5">
        <v>45437</v>
      </c>
      <c r="F502" s="2" t="s">
        <v>26</v>
      </c>
      <c r="G502" s="2" t="s">
        <v>16</v>
      </c>
      <c r="H502" s="2" t="s">
        <v>1223</v>
      </c>
      <c r="I502" s="2" t="s">
        <v>13</v>
      </c>
      <c r="J502" s="2">
        <v>4.51</v>
      </c>
      <c r="K502" s="2" t="str">
        <f t="shared" si="22"/>
        <v>&lt; 5kg</v>
      </c>
      <c r="L502" s="2">
        <f>tdata[[#This Row],[Received_date]]-tdata[[#This Row],[Shipment_Date]]</f>
        <v>0</v>
      </c>
      <c r="M502" s="2">
        <f>VLOOKUP(tdata[[#This Row],[Service_Type]],Table2[#All],2,0)</f>
        <v>1</v>
      </c>
      <c r="N502" s="2" t="str">
        <f>IF(tdata[[#This Row],[Delivery_Days]]&lt;=tdata[[#This Row],[SLA_Days]],"On Time","Late")</f>
        <v>On Time</v>
      </c>
      <c r="O502" s="2">
        <f>VLOOKUP(tdata[[#This Row],[Service_Type]],Table2[#All],4,0)</f>
        <v>12000</v>
      </c>
      <c r="P502" s="2">
        <f>tdata[[#This Row],[price_per_kilo]]*tdata[[#This Row],[Weight_KG]]</f>
        <v>54120</v>
      </c>
      <c r="Q502" s="2" t="str">
        <f>VLOOKUP(tdata[[#This Row],[id_employee]],temployee[#All],2,0)</f>
        <v>Winda Sari</v>
      </c>
      <c r="R502" s="2" t="str">
        <f>VLOOKUP(tdata[[#This Row],[id_employee]],temployee[#All],4,0)</f>
        <v>internal</v>
      </c>
      <c r="S502" s="9" t="str">
        <f>VLOOKUP(tdata[[#This Row],[id_employee]],temployee[#All],5,0)</f>
        <v>rider</v>
      </c>
    </row>
    <row r="503" spans="2:19" x14ac:dyDescent="0.35">
      <c r="B503" s="8" t="s">
        <v>522</v>
      </c>
      <c r="C503" s="2" t="s">
        <v>1372</v>
      </c>
      <c r="D503" s="5">
        <v>45258</v>
      </c>
      <c r="E503" s="5">
        <v>45261</v>
      </c>
      <c r="F503" s="2" t="s">
        <v>49</v>
      </c>
      <c r="G503" s="2" t="s">
        <v>20</v>
      </c>
      <c r="H503" s="2" t="s">
        <v>1224</v>
      </c>
      <c r="I503" s="2" t="s">
        <v>13</v>
      </c>
      <c r="J503" s="2">
        <v>2.68</v>
      </c>
      <c r="K503" s="2" t="str">
        <f t="shared" si="22"/>
        <v>&lt; 5kg</v>
      </c>
      <c r="L503" s="2">
        <f>tdata[[#This Row],[Received_date]]-tdata[[#This Row],[Shipment_Date]]</f>
        <v>3</v>
      </c>
      <c r="M503" s="2">
        <f>VLOOKUP(tdata[[#This Row],[Service_Type]],Table2[#All],2,0)</f>
        <v>3</v>
      </c>
      <c r="N503" s="2" t="str">
        <f>IF(tdata[[#This Row],[Delivery_Days]]&lt;=tdata[[#This Row],[SLA_Days]],"On Time","Late")</f>
        <v>On Time</v>
      </c>
      <c r="O503" s="2">
        <f>VLOOKUP(tdata[[#This Row],[Service_Type]],Table2[#All],4,0)</f>
        <v>10000</v>
      </c>
      <c r="P503" s="2">
        <f>tdata[[#This Row],[price_per_kilo]]*tdata[[#This Row],[Weight_KG]]</f>
        <v>26800</v>
      </c>
      <c r="Q503" s="2" t="str">
        <f>VLOOKUP(tdata[[#This Row],[id_employee]],temployee[#All],2,0)</f>
        <v>Yusuf Al Ghazali</v>
      </c>
      <c r="R503" s="2" t="str">
        <f>VLOOKUP(tdata[[#This Row],[id_employee]],temployee[#All],4,0)</f>
        <v>crowd source</v>
      </c>
      <c r="S503" s="9" t="str">
        <f>VLOOKUP(tdata[[#This Row],[id_employee]],temployee[#All],5,0)</f>
        <v>driver</v>
      </c>
    </row>
    <row r="504" spans="2:19" x14ac:dyDescent="0.35">
      <c r="B504" s="8" t="s">
        <v>523</v>
      </c>
      <c r="C504" s="2" t="s">
        <v>1273</v>
      </c>
      <c r="D504" s="5">
        <v>45450</v>
      </c>
      <c r="E504" s="5">
        <v>45452</v>
      </c>
      <c r="F504" s="2" t="s">
        <v>11</v>
      </c>
      <c r="G504" s="2" t="s">
        <v>22</v>
      </c>
      <c r="H504" s="2" t="s">
        <v>1224</v>
      </c>
      <c r="I504" s="2" t="s">
        <v>13</v>
      </c>
      <c r="J504" s="2">
        <v>4.91</v>
      </c>
      <c r="K504" s="2" t="str">
        <f t="shared" si="22"/>
        <v>&lt; 5kg</v>
      </c>
      <c r="L504" s="2">
        <f>tdata[[#This Row],[Received_date]]-tdata[[#This Row],[Shipment_Date]]</f>
        <v>2</v>
      </c>
      <c r="M504" s="2">
        <f>VLOOKUP(tdata[[#This Row],[Service_Type]],Table2[#All],2,0)</f>
        <v>3</v>
      </c>
      <c r="N504" s="2" t="str">
        <f>IF(tdata[[#This Row],[Delivery_Days]]&lt;=tdata[[#This Row],[SLA_Days]],"On Time","Late")</f>
        <v>On Time</v>
      </c>
      <c r="O504" s="2">
        <f>VLOOKUP(tdata[[#This Row],[Service_Type]],Table2[#All],4,0)</f>
        <v>10000</v>
      </c>
      <c r="P504" s="2">
        <f>tdata[[#This Row],[price_per_kilo]]*tdata[[#This Row],[Weight_KG]]</f>
        <v>49100</v>
      </c>
      <c r="Q504" s="2" t="str">
        <f>VLOOKUP(tdata[[#This Row],[id_employee]],temployee[#All],2,0)</f>
        <v>Andi Pratama</v>
      </c>
      <c r="R504" s="2" t="str">
        <f>VLOOKUP(tdata[[#This Row],[id_employee]],temployee[#All],4,0)</f>
        <v>internal</v>
      </c>
      <c r="S504" s="9" t="str">
        <f>VLOOKUP(tdata[[#This Row],[id_employee]],temployee[#All],5,0)</f>
        <v>rider</v>
      </c>
    </row>
    <row r="505" spans="2:19" x14ac:dyDescent="0.35">
      <c r="B505" s="8" t="s">
        <v>524</v>
      </c>
      <c r="C505" s="2" t="s">
        <v>1274</v>
      </c>
      <c r="D505" s="5">
        <v>45083</v>
      </c>
      <c r="E505" s="5">
        <v>45084</v>
      </c>
      <c r="F505" s="2" t="s">
        <v>15</v>
      </c>
      <c r="G505" s="2" t="s">
        <v>26</v>
      </c>
      <c r="H505" s="2" t="s">
        <v>23</v>
      </c>
      <c r="I505" s="2" t="s">
        <v>13</v>
      </c>
      <c r="J505" s="2">
        <v>3.69</v>
      </c>
      <c r="K505" s="2" t="str">
        <f t="shared" si="22"/>
        <v>&lt; 5kg</v>
      </c>
      <c r="L505" s="2">
        <f>tdata[[#This Row],[Received_date]]-tdata[[#This Row],[Shipment_Date]]</f>
        <v>1</v>
      </c>
      <c r="M505" s="2">
        <f>VLOOKUP(tdata[[#This Row],[Service_Type]],Table2[#All],2,0)</f>
        <v>5</v>
      </c>
      <c r="N505" s="2" t="str">
        <f>IF(tdata[[#This Row],[Delivery_Days]]&lt;=tdata[[#This Row],[SLA_Days]],"On Time","Late")</f>
        <v>On Time</v>
      </c>
      <c r="O505" s="2">
        <f>VLOOKUP(tdata[[#This Row],[Service_Type]],Table2[#All],4,0)</f>
        <v>9000</v>
      </c>
      <c r="P505" s="2">
        <f>tdata[[#This Row],[price_per_kilo]]*tdata[[#This Row],[Weight_KG]]</f>
        <v>33210</v>
      </c>
      <c r="Q505" s="2" t="str">
        <f>VLOOKUP(tdata[[#This Row],[id_employee]],temployee[#All],2,0)</f>
        <v>Budi Santoso</v>
      </c>
      <c r="R505" s="2" t="str">
        <f>VLOOKUP(tdata[[#This Row],[id_employee]],temployee[#All],4,0)</f>
        <v>internal</v>
      </c>
      <c r="S505" s="9" t="str">
        <f>VLOOKUP(tdata[[#This Row],[id_employee]],temployee[#All],5,0)</f>
        <v>driver</v>
      </c>
    </row>
    <row r="506" spans="2:19" x14ac:dyDescent="0.35">
      <c r="B506" s="8" t="s">
        <v>525</v>
      </c>
      <c r="C506" s="2" t="s">
        <v>1275</v>
      </c>
      <c r="D506" s="5">
        <v>45224</v>
      </c>
      <c r="E506" s="5">
        <v>45225</v>
      </c>
      <c r="F506" s="2" t="s">
        <v>20</v>
      </c>
      <c r="G506" s="2" t="s">
        <v>15</v>
      </c>
      <c r="H506" s="2" t="s">
        <v>1223</v>
      </c>
      <c r="I506" s="2" t="s">
        <v>17</v>
      </c>
      <c r="J506" s="2">
        <v>2.58</v>
      </c>
      <c r="K506" s="2" t="str">
        <f t="shared" si="22"/>
        <v>&lt; 5kg</v>
      </c>
      <c r="L506" s="2">
        <f>tdata[[#This Row],[Received_date]]-tdata[[#This Row],[Shipment_Date]]</f>
        <v>1</v>
      </c>
      <c r="M506" s="2">
        <f>VLOOKUP(tdata[[#This Row],[Service_Type]],Table2[#All],2,0)</f>
        <v>1</v>
      </c>
      <c r="N506" s="2" t="str">
        <f>IF(tdata[[#This Row],[Delivery_Days]]&lt;=tdata[[#This Row],[SLA_Days]],"On Time","Late")</f>
        <v>On Time</v>
      </c>
      <c r="O506" s="2">
        <f>VLOOKUP(tdata[[#This Row],[Service_Type]],Table2[#All],4,0)</f>
        <v>12000</v>
      </c>
      <c r="P506" s="2">
        <f>tdata[[#This Row],[price_per_kilo]]*tdata[[#This Row],[Weight_KG]]</f>
        <v>30960</v>
      </c>
      <c r="Q506" s="2" t="str">
        <f>VLOOKUP(tdata[[#This Row],[id_employee]],temployee[#All],2,0)</f>
        <v>Citra Lestari</v>
      </c>
      <c r="R506" s="2" t="str">
        <f>VLOOKUP(tdata[[#This Row],[id_employee]],temployee[#All],4,0)</f>
        <v>crowd source</v>
      </c>
      <c r="S506" s="9" t="str">
        <f>VLOOKUP(tdata[[#This Row],[id_employee]],temployee[#All],5,0)</f>
        <v>rider</v>
      </c>
    </row>
    <row r="507" spans="2:19" x14ac:dyDescent="0.35">
      <c r="B507" s="8" t="s">
        <v>526</v>
      </c>
      <c r="C507" s="2" t="s">
        <v>1276</v>
      </c>
      <c r="D507" s="5">
        <v>45563</v>
      </c>
      <c r="E507" s="5">
        <v>45563</v>
      </c>
      <c r="F507" s="2" t="s">
        <v>22</v>
      </c>
      <c r="G507" s="2" t="s">
        <v>11</v>
      </c>
      <c r="H507" s="2" t="s">
        <v>1224</v>
      </c>
      <c r="I507" s="2" t="s">
        <v>17</v>
      </c>
      <c r="J507" s="2">
        <v>7.48</v>
      </c>
      <c r="K507" s="2" t="str">
        <f t="shared" si="22"/>
        <v>&gt;5kg</v>
      </c>
      <c r="L507" s="2">
        <f>tdata[[#This Row],[Received_date]]-tdata[[#This Row],[Shipment_Date]]</f>
        <v>0</v>
      </c>
      <c r="M507" s="2">
        <f>VLOOKUP(tdata[[#This Row],[Service_Type]],Table2[#All],2,0)</f>
        <v>3</v>
      </c>
      <c r="N507" s="2" t="str">
        <f>IF(tdata[[#This Row],[Delivery_Days]]&lt;=tdata[[#This Row],[SLA_Days]],"On Time","Late")</f>
        <v>On Time</v>
      </c>
      <c r="O507" s="2">
        <f>VLOOKUP(tdata[[#This Row],[Service_Type]],Table2[#All],4,0)</f>
        <v>10000</v>
      </c>
      <c r="P507" s="2">
        <f>tdata[[#This Row],[price_per_kilo]]*tdata[[#This Row],[Weight_KG]]</f>
        <v>74800</v>
      </c>
      <c r="Q507" s="2" t="str">
        <f>VLOOKUP(tdata[[#This Row],[id_employee]],temployee[#All],2,0)</f>
        <v>Dedi Saputra</v>
      </c>
      <c r="R507" s="2" t="str">
        <f>VLOOKUP(tdata[[#This Row],[id_employee]],temployee[#All],4,0)</f>
        <v>crowd source</v>
      </c>
      <c r="S507" s="9" t="str">
        <f>VLOOKUP(tdata[[#This Row],[id_employee]],temployee[#All],5,0)</f>
        <v>driver</v>
      </c>
    </row>
    <row r="508" spans="2:19" x14ac:dyDescent="0.35">
      <c r="B508" s="8" t="s">
        <v>527</v>
      </c>
      <c r="C508" s="2" t="s">
        <v>1277</v>
      </c>
      <c r="D508" s="5">
        <v>45484</v>
      </c>
      <c r="E508" s="5">
        <v>45489</v>
      </c>
      <c r="F508" s="2" t="s">
        <v>12</v>
      </c>
      <c r="G508" s="2" t="s">
        <v>12</v>
      </c>
      <c r="H508" s="2" t="s">
        <v>1224</v>
      </c>
      <c r="I508" s="2" t="s">
        <v>17</v>
      </c>
      <c r="J508" s="2">
        <v>6.55</v>
      </c>
      <c r="K508" s="2" t="str">
        <f t="shared" si="22"/>
        <v>&gt;5kg</v>
      </c>
      <c r="L508" s="2">
        <f>tdata[[#This Row],[Received_date]]-tdata[[#This Row],[Shipment_Date]]</f>
        <v>5</v>
      </c>
      <c r="M508" s="2">
        <f>VLOOKUP(tdata[[#This Row],[Service_Type]],Table2[#All],2,0)</f>
        <v>3</v>
      </c>
      <c r="N508" s="2" t="str">
        <f>IF(tdata[[#This Row],[Delivery_Days]]&lt;=tdata[[#This Row],[SLA_Days]],"On Time","Late")</f>
        <v>Late</v>
      </c>
      <c r="O508" s="2">
        <f>VLOOKUP(tdata[[#This Row],[Service_Type]],Table2[#All],4,0)</f>
        <v>10000</v>
      </c>
      <c r="P508" s="2">
        <f>tdata[[#This Row],[price_per_kilo]]*tdata[[#This Row],[Weight_KG]]</f>
        <v>65500</v>
      </c>
      <c r="Q508" s="2" t="str">
        <f>VLOOKUP(tdata[[#This Row],[id_employee]],temployee[#All],2,0)</f>
        <v>Eko Nugroho</v>
      </c>
      <c r="R508" s="2" t="str">
        <f>VLOOKUP(tdata[[#This Row],[id_employee]],temployee[#All],4,0)</f>
        <v>internal</v>
      </c>
      <c r="S508" s="9" t="str">
        <f>VLOOKUP(tdata[[#This Row],[id_employee]],temployee[#All],5,0)</f>
        <v>rider</v>
      </c>
    </row>
    <row r="509" spans="2:19" x14ac:dyDescent="0.35">
      <c r="B509" s="8" t="s">
        <v>528</v>
      </c>
      <c r="C509" s="2" t="s">
        <v>1278</v>
      </c>
      <c r="D509" s="5">
        <v>45271</v>
      </c>
      <c r="E509" s="5">
        <v>45273</v>
      </c>
      <c r="F509" s="2" t="s">
        <v>30</v>
      </c>
      <c r="G509" s="2" t="s">
        <v>11</v>
      </c>
      <c r="H509" s="2" t="s">
        <v>23</v>
      </c>
      <c r="I509" s="2" t="s">
        <v>13</v>
      </c>
      <c r="J509" s="2">
        <v>4.34</v>
      </c>
      <c r="K509" s="2" t="str">
        <f t="shared" si="22"/>
        <v>&lt; 5kg</v>
      </c>
      <c r="L509" s="2">
        <f>tdata[[#This Row],[Received_date]]-tdata[[#This Row],[Shipment_Date]]</f>
        <v>2</v>
      </c>
      <c r="M509" s="2">
        <f>VLOOKUP(tdata[[#This Row],[Service_Type]],Table2[#All],2,0)</f>
        <v>5</v>
      </c>
      <c r="N509" s="2" t="str">
        <f>IF(tdata[[#This Row],[Delivery_Days]]&lt;=tdata[[#This Row],[SLA_Days]],"On Time","Late")</f>
        <v>On Time</v>
      </c>
      <c r="O509" s="2">
        <f>VLOOKUP(tdata[[#This Row],[Service_Type]],Table2[#All],4,0)</f>
        <v>9000</v>
      </c>
      <c r="P509" s="2">
        <f>tdata[[#This Row],[price_per_kilo]]*tdata[[#This Row],[Weight_KG]]</f>
        <v>39060</v>
      </c>
      <c r="Q509" s="2" t="str">
        <f>VLOOKUP(tdata[[#This Row],[id_employee]],temployee[#All],2,0)</f>
        <v>Fajar Hidayat</v>
      </c>
      <c r="R509" s="2" t="str">
        <f>VLOOKUP(tdata[[#This Row],[id_employee]],temployee[#All],4,0)</f>
        <v>internal</v>
      </c>
      <c r="S509" s="9" t="str">
        <f>VLOOKUP(tdata[[#This Row],[id_employee]],temployee[#All],5,0)</f>
        <v>driver</v>
      </c>
    </row>
    <row r="510" spans="2:19" x14ac:dyDescent="0.35">
      <c r="B510" s="8" t="s">
        <v>529</v>
      </c>
      <c r="C510" s="2" t="s">
        <v>1279</v>
      </c>
      <c r="D510" s="5">
        <v>45095</v>
      </c>
      <c r="E510" s="5">
        <v>45098</v>
      </c>
      <c r="F510" s="2" t="s">
        <v>32</v>
      </c>
      <c r="G510" s="2" t="s">
        <v>22</v>
      </c>
      <c r="H510" s="2" t="s">
        <v>1224</v>
      </c>
      <c r="I510" s="2" t="s">
        <v>13</v>
      </c>
      <c r="J510" s="2">
        <v>4.07</v>
      </c>
      <c r="K510" s="2" t="str">
        <f t="shared" si="22"/>
        <v>&lt; 5kg</v>
      </c>
      <c r="L510" s="2">
        <f>tdata[[#This Row],[Received_date]]-tdata[[#This Row],[Shipment_Date]]</f>
        <v>3</v>
      </c>
      <c r="M510" s="2">
        <f>VLOOKUP(tdata[[#This Row],[Service_Type]],Table2[#All],2,0)</f>
        <v>3</v>
      </c>
      <c r="N510" s="2" t="str">
        <f>IF(tdata[[#This Row],[Delivery_Days]]&lt;=tdata[[#This Row],[SLA_Days]],"On Time","Late")</f>
        <v>On Time</v>
      </c>
      <c r="O510" s="2">
        <f>VLOOKUP(tdata[[#This Row],[Service_Type]],Table2[#All],4,0)</f>
        <v>10000</v>
      </c>
      <c r="P510" s="2">
        <f>tdata[[#This Row],[price_per_kilo]]*tdata[[#This Row],[Weight_KG]]</f>
        <v>40700</v>
      </c>
      <c r="Q510" s="2" t="str">
        <f>VLOOKUP(tdata[[#This Row],[id_employee]],temployee[#All],2,0)</f>
        <v>Gita Rahmawati</v>
      </c>
      <c r="R510" s="2" t="str">
        <f>VLOOKUP(tdata[[#This Row],[id_employee]],temployee[#All],4,0)</f>
        <v>crowd source</v>
      </c>
      <c r="S510" s="9" t="str">
        <f>VLOOKUP(tdata[[#This Row],[id_employee]],temployee[#All],5,0)</f>
        <v>rider</v>
      </c>
    </row>
    <row r="511" spans="2:19" x14ac:dyDescent="0.35">
      <c r="B511" s="8" t="s">
        <v>530</v>
      </c>
      <c r="C511" s="2" t="s">
        <v>1280</v>
      </c>
      <c r="D511" s="5">
        <v>45290</v>
      </c>
      <c r="E511" s="5">
        <v>45290</v>
      </c>
      <c r="F511" s="2" t="s">
        <v>16</v>
      </c>
      <c r="G511" s="2" t="s">
        <v>16</v>
      </c>
      <c r="H511" s="2" t="s">
        <v>1223</v>
      </c>
      <c r="I511" s="2" t="s">
        <v>17</v>
      </c>
      <c r="J511" s="2">
        <v>1.26</v>
      </c>
      <c r="K511" s="2" t="str">
        <f t="shared" si="22"/>
        <v>&lt; 5kg</v>
      </c>
      <c r="L511" s="2">
        <f>tdata[[#This Row],[Received_date]]-tdata[[#This Row],[Shipment_Date]]</f>
        <v>0</v>
      </c>
      <c r="M511" s="2">
        <f>VLOOKUP(tdata[[#This Row],[Service_Type]],Table2[#All],2,0)</f>
        <v>1</v>
      </c>
      <c r="N511" s="2" t="str">
        <f>IF(tdata[[#This Row],[Delivery_Days]]&lt;=tdata[[#This Row],[SLA_Days]],"On Time","Late")</f>
        <v>On Time</v>
      </c>
      <c r="O511" s="2">
        <f>VLOOKUP(tdata[[#This Row],[Service_Type]],Table2[#All],4,0)</f>
        <v>12000</v>
      </c>
      <c r="P511" s="2">
        <f>tdata[[#This Row],[price_per_kilo]]*tdata[[#This Row],[Weight_KG]]</f>
        <v>15120</v>
      </c>
      <c r="Q511" s="2" t="str">
        <f>VLOOKUP(tdata[[#This Row],[id_employee]],temployee[#All],2,0)</f>
        <v>Hendra Wijaya</v>
      </c>
      <c r="R511" s="2" t="str">
        <f>VLOOKUP(tdata[[#This Row],[id_employee]],temployee[#All],4,0)</f>
        <v>internal</v>
      </c>
      <c r="S511" s="9" t="str">
        <f>VLOOKUP(tdata[[#This Row],[id_employee]],temployee[#All],5,0)</f>
        <v>driver</v>
      </c>
    </row>
    <row r="512" spans="2:19" x14ac:dyDescent="0.35">
      <c r="B512" s="8" t="s">
        <v>531</v>
      </c>
      <c r="C512" s="2" t="s">
        <v>1281</v>
      </c>
      <c r="D512" s="5">
        <v>45268</v>
      </c>
      <c r="E512" s="5">
        <v>45269</v>
      </c>
      <c r="F512" s="2" t="s">
        <v>26</v>
      </c>
      <c r="G512" s="2" t="s">
        <v>11</v>
      </c>
      <c r="H512" s="2" t="s">
        <v>1224</v>
      </c>
      <c r="I512" s="2" t="s">
        <v>17</v>
      </c>
      <c r="J512" s="2">
        <v>0.99</v>
      </c>
      <c r="K512" s="2" t="str">
        <f t="shared" si="22"/>
        <v>&lt; 5kg</v>
      </c>
      <c r="L512" s="2">
        <f>tdata[[#This Row],[Received_date]]-tdata[[#This Row],[Shipment_Date]]</f>
        <v>1</v>
      </c>
      <c r="M512" s="2">
        <f>VLOOKUP(tdata[[#This Row],[Service_Type]],Table2[#All],2,0)</f>
        <v>3</v>
      </c>
      <c r="N512" s="2" t="str">
        <f>IF(tdata[[#This Row],[Delivery_Days]]&lt;=tdata[[#This Row],[SLA_Days]],"On Time","Late")</f>
        <v>On Time</v>
      </c>
      <c r="O512" s="2">
        <f>VLOOKUP(tdata[[#This Row],[Service_Type]],Table2[#All],4,0)</f>
        <v>10000</v>
      </c>
      <c r="P512" s="2">
        <f>tdata[[#This Row],[price_per_kilo]]*tdata[[#This Row],[Weight_KG]]</f>
        <v>9900</v>
      </c>
      <c r="Q512" s="2" t="str">
        <f>VLOOKUP(tdata[[#This Row],[id_employee]],temployee[#All],2,0)</f>
        <v>Indah Permata</v>
      </c>
      <c r="R512" s="2" t="str">
        <f>VLOOKUP(tdata[[#This Row],[id_employee]],temployee[#All],4,0)</f>
        <v>crowd source</v>
      </c>
      <c r="S512" s="9" t="str">
        <f>VLOOKUP(tdata[[#This Row],[id_employee]],temployee[#All],5,0)</f>
        <v>rider</v>
      </c>
    </row>
    <row r="513" spans="2:19" x14ac:dyDescent="0.35">
      <c r="B513" s="8" t="s">
        <v>532</v>
      </c>
      <c r="C513" s="2" t="s">
        <v>1282</v>
      </c>
      <c r="D513" s="5">
        <v>45594</v>
      </c>
      <c r="E513" s="5">
        <v>45598</v>
      </c>
      <c r="F513" s="2" t="s">
        <v>49</v>
      </c>
      <c r="G513" s="2" t="s">
        <v>49</v>
      </c>
      <c r="H513" s="2" t="s">
        <v>23</v>
      </c>
      <c r="I513" s="2" t="s">
        <v>13</v>
      </c>
      <c r="J513" s="2">
        <v>1</v>
      </c>
      <c r="K513" s="2" t="str">
        <f t="shared" si="22"/>
        <v>&lt; 5kg</v>
      </c>
      <c r="L513" s="2">
        <f>tdata[[#This Row],[Received_date]]-tdata[[#This Row],[Shipment_Date]]</f>
        <v>4</v>
      </c>
      <c r="M513" s="2">
        <f>VLOOKUP(tdata[[#This Row],[Service_Type]],Table2[#All],2,0)</f>
        <v>5</v>
      </c>
      <c r="N513" s="2" t="str">
        <f>IF(tdata[[#This Row],[Delivery_Days]]&lt;=tdata[[#This Row],[SLA_Days]],"On Time","Late")</f>
        <v>On Time</v>
      </c>
      <c r="O513" s="2">
        <f>VLOOKUP(tdata[[#This Row],[Service_Type]],Table2[#All],4,0)</f>
        <v>9000</v>
      </c>
      <c r="P513" s="2">
        <f>tdata[[#This Row],[price_per_kilo]]*tdata[[#This Row],[Weight_KG]]</f>
        <v>9000</v>
      </c>
      <c r="Q513" s="2" t="str">
        <f>VLOOKUP(tdata[[#This Row],[id_employee]],temployee[#All],2,0)</f>
        <v>Joko Susilo</v>
      </c>
      <c r="R513" s="2" t="str">
        <f>VLOOKUP(tdata[[#This Row],[id_employee]],temployee[#All],4,0)</f>
        <v>internal</v>
      </c>
      <c r="S513" s="9" t="str">
        <f>VLOOKUP(tdata[[#This Row],[id_employee]],temployee[#All],5,0)</f>
        <v>driver</v>
      </c>
    </row>
    <row r="514" spans="2:19" x14ac:dyDescent="0.35">
      <c r="B514" s="8" t="s">
        <v>533</v>
      </c>
      <c r="C514" s="2" t="s">
        <v>1283</v>
      </c>
      <c r="D514" s="5">
        <v>45504</v>
      </c>
      <c r="E514" s="5">
        <v>45505</v>
      </c>
      <c r="F514" s="2" t="s">
        <v>11</v>
      </c>
      <c r="G514" s="2" t="s">
        <v>15</v>
      </c>
      <c r="H514" s="2" t="s">
        <v>1223</v>
      </c>
      <c r="I514" s="2" t="s">
        <v>13</v>
      </c>
      <c r="J514" s="2">
        <v>1</v>
      </c>
      <c r="K514" s="2" t="str">
        <f t="shared" si="22"/>
        <v>&lt; 5kg</v>
      </c>
      <c r="L514" s="2">
        <f>tdata[[#This Row],[Received_date]]-tdata[[#This Row],[Shipment_Date]]</f>
        <v>1</v>
      </c>
      <c r="M514" s="2">
        <f>VLOOKUP(tdata[[#This Row],[Service_Type]],Table2[#All],2,0)</f>
        <v>1</v>
      </c>
      <c r="N514" s="2" t="str">
        <f>IF(tdata[[#This Row],[Delivery_Days]]&lt;=tdata[[#This Row],[SLA_Days]],"On Time","Late")</f>
        <v>On Time</v>
      </c>
      <c r="O514" s="2">
        <f>VLOOKUP(tdata[[#This Row],[Service_Type]],Table2[#All],4,0)</f>
        <v>12000</v>
      </c>
      <c r="P514" s="2">
        <f>tdata[[#This Row],[price_per_kilo]]*tdata[[#This Row],[Weight_KG]]</f>
        <v>12000</v>
      </c>
      <c r="Q514" s="2" t="str">
        <f>VLOOKUP(tdata[[#This Row],[id_employee]],temployee[#All],2,0)</f>
        <v>Kurniawan Putra</v>
      </c>
      <c r="R514" s="2" t="str">
        <f>VLOOKUP(tdata[[#This Row],[id_employee]],temployee[#All],4,0)</f>
        <v>crowd source</v>
      </c>
      <c r="S514" s="9" t="str">
        <f>VLOOKUP(tdata[[#This Row],[id_employee]],temployee[#All],5,0)</f>
        <v>driver</v>
      </c>
    </row>
    <row r="515" spans="2:19" x14ac:dyDescent="0.35">
      <c r="B515" s="8" t="s">
        <v>534</v>
      </c>
      <c r="C515" s="2" t="s">
        <v>1284</v>
      </c>
      <c r="D515" s="5">
        <v>45009</v>
      </c>
      <c r="E515" s="5">
        <v>45012</v>
      </c>
      <c r="F515" s="2" t="s">
        <v>15</v>
      </c>
      <c r="G515" s="2" t="s">
        <v>49</v>
      </c>
      <c r="H515" s="2" t="s">
        <v>1224</v>
      </c>
      <c r="I515" s="2" t="s">
        <v>17</v>
      </c>
      <c r="J515" s="2">
        <v>3.84</v>
      </c>
      <c r="K515" s="2" t="str">
        <f t="shared" si="22"/>
        <v>&lt; 5kg</v>
      </c>
      <c r="L515" s="2">
        <f>tdata[[#This Row],[Received_date]]-tdata[[#This Row],[Shipment_Date]]</f>
        <v>3</v>
      </c>
      <c r="M515" s="2">
        <f>VLOOKUP(tdata[[#This Row],[Service_Type]],Table2[#All],2,0)</f>
        <v>3</v>
      </c>
      <c r="N515" s="2" t="str">
        <f>IF(tdata[[#This Row],[Delivery_Days]]&lt;=tdata[[#This Row],[SLA_Days]],"On Time","Late")</f>
        <v>On Time</v>
      </c>
      <c r="O515" s="2">
        <f>VLOOKUP(tdata[[#This Row],[Service_Type]],Table2[#All],4,0)</f>
        <v>10000</v>
      </c>
      <c r="P515" s="2">
        <f>tdata[[#This Row],[price_per_kilo]]*tdata[[#This Row],[Weight_KG]]</f>
        <v>38400</v>
      </c>
      <c r="Q515" s="2" t="str">
        <f>VLOOKUP(tdata[[#This Row],[id_employee]],temployee[#All],2,0)</f>
        <v>Lina Marlina</v>
      </c>
      <c r="R515" s="2" t="str">
        <f>VLOOKUP(tdata[[#This Row],[id_employee]],temployee[#All],4,0)</f>
        <v>internal</v>
      </c>
      <c r="S515" s="9" t="str">
        <f>VLOOKUP(tdata[[#This Row],[id_employee]],temployee[#All],5,0)</f>
        <v>rider</v>
      </c>
    </row>
    <row r="516" spans="2:19" x14ac:dyDescent="0.35">
      <c r="B516" s="8" t="s">
        <v>535</v>
      </c>
      <c r="C516" s="2" t="s">
        <v>1285</v>
      </c>
      <c r="D516" s="5">
        <v>45191</v>
      </c>
      <c r="E516" s="5">
        <f>D516+4</f>
        <v>45195</v>
      </c>
      <c r="F516" s="2" t="s">
        <v>20</v>
      </c>
      <c r="G516" s="2" t="s">
        <v>12</v>
      </c>
      <c r="H516" s="2" t="s">
        <v>1224</v>
      </c>
      <c r="I516" s="2" t="s">
        <v>13</v>
      </c>
      <c r="J516" s="2">
        <v>10.029999999999999</v>
      </c>
      <c r="K516" s="2" t="str">
        <f t="shared" si="22"/>
        <v>&gt;5kg</v>
      </c>
      <c r="L516" s="2">
        <f>tdata[[#This Row],[Received_date]]-tdata[[#This Row],[Shipment_Date]]</f>
        <v>4</v>
      </c>
      <c r="M516" s="2">
        <f>VLOOKUP(tdata[[#This Row],[Service_Type]],Table2[#All],2,0)</f>
        <v>3</v>
      </c>
      <c r="N516" s="2" t="str">
        <f>IF(tdata[[#This Row],[Delivery_Days]]&lt;=tdata[[#This Row],[SLA_Days]],"On Time","Late")</f>
        <v>Late</v>
      </c>
      <c r="O516" s="2">
        <f>VLOOKUP(tdata[[#This Row],[Service_Type]],Table2[#All],4,0)</f>
        <v>10000</v>
      </c>
      <c r="P516" s="2">
        <f>tdata[[#This Row],[price_per_kilo]]*tdata[[#This Row],[Weight_KG]]</f>
        <v>100300</v>
      </c>
      <c r="Q516" s="2" t="str">
        <f>VLOOKUP(tdata[[#This Row],[id_employee]],temployee[#All],2,0)</f>
        <v>Rizky Ananda</v>
      </c>
      <c r="R516" s="2" t="str">
        <f>VLOOKUP(tdata[[#This Row],[id_employee]],temployee[#All],4,0)</f>
        <v>crowd source</v>
      </c>
      <c r="S516" s="9" t="str">
        <f>VLOOKUP(tdata[[#This Row],[id_employee]],temployee[#All],5,0)</f>
        <v>rider</v>
      </c>
    </row>
    <row r="517" spans="2:19" x14ac:dyDescent="0.35">
      <c r="B517" s="8" t="s">
        <v>536</v>
      </c>
      <c r="C517" s="2" t="s">
        <v>1286</v>
      </c>
      <c r="D517" s="5">
        <v>45289</v>
      </c>
      <c r="E517" s="5">
        <v>45290</v>
      </c>
      <c r="F517" s="2" t="s">
        <v>22</v>
      </c>
      <c r="G517" s="2" t="s">
        <v>26</v>
      </c>
      <c r="H517" s="2" t="s">
        <v>1224</v>
      </c>
      <c r="I517" s="2" t="s">
        <v>17</v>
      </c>
      <c r="J517" s="2">
        <v>1.63</v>
      </c>
      <c r="K517" s="2" t="str">
        <f t="shared" ref="K517:K580" si="25">IF(J517&lt;5,"&lt; 5kg", "&gt;5kg")</f>
        <v>&lt; 5kg</v>
      </c>
      <c r="L517" s="2">
        <f>tdata[[#This Row],[Received_date]]-tdata[[#This Row],[Shipment_Date]]</f>
        <v>1</v>
      </c>
      <c r="M517" s="2">
        <f>VLOOKUP(tdata[[#This Row],[Service_Type]],Table2[#All],2,0)</f>
        <v>3</v>
      </c>
      <c r="N517" s="2" t="str">
        <f>IF(tdata[[#This Row],[Delivery_Days]]&lt;=tdata[[#This Row],[SLA_Days]],"On Time","Late")</f>
        <v>On Time</v>
      </c>
      <c r="O517" s="2">
        <f>VLOOKUP(tdata[[#This Row],[Service_Type]],Table2[#All],4,0)</f>
        <v>10000</v>
      </c>
      <c r="P517" s="2">
        <f>tdata[[#This Row],[price_per_kilo]]*tdata[[#This Row],[Weight_KG]]</f>
        <v>16299.999999999998</v>
      </c>
      <c r="Q517" s="2" t="str">
        <f>VLOOKUP(tdata[[#This Row],[id_employee]],temployee[#All],2,0)</f>
        <v>Nanda Prakoso</v>
      </c>
      <c r="R517" s="2" t="str">
        <f>VLOOKUP(tdata[[#This Row],[id_employee]],temployee[#All],4,0)</f>
        <v>internal</v>
      </c>
      <c r="S517" s="9" t="str">
        <f>VLOOKUP(tdata[[#This Row],[id_employee]],temployee[#All],5,0)</f>
        <v>driver</v>
      </c>
    </row>
    <row r="518" spans="2:19" x14ac:dyDescent="0.35">
      <c r="B518" s="8" t="s">
        <v>537</v>
      </c>
      <c r="C518" s="2" t="s">
        <v>1287</v>
      </c>
      <c r="D518" s="5">
        <v>45571</v>
      </c>
      <c r="E518" s="5">
        <v>45572</v>
      </c>
      <c r="F518" s="2" t="s">
        <v>12</v>
      </c>
      <c r="G518" s="2" t="s">
        <v>11</v>
      </c>
      <c r="H518" s="2" t="s">
        <v>1224</v>
      </c>
      <c r="I518" s="2" t="s">
        <v>17</v>
      </c>
      <c r="J518" s="2">
        <v>0.66</v>
      </c>
      <c r="K518" s="2" t="str">
        <f t="shared" si="25"/>
        <v>&lt; 5kg</v>
      </c>
      <c r="L518" s="2">
        <f>tdata[[#This Row],[Received_date]]-tdata[[#This Row],[Shipment_Date]]</f>
        <v>1</v>
      </c>
      <c r="M518" s="2">
        <f>VLOOKUP(tdata[[#This Row],[Service_Type]],Table2[#All],2,0)</f>
        <v>3</v>
      </c>
      <c r="N518" s="2" t="str">
        <f>IF(tdata[[#This Row],[Delivery_Days]]&lt;=tdata[[#This Row],[SLA_Days]],"On Time","Late")</f>
        <v>On Time</v>
      </c>
      <c r="O518" s="2">
        <f>VLOOKUP(tdata[[#This Row],[Service_Type]],Table2[#All],4,0)</f>
        <v>10000</v>
      </c>
      <c r="P518" s="2">
        <f>tdata[[#This Row],[price_per_kilo]]*tdata[[#This Row],[Weight_KG]]</f>
        <v>6600</v>
      </c>
      <c r="Q518" s="2" t="str">
        <f>VLOOKUP(tdata[[#This Row],[id_employee]],temployee[#All],2,0)</f>
        <v>Oktavian Yusuf</v>
      </c>
      <c r="R518" s="2" t="str">
        <f>VLOOKUP(tdata[[#This Row],[id_employee]],temployee[#All],4,0)</f>
        <v>crowd source</v>
      </c>
      <c r="S518" s="9" t="str">
        <f>VLOOKUP(tdata[[#This Row],[id_employee]],temployee[#All],5,0)</f>
        <v>driver</v>
      </c>
    </row>
    <row r="519" spans="2:19" x14ac:dyDescent="0.35">
      <c r="B519" s="8" t="s">
        <v>538</v>
      </c>
      <c r="C519" s="2" t="s">
        <v>1288</v>
      </c>
      <c r="D519" s="5">
        <v>45136</v>
      </c>
      <c r="E519" s="5">
        <f>D519+4</f>
        <v>45140</v>
      </c>
      <c r="F519" s="2" t="s">
        <v>30</v>
      </c>
      <c r="G519" s="2" t="s">
        <v>32</v>
      </c>
      <c r="H519" s="2" t="s">
        <v>23</v>
      </c>
      <c r="I519" s="2" t="s">
        <v>17</v>
      </c>
      <c r="J519" s="2">
        <v>8.2200000000000006</v>
      </c>
      <c r="K519" s="2" t="str">
        <f t="shared" si="25"/>
        <v>&gt;5kg</v>
      </c>
      <c r="L519" s="2">
        <f>tdata[[#This Row],[Received_date]]-tdata[[#This Row],[Shipment_Date]]</f>
        <v>4</v>
      </c>
      <c r="M519" s="2">
        <f>VLOOKUP(tdata[[#This Row],[Service_Type]],Table2[#All],2,0)</f>
        <v>5</v>
      </c>
      <c r="N519" s="2" t="str">
        <f>IF(tdata[[#This Row],[Delivery_Days]]&lt;=tdata[[#This Row],[SLA_Days]],"On Time","Late")</f>
        <v>On Time</v>
      </c>
      <c r="O519" s="2">
        <f>VLOOKUP(tdata[[#This Row],[Service_Type]],Table2[#All],4,0)</f>
        <v>9000</v>
      </c>
      <c r="P519" s="2">
        <f>tdata[[#This Row],[price_per_kilo]]*tdata[[#This Row],[Weight_KG]]</f>
        <v>73980</v>
      </c>
      <c r="Q519" s="2" t="str">
        <f>VLOOKUP(tdata[[#This Row],[id_employee]],temployee[#All],2,0)</f>
        <v>Putri Ayu Lestari</v>
      </c>
      <c r="R519" s="2" t="str">
        <f>VLOOKUP(tdata[[#This Row],[id_employee]],temployee[#All],4,0)</f>
        <v>internal</v>
      </c>
      <c r="S519" s="9" t="str">
        <f>VLOOKUP(tdata[[#This Row],[id_employee]],temployee[#All],5,0)</f>
        <v>rider</v>
      </c>
    </row>
    <row r="520" spans="2:19" x14ac:dyDescent="0.35">
      <c r="B520" s="8" t="s">
        <v>539</v>
      </c>
      <c r="C520" s="2" t="s">
        <v>1289</v>
      </c>
      <c r="D520" s="5">
        <v>45149</v>
      </c>
      <c r="E520" s="5">
        <v>45154</v>
      </c>
      <c r="F520" s="2" t="s">
        <v>32</v>
      </c>
      <c r="G520" s="2" t="s">
        <v>26</v>
      </c>
      <c r="H520" s="2" t="s">
        <v>1224</v>
      </c>
      <c r="I520" s="2" t="s">
        <v>13</v>
      </c>
      <c r="J520" s="2">
        <v>4.43</v>
      </c>
      <c r="K520" s="2" t="str">
        <f t="shared" si="25"/>
        <v>&lt; 5kg</v>
      </c>
      <c r="L520" s="2">
        <f>tdata[[#This Row],[Received_date]]-tdata[[#This Row],[Shipment_Date]]</f>
        <v>5</v>
      </c>
      <c r="M520" s="2">
        <f>VLOOKUP(tdata[[#This Row],[Service_Type]],Table2[#All],2,0)</f>
        <v>3</v>
      </c>
      <c r="N520" s="2" t="str">
        <f>IF(tdata[[#This Row],[Delivery_Days]]&lt;=tdata[[#This Row],[SLA_Days]],"On Time","Late")</f>
        <v>Late</v>
      </c>
      <c r="O520" s="2">
        <f>VLOOKUP(tdata[[#This Row],[Service_Type]],Table2[#All],4,0)</f>
        <v>10000</v>
      </c>
      <c r="P520" s="2">
        <f>tdata[[#This Row],[price_per_kilo]]*tdata[[#This Row],[Weight_KG]]</f>
        <v>44300</v>
      </c>
      <c r="Q520" s="2" t="str">
        <f>VLOOKUP(tdata[[#This Row],[id_employee]],temployee[#All],2,0)</f>
        <v>Rafi Maulana</v>
      </c>
      <c r="R520" s="2" t="str">
        <f>VLOOKUP(tdata[[#This Row],[id_employee]],temployee[#All],4,0)</f>
        <v>internal</v>
      </c>
      <c r="S520" s="9" t="str">
        <f>VLOOKUP(tdata[[#This Row],[id_employee]],temployee[#All],5,0)</f>
        <v>rider</v>
      </c>
    </row>
    <row r="521" spans="2:19" x14ac:dyDescent="0.35">
      <c r="B521" s="8" t="s">
        <v>540</v>
      </c>
      <c r="C521" s="2" t="s">
        <v>1290</v>
      </c>
      <c r="D521" s="5">
        <v>45127</v>
      </c>
      <c r="E521" s="5">
        <f>D521+4</f>
        <v>45131</v>
      </c>
      <c r="F521" s="2" t="s">
        <v>16</v>
      </c>
      <c r="G521" s="2" t="s">
        <v>49</v>
      </c>
      <c r="H521" s="2" t="s">
        <v>1224</v>
      </c>
      <c r="I521" s="2" t="s">
        <v>17</v>
      </c>
      <c r="J521" s="2">
        <v>10.37</v>
      </c>
      <c r="K521" s="2" t="str">
        <f t="shared" si="25"/>
        <v>&gt;5kg</v>
      </c>
      <c r="L521" s="2">
        <f>tdata[[#This Row],[Received_date]]-tdata[[#This Row],[Shipment_Date]]</f>
        <v>4</v>
      </c>
      <c r="M521" s="2">
        <f>VLOOKUP(tdata[[#This Row],[Service_Type]],Table2[#All],2,0)</f>
        <v>3</v>
      </c>
      <c r="N521" s="2" t="str">
        <f>IF(tdata[[#This Row],[Delivery_Days]]&lt;=tdata[[#This Row],[SLA_Days]],"On Time","Late")</f>
        <v>Late</v>
      </c>
      <c r="O521" s="2">
        <f>VLOOKUP(tdata[[#This Row],[Service_Type]],Table2[#All],4,0)</f>
        <v>10000</v>
      </c>
      <c r="P521" s="2">
        <f>tdata[[#This Row],[price_per_kilo]]*tdata[[#This Row],[Weight_KG]]</f>
        <v>103699.99999999999</v>
      </c>
      <c r="Q521" s="2" t="str">
        <f>VLOOKUP(tdata[[#This Row],[id_employee]],temployee[#All],2,0)</f>
        <v>Sari Puspita</v>
      </c>
      <c r="R521" s="2" t="str">
        <f>VLOOKUP(tdata[[#This Row],[id_employee]],temployee[#All],4,0)</f>
        <v>crowd source</v>
      </c>
      <c r="S521" s="9" t="str">
        <f>VLOOKUP(tdata[[#This Row],[id_employee]],temployee[#All],5,0)</f>
        <v>rider</v>
      </c>
    </row>
    <row r="522" spans="2:19" x14ac:dyDescent="0.35">
      <c r="B522" s="8" t="s">
        <v>541</v>
      </c>
      <c r="C522" s="2" t="s">
        <v>1291</v>
      </c>
      <c r="D522" s="5">
        <v>45276</v>
      </c>
      <c r="E522" s="5">
        <v>45286</v>
      </c>
      <c r="F522" s="2" t="s">
        <v>26</v>
      </c>
      <c r="G522" s="2" t="s">
        <v>49</v>
      </c>
      <c r="H522" s="2" t="s">
        <v>1223</v>
      </c>
      <c r="I522" s="2" t="s">
        <v>13</v>
      </c>
      <c r="J522" s="2">
        <v>5.82</v>
      </c>
      <c r="K522" s="2" t="str">
        <f t="shared" si="25"/>
        <v>&gt;5kg</v>
      </c>
      <c r="L522" s="2">
        <f>tdata[[#This Row],[Received_date]]-tdata[[#This Row],[Shipment_Date]]</f>
        <v>10</v>
      </c>
      <c r="M522" s="2">
        <f>VLOOKUP(tdata[[#This Row],[Service_Type]],Table2[#All],2,0)</f>
        <v>1</v>
      </c>
      <c r="N522" s="2" t="str">
        <f>IF(tdata[[#This Row],[Delivery_Days]]&lt;=tdata[[#This Row],[SLA_Days]],"On Time","Late")</f>
        <v>Late</v>
      </c>
      <c r="O522" s="2">
        <f>VLOOKUP(tdata[[#This Row],[Service_Type]],Table2[#All],4,0)</f>
        <v>12000</v>
      </c>
      <c r="P522" s="2">
        <f>tdata[[#This Row],[price_per_kilo]]*tdata[[#This Row],[Weight_KG]]</f>
        <v>69840</v>
      </c>
      <c r="Q522" s="2" t="str">
        <f>VLOOKUP(tdata[[#This Row],[id_employee]],temployee[#All],2,0)</f>
        <v>Teguh Wibowo</v>
      </c>
      <c r="R522" s="2" t="str">
        <f>VLOOKUP(tdata[[#This Row],[id_employee]],temployee[#All],4,0)</f>
        <v>internal</v>
      </c>
      <c r="S522" s="9" t="str">
        <f>VLOOKUP(tdata[[#This Row],[id_employee]],temployee[#All],5,0)</f>
        <v>driver</v>
      </c>
    </row>
    <row r="523" spans="2:19" x14ac:dyDescent="0.35">
      <c r="B523" s="8" t="s">
        <v>542</v>
      </c>
      <c r="C523" s="2" t="s">
        <v>1292</v>
      </c>
      <c r="D523" s="5">
        <v>45544</v>
      </c>
      <c r="E523" s="5">
        <v>45545</v>
      </c>
      <c r="F523" s="2" t="s">
        <v>49</v>
      </c>
      <c r="G523" s="2" t="s">
        <v>32</v>
      </c>
      <c r="H523" s="2" t="s">
        <v>23</v>
      </c>
      <c r="I523" s="2" t="s">
        <v>17</v>
      </c>
      <c r="J523" s="2">
        <v>2.64</v>
      </c>
      <c r="K523" s="2" t="str">
        <f t="shared" si="25"/>
        <v>&lt; 5kg</v>
      </c>
      <c r="L523" s="2">
        <f>tdata[[#This Row],[Received_date]]-tdata[[#This Row],[Shipment_Date]]</f>
        <v>1</v>
      </c>
      <c r="M523" s="2">
        <f>VLOOKUP(tdata[[#This Row],[Service_Type]],Table2[#All],2,0)</f>
        <v>5</v>
      </c>
      <c r="N523" s="2" t="str">
        <f>IF(tdata[[#This Row],[Delivery_Days]]&lt;=tdata[[#This Row],[SLA_Days]],"On Time","Late")</f>
        <v>On Time</v>
      </c>
      <c r="O523" s="2">
        <f>VLOOKUP(tdata[[#This Row],[Service_Type]],Table2[#All],4,0)</f>
        <v>9000</v>
      </c>
      <c r="P523" s="2">
        <f>tdata[[#This Row],[price_per_kilo]]*tdata[[#This Row],[Weight_KG]]</f>
        <v>23760</v>
      </c>
      <c r="Q523" s="2" t="str">
        <f>VLOOKUP(tdata[[#This Row],[id_employee]],temployee[#All],2,0)</f>
        <v>Umi Kalsum</v>
      </c>
      <c r="R523" s="2" t="str">
        <f>VLOOKUP(tdata[[#This Row],[id_employee]],temployee[#All],4,0)</f>
        <v>crowd source</v>
      </c>
      <c r="S523" s="9" t="str">
        <f>VLOOKUP(tdata[[#This Row],[id_employee]],temployee[#All],5,0)</f>
        <v>rider</v>
      </c>
    </row>
    <row r="524" spans="2:19" x14ac:dyDescent="0.35">
      <c r="B524" s="8" t="s">
        <v>543</v>
      </c>
      <c r="C524" s="2" t="s">
        <v>1293</v>
      </c>
      <c r="D524" s="5">
        <v>45574</v>
      </c>
      <c r="E524" s="5">
        <f>D524+4</f>
        <v>45578</v>
      </c>
      <c r="F524" s="2" t="s">
        <v>11</v>
      </c>
      <c r="G524" s="2" t="s">
        <v>26</v>
      </c>
      <c r="H524" s="2" t="s">
        <v>23</v>
      </c>
      <c r="I524" s="2" t="s">
        <v>17</v>
      </c>
      <c r="J524" s="2">
        <v>8.1300000000000008</v>
      </c>
      <c r="K524" s="2" t="str">
        <f t="shared" si="25"/>
        <v>&gt;5kg</v>
      </c>
      <c r="L524" s="2">
        <f>tdata[[#This Row],[Received_date]]-tdata[[#This Row],[Shipment_Date]]</f>
        <v>4</v>
      </c>
      <c r="M524" s="2">
        <f>VLOOKUP(tdata[[#This Row],[Service_Type]],Table2[#All],2,0)</f>
        <v>5</v>
      </c>
      <c r="N524" s="2" t="str">
        <f>IF(tdata[[#This Row],[Delivery_Days]]&lt;=tdata[[#This Row],[SLA_Days]],"On Time","Late")</f>
        <v>On Time</v>
      </c>
      <c r="O524" s="2">
        <f>VLOOKUP(tdata[[#This Row],[Service_Type]],Table2[#All],4,0)</f>
        <v>9000</v>
      </c>
      <c r="P524" s="2">
        <f>tdata[[#This Row],[price_per_kilo]]*tdata[[#This Row],[Weight_KG]]</f>
        <v>73170</v>
      </c>
      <c r="Q524" s="2" t="str">
        <f>VLOOKUP(tdata[[#This Row],[id_employee]],temployee[#All],2,0)</f>
        <v>Vina Oktaviani</v>
      </c>
      <c r="R524" s="2" t="str">
        <f>VLOOKUP(tdata[[#This Row],[id_employee]],temployee[#All],4,0)</f>
        <v>internal</v>
      </c>
      <c r="S524" s="9" t="str">
        <f>VLOOKUP(tdata[[#This Row],[id_employee]],temployee[#All],5,0)</f>
        <v>rider</v>
      </c>
    </row>
    <row r="525" spans="2:19" x14ac:dyDescent="0.35">
      <c r="B525" s="8" t="s">
        <v>544</v>
      </c>
      <c r="C525" s="2" t="s">
        <v>1294</v>
      </c>
      <c r="D525" s="5">
        <v>45247</v>
      </c>
      <c r="E525" s="5">
        <v>45255</v>
      </c>
      <c r="F525" s="2" t="s">
        <v>15</v>
      </c>
      <c r="G525" s="2" t="s">
        <v>49</v>
      </c>
      <c r="H525" s="2" t="s">
        <v>1223</v>
      </c>
      <c r="I525" s="2" t="s">
        <v>17</v>
      </c>
      <c r="J525" s="2">
        <v>8.39</v>
      </c>
      <c r="K525" s="2" t="str">
        <f t="shared" si="25"/>
        <v>&gt;5kg</v>
      </c>
      <c r="L525" s="2">
        <f>tdata[[#This Row],[Received_date]]-tdata[[#This Row],[Shipment_Date]]</f>
        <v>8</v>
      </c>
      <c r="M525" s="2">
        <f>VLOOKUP(tdata[[#This Row],[Service_Type]],Table2[#All],2,0)</f>
        <v>1</v>
      </c>
      <c r="N525" s="2" t="str">
        <f>IF(tdata[[#This Row],[Delivery_Days]]&lt;=tdata[[#This Row],[SLA_Days]],"On Time","Late")</f>
        <v>Late</v>
      </c>
      <c r="O525" s="2">
        <f>VLOOKUP(tdata[[#This Row],[Service_Type]],Table2[#All],4,0)</f>
        <v>12000</v>
      </c>
      <c r="P525" s="2">
        <f>tdata[[#This Row],[price_per_kilo]]*tdata[[#This Row],[Weight_KG]]</f>
        <v>100680</v>
      </c>
      <c r="Q525" s="2" t="str">
        <f>VLOOKUP(tdata[[#This Row],[id_employee]],temployee[#All],2,0)</f>
        <v>Wahyu Setiawan</v>
      </c>
      <c r="R525" s="2" t="str">
        <f>VLOOKUP(tdata[[#This Row],[id_employee]],temployee[#All],4,0)</f>
        <v>crowd source</v>
      </c>
      <c r="S525" s="9" t="str">
        <f>VLOOKUP(tdata[[#This Row],[id_employee]],temployee[#All],5,0)</f>
        <v>driver</v>
      </c>
    </row>
    <row r="526" spans="2:19" x14ac:dyDescent="0.35">
      <c r="B526" s="8" t="s">
        <v>545</v>
      </c>
      <c r="C526" s="2" t="s">
        <v>1295</v>
      </c>
      <c r="D526" s="5">
        <v>45297</v>
      </c>
      <c r="E526" s="5">
        <v>45297</v>
      </c>
      <c r="F526" s="2" t="s">
        <v>20</v>
      </c>
      <c r="G526" s="2" t="s">
        <v>16</v>
      </c>
      <c r="H526" s="2" t="s">
        <v>1223</v>
      </c>
      <c r="I526" s="2" t="s">
        <v>17</v>
      </c>
      <c r="J526" s="2">
        <v>0.99</v>
      </c>
      <c r="K526" s="2" t="str">
        <f t="shared" si="25"/>
        <v>&lt; 5kg</v>
      </c>
      <c r="L526" s="2">
        <f>tdata[[#This Row],[Received_date]]-tdata[[#This Row],[Shipment_Date]]</f>
        <v>0</v>
      </c>
      <c r="M526" s="2">
        <f>VLOOKUP(tdata[[#This Row],[Service_Type]],Table2[#All],2,0)</f>
        <v>1</v>
      </c>
      <c r="N526" s="2" t="str">
        <f>IF(tdata[[#This Row],[Delivery_Days]]&lt;=tdata[[#This Row],[SLA_Days]],"On Time","Late")</f>
        <v>On Time</v>
      </c>
      <c r="O526" s="2">
        <f>VLOOKUP(tdata[[#This Row],[Service_Type]],Table2[#All],4,0)</f>
        <v>12000</v>
      </c>
      <c r="P526" s="2">
        <f>tdata[[#This Row],[price_per_kilo]]*tdata[[#This Row],[Weight_KG]]</f>
        <v>11880</v>
      </c>
      <c r="Q526" s="2" t="str">
        <f>VLOOKUP(tdata[[#This Row],[id_employee]],temployee[#All],2,0)</f>
        <v>Yogi Firmansyah</v>
      </c>
      <c r="R526" s="2" t="str">
        <f>VLOOKUP(tdata[[#This Row],[id_employee]],temployee[#All],4,0)</f>
        <v>internal</v>
      </c>
      <c r="S526" s="9" t="str">
        <f>VLOOKUP(tdata[[#This Row],[id_employee]],temployee[#All],5,0)</f>
        <v>driver</v>
      </c>
    </row>
    <row r="527" spans="2:19" x14ac:dyDescent="0.35">
      <c r="B527" s="8" t="s">
        <v>546</v>
      </c>
      <c r="C527" s="2" t="s">
        <v>1296</v>
      </c>
      <c r="D527" s="5">
        <v>45260</v>
      </c>
      <c r="E527" s="5">
        <v>45266</v>
      </c>
      <c r="F527" s="2" t="s">
        <v>22</v>
      </c>
      <c r="G527" s="2" t="s">
        <v>26</v>
      </c>
      <c r="H527" s="2" t="s">
        <v>23</v>
      </c>
      <c r="I527" s="2" t="s">
        <v>13</v>
      </c>
      <c r="J527" s="2">
        <v>5.55</v>
      </c>
      <c r="K527" s="2" t="str">
        <f t="shared" si="25"/>
        <v>&gt;5kg</v>
      </c>
      <c r="L527" s="2">
        <f>tdata[[#This Row],[Received_date]]-tdata[[#This Row],[Shipment_Date]]</f>
        <v>6</v>
      </c>
      <c r="M527" s="2">
        <f>VLOOKUP(tdata[[#This Row],[Service_Type]],Table2[#All],2,0)</f>
        <v>5</v>
      </c>
      <c r="N527" s="2" t="str">
        <f>IF(tdata[[#This Row],[Delivery_Days]]&lt;=tdata[[#This Row],[SLA_Days]],"On Time","Late")</f>
        <v>Late</v>
      </c>
      <c r="O527" s="2">
        <f>VLOOKUP(tdata[[#This Row],[Service_Type]],Table2[#All],4,0)</f>
        <v>9000</v>
      </c>
      <c r="P527" s="2">
        <f>tdata[[#This Row],[price_per_kilo]]*tdata[[#This Row],[Weight_KG]]</f>
        <v>49950</v>
      </c>
      <c r="Q527" s="2" t="str">
        <f>VLOOKUP(tdata[[#This Row],[id_employee]],temployee[#All],2,0)</f>
        <v>Zainal Abidin</v>
      </c>
      <c r="R527" s="2" t="str">
        <f>VLOOKUP(tdata[[#This Row],[id_employee]],temployee[#All],4,0)</f>
        <v>crowd source</v>
      </c>
      <c r="S527" s="9" t="str">
        <f>VLOOKUP(tdata[[#This Row],[id_employee]],temployee[#All],5,0)</f>
        <v>driver</v>
      </c>
    </row>
    <row r="528" spans="2:19" x14ac:dyDescent="0.35">
      <c r="B528" s="8" t="s">
        <v>547</v>
      </c>
      <c r="C528" s="2" t="s">
        <v>1297</v>
      </c>
      <c r="D528" s="5">
        <v>45137</v>
      </c>
      <c r="E528" s="5">
        <v>45145</v>
      </c>
      <c r="F528" s="2" t="s">
        <v>12</v>
      </c>
      <c r="G528" s="2" t="s">
        <v>12</v>
      </c>
      <c r="H528" s="2" t="s">
        <v>23</v>
      </c>
      <c r="I528" s="2" t="s">
        <v>17</v>
      </c>
      <c r="J528" s="2">
        <v>5.35</v>
      </c>
      <c r="K528" s="2" t="str">
        <f t="shared" si="25"/>
        <v>&gt;5kg</v>
      </c>
      <c r="L528" s="2">
        <f>tdata[[#This Row],[Received_date]]-tdata[[#This Row],[Shipment_Date]]</f>
        <v>8</v>
      </c>
      <c r="M528" s="2">
        <f>VLOOKUP(tdata[[#This Row],[Service_Type]],Table2[#All],2,0)</f>
        <v>5</v>
      </c>
      <c r="N528" s="2" t="str">
        <f>IF(tdata[[#This Row],[Delivery_Days]]&lt;=tdata[[#This Row],[SLA_Days]],"On Time","Late")</f>
        <v>Late</v>
      </c>
      <c r="O528" s="2">
        <f>VLOOKUP(tdata[[#This Row],[Service_Type]],Table2[#All],4,0)</f>
        <v>9000</v>
      </c>
      <c r="P528" s="2">
        <f>tdata[[#This Row],[price_per_kilo]]*tdata[[#This Row],[Weight_KG]]</f>
        <v>48150</v>
      </c>
      <c r="Q528" s="2" t="str">
        <f>VLOOKUP(tdata[[#This Row],[id_employee]],temployee[#All],2,0)</f>
        <v>Ahmad Fauzi</v>
      </c>
      <c r="R528" s="2" t="str">
        <f>VLOOKUP(tdata[[#This Row],[id_employee]],temployee[#All],4,0)</f>
        <v>internal</v>
      </c>
      <c r="S528" s="9" t="str">
        <f>VLOOKUP(tdata[[#This Row],[id_employee]],temployee[#All],5,0)</f>
        <v>rider</v>
      </c>
    </row>
    <row r="529" spans="2:19" x14ac:dyDescent="0.35">
      <c r="B529" s="8" t="s">
        <v>548</v>
      </c>
      <c r="C529" s="2" t="s">
        <v>1298</v>
      </c>
      <c r="D529" s="5">
        <v>44957</v>
      </c>
      <c r="E529" s="5">
        <f>D529+4</f>
        <v>44961</v>
      </c>
      <c r="F529" s="2" t="s">
        <v>30</v>
      </c>
      <c r="G529" s="2" t="s">
        <v>26</v>
      </c>
      <c r="H529" s="2" t="s">
        <v>1224</v>
      </c>
      <c r="I529" s="2" t="s">
        <v>13</v>
      </c>
      <c r="J529" s="2">
        <v>5.36</v>
      </c>
      <c r="K529" s="2" t="str">
        <f t="shared" si="25"/>
        <v>&gt;5kg</v>
      </c>
      <c r="L529" s="2">
        <f>tdata[[#This Row],[Received_date]]-tdata[[#This Row],[Shipment_Date]]</f>
        <v>4</v>
      </c>
      <c r="M529" s="2">
        <f>VLOOKUP(tdata[[#This Row],[Service_Type]],Table2[#All],2,0)</f>
        <v>3</v>
      </c>
      <c r="N529" s="2" t="str">
        <f>IF(tdata[[#This Row],[Delivery_Days]]&lt;=tdata[[#This Row],[SLA_Days]],"On Time","Late")</f>
        <v>Late</v>
      </c>
      <c r="O529" s="2">
        <f>VLOOKUP(tdata[[#This Row],[Service_Type]],Table2[#All],4,0)</f>
        <v>10000</v>
      </c>
      <c r="P529" s="2">
        <f>tdata[[#This Row],[price_per_kilo]]*tdata[[#This Row],[Weight_KG]]</f>
        <v>53600</v>
      </c>
      <c r="Q529" s="2" t="str">
        <f>VLOOKUP(tdata[[#This Row],[id_employee]],temployee[#All],2,0)</f>
        <v>Bayu Ramadhan</v>
      </c>
      <c r="R529" s="2" t="str">
        <f>VLOOKUP(tdata[[#This Row],[id_employee]],temployee[#All],4,0)</f>
        <v>crowd source</v>
      </c>
      <c r="S529" s="9" t="str">
        <f>VLOOKUP(tdata[[#This Row],[id_employee]],temployee[#All],5,0)</f>
        <v>rider</v>
      </c>
    </row>
    <row r="530" spans="2:19" x14ac:dyDescent="0.35">
      <c r="B530" s="8" t="s">
        <v>549</v>
      </c>
      <c r="C530" s="2" t="s">
        <v>1299</v>
      </c>
      <c r="D530" s="5">
        <v>45440</v>
      </c>
      <c r="E530" s="5">
        <v>45440</v>
      </c>
      <c r="F530" s="2" t="s">
        <v>32</v>
      </c>
      <c r="G530" s="2" t="s">
        <v>15</v>
      </c>
      <c r="H530" s="2" t="s">
        <v>23</v>
      </c>
      <c r="I530" s="2" t="s">
        <v>17</v>
      </c>
      <c r="J530" s="2">
        <v>0.79</v>
      </c>
      <c r="K530" s="2" t="str">
        <f t="shared" si="25"/>
        <v>&lt; 5kg</v>
      </c>
      <c r="L530" s="2">
        <f>tdata[[#This Row],[Received_date]]-tdata[[#This Row],[Shipment_Date]]</f>
        <v>0</v>
      </c>
      <c r="M530" s="2">
        <f>VLOOKUP(tdata[[#This Row],[Service_Type]],Table2[#All],2,0)</f>
        <v>5</v>
      </c>
      <c r="N530" s="2" t="str">
        <f>IF(tdata[[#This Row],[Delivery_Days]]&lt;=tdata[[#This Row],[SLA_Days]],"On Time","Late")</f>
        <v>On Time</v>
      </c>
      <c r="O530" s="2">
        <f>VLOOKUP(tdata[[#This Row],[Service_Type]],Table2[#All],4,0)</f>
        <v>9000</v>
      </c>
      <c r="P530" s="2">
        <f>tdata[[#This Row],[price_per_kilo]]*tdata[[#This Row],[Weight_KG]]</f>
        <v>7110</v>
      </c>
      <c r="Q530" s="2" t="str">
        <f>VLOOKUP(tdata[[#This Row],[id_employee]],temployee[#All],2,0)</f>
        <v>Cindy Oktavia</v>
      </c>
      <c r="R530" s="2" t="str">
        <f>VLOOKUP(tdata[[#This Row],[id_employee]],temployee[#All],4,0)</f>
        <v>internal</v>
      </c>
      <c r="S530" s="9" t="str">
        <f>VLOOKUP(tdata[[#This Row],[id_employee]],temployee[#All],5,0)</f>
        <v>rider</v>
      </c>
    </row>
    <row r="531" spans="2:19" x14ac:dyDescent="0.35">
      <c r="B531" s="8" t="s">
        <v>550</v>
      </c>
      <c r="C531" s="2" t="s">
        <v>1300</v>
      </c>
      <c r="D531" s="5">
        <v>45490</v>
      </c>
      <c r="E531" s="5">
        <v>45494</v>
      </c>
      <c r="F531" s="2" t="s">
        <v>16</v>
      </c>
      <c r="G531" s="2" t="s">
        <v>49</v>
      </c>
      <c r="H531" s="2" t="s">
        <v>23</v>
      </c>
      <c r="I531" s="2" t="s">
        <v>13</v>
      </c>
      <c r="J531" s="2">
        <v>1.92</v>
      </c>
      <c r="K531" s="2" t="str">
        <f t="shared" si="25"/>
        <v>&lt; 5kg</v>
      </c>
      <c r="L531" s="2">
        <f>tdata[[#This Row],[Received_date]]-tdata[[#This Row],[Shipment_Date]]</f>
        <v>4</v>
      </c>
      <c r="M531" s="2">
        <f>VLOOKUP(tdata[[#This Row],[Service_Type]],Table2[#All],2,0)</f>
        <v>5</v>
      </c>
      <c r="N531" s="2" t="str">
        <f>IF(tdata[[#This Row],[Delivery_Days]]&lt;=tdata[[#This Row],[SLA_Days]],"On Time","Late")</f>
        <v>On Time</v>
      </c>
      <c r="O531" s="2">
        <f>VLOOKUP(tdata[[#This Row],[Service_Type]],Table2[#All],4,0)</f>
        <v>9000</v>
      </c>
      <c r="P531" s="2">
        <f>tdata[[#This Row],[price_per_kilo]]*tdata[[#This Row],[Weight_KG]]</f>
        <v>17280</v>
      </c>
      <c r="Q531" s="2" t="str">
        <f>VLOOKUP(tdata[[#This Row],[id_employee]],temployee[#All],2,0)</f>
        <v>Dian Pramudya</v>
      </c>
      <c r="R531" s="2" t="str">
        <f>VLOOKUP(tdata[[#This Row],[id_employee]],temployee[#All],4,0)</f>
        <v>crowd source</v>
      </c>
      <c r="S531" s="9" t="str">
        <f>VLOOKUP(tdata[[#This Row],[id_employee]],temployee[#All],5,0)</f>
        <v>driver</v>
      </c>
    </row>
    <row r="532" spans="2:19" x14ac:dyDescent="0.35">
      <c r="B532" s="8" t="s">
        <v>551</v>
      </c>
      <c r="C532" s="2" t="s">
        <v>1301</v>
      </c>
      <c r="D532" s="5">
        <v>45506</v>
      </c>
      <c r="E532" s="5">
        <v>45507</v>
      </c>
      <c r="F532" s="2" t="s">
        <v>26</v>
      </c>
      <c r="G532" s="2" t="s">
        <v>32</v>
      </c>
      <c r="H532" s="2" t="s">
        <v>1223</v>
      </c>
      <c r="I532" s="2" t="s">
        <v>13</v>
      </c>
      <c r="J532" s="2">
        <v>2.69</v>
      </c>
      <c r="K532" s="2" t="str">
        <f t="shared" si="25"/>
        <v>&lt; 5kg</v>
      </c>
      <c r="L532" s="2">
        <f>tdata[[#This Row],[Received_date]]-tdata[[#This Row],[Shipment_Date]]</f>
        <v>1</v>
      </c>
      <c r="M532" s="2">
        <f>VLOOKUP(tdata[[#This Row],[Service_Type]],Table2[#All],2,0)</f>
        <v>1</v>
      </c>
      <c r="N532" s="2" t="str">
        <f>IF(tdata[[#This Row],[Delivery_Days]]&lt;=tdata[[#This Row],[SLA_Days]],"On Time","Late")</f>
        <v>On Time</v>
      </c>
      <c r="O532" s="2">
        <f>VLOOKUP(tdata[[#This Row],[Service_Type]],Table2[#All],4,0)</f>
        <v>12000</v>
      </c>
      <c r="P532" s="2">
        <f>tdata[[#This Row],[price_per_kilo]]*tdata[[#This Row],[Weight_KG]]</f>
        <v>32280</v>
      </c>
      <c r="Q532" s="2" t="str">
        <f>VLOOKUP(tdata[[#This Row],[id_employee]],temployee[#All],2,0)</f>
        <v>Erwin Kurniawan</v>
      </c>
      <c r="R532" s="2" t="str">
        <f>VLOOKUP(tdata[[#This Row],[id_employee]],temployee[#All],4,0)</f>
        <v>internal</v>
      </c>
      <c r="S532" s="9" t="str">
        <f>VLOOKUP(tdata[[#This Row],[id_employee]],temployee[#All],5,0)</f>
        <v>driver</v>
      </c>
    </row>
    <row r="533" spans="2:19" x14ac:dyDescent="0.35">
      <c r="B533" s="8" t="s">
        <v>552</v>
      </c>
      <c r="C533" s="2" t="s">
        <v>1302</v>
      </c>
      <c r="D533" s="5">
        <v>45389</v>
      </c>
      <c r="E533" s="5">
        <v>45396</v>
      </c>
      <c r="F533" s="2" t="s">
        <v>49</v>
      </c>
      <c r="G533" s="2" t="s">
        <v>26</v>
      </c>
      <c r="H533" s="2" t="s">
        <v>23</v>
      </c>
      <c r="I533" s="2" t="s">
        <v>17</v>
      </c>
      <c r="J533" s="2">
        <v>3.44</v>
      </c>
      <c r="K533" s="2" t="str">
        <f t="shared" si="25"/>
        <v>&lt; 5kg</v>
      </c>
      <c r="L533" s="2">
        <f>tdata[[#This Row],[Received_date]]-tdata[[#This Row],[Shipment_Date]]</f>
        <v>7</v>
      </c>
      <c r="M533" s="2">
        <f>VLOOKUP(tdata[[#This Row],[Service_Type]],Table2[#All],2,0)</f>
        <v>5</v>
      </c>
      <c r="N533" s="2" t="str">
        <f>IF(tdata[[#This Row],[Delivery_Days]]&lt;=tdata[[#This Row],[SLA_Days]],"On Time","Late")</f>
        <v>Late</v>
      </c>
      <c r="O533" s="2">
        <f>VLOOKUP(tdata[[#This Row],[Service_Type]],Table2[#All],4,0)</f>
        <v>9000</v>
      </c>
      <c r="P533" s="2">
        <f>tdata[[#This Row],[price_per_kilo]]*tdata[[#This Row],[Weight_KG]]</f>
        <v>30960</v>
      </c>
      <c r="Q533" s="2" t="str">
        <f>VLOOKUP(tdata[[#This Row],[id_employee]],temployee[#All],2,0)</f>
        <v>Fitri Handayani</v>
      </c>
      <c r="R533" s="2" t="str">
        <f>VLOOKUP(tdata[[#This Row],[id_employee]],temployee[#All],4,0)</f>
        <v>crowd source</v>
      </c>
      <c r="S533" s="9" t="str">
        <f>VLOOKUP(tdata[[#This Row],[id_employee]],temployee[#All],5,0)</f>
        <v>rider</v>
      </c>
    </row>
    <row r="534" spans="2:19" x14ac:dyDescent="0.35">
      <c r="B534" s="8" t="s">
        <v>553</v>
      </c>
      <c r="C534" s="2" t="s">
        <v>1303</v>
      </c>
      <c r="D534" s="5">
        <v>45476</v>
      </c>
      <c r="E534" s="5">
        <f>D534+4</f>
        <v>45480</v>
      </c>
      <c r="F534" s="2" t="s">
        <v>11</v>
      </c>
      <c r="G534" s="2" t="s">
        <v>26</v>
      </c>
      <c r="H534" s="2" t="s">
        <v>1224</v>
      </c>
      <c r="I534" s="2" t="s">
        <v>17</v>
      </c>
      <c r="J534" s="2">
        <v>6.85</v>
      </c>
      <c r="K534" s="2" t="str">
        <f t="shared" si="25"/>
        <v>&gt;5kg</v>
      </c>
      <c r="L534" s="2">
        <f>tdata[[#This Row],[Received_date]]-tdata[[#This Row],[Shipment_Date]]</f>
        <v>4</v>
      </c>
      <c r="M534" s="2">
        <f>VLOOKUP(tdata[[#This Row],[Service_Type]],Table2[#All],2,0)</f>
        <v>3</v>
      </c>
      <c r="N534" s="2" t="str">
        <f>IF(tdata[[#This Row],[Delivery_Days]]&lt;=tdata[[#This Row],[SLA_Days]],"On Time","Late")</f>
        <v>Late</v>
      </c>
      <c r="O534" s="2">
        <f>VLOOKUP(tdata[[#This Row],[Service_Type]],Table2[#All],4,0)</f>
        <v>10000</v>
      </c>
      <c r="P534" s="2">
        <f>tdata[[#This Row],[price_per_kilo]]*tdata[[#This Row],[Weight_KG]]</f>
        <v>68500</v>
      </c>
      <c r="Q534" s="2" t="str">
        <f>VLOOKUP(tdata[[#This Row],[id_employee]],temployee[#All],2,0)</f>
        <v>Gilang Saputra</v>
      </c>
      <c r="R534" s="2" t="str">
        <f>VLOOKUP(tdata[[#This Row],[id_employee]],temployee[#All],4,0)</f>
        <v>internal</v>
      </c>
      <c r="S534" s="9" t="str">
        <f>VLOOKUP(tdata[[#This Row],[id_employee]],temployee[#All],5,0)</f>
        <v>rider</v>
      </c>
    </row>
    <row r="535" spans="2:19" x14ac:dyDescent="0.35">
      <c r="B535" s="8" t="s">
        <v>554</v>
      </c>
      <c r="C535" s="2" t="s">
        <v>1304</v>
      </c>
      <c r="D535" s="5">
        <v>45043</v>
      </c>
      <c r="E535" s="5">
        <v>45054</v>
      </c>
      <c r="F535" s="2" t="s">
        <v>15</v>
      </c>
      <c r="G535" s="2" t="s">
        <v>22</v>
      </c>
      <c r="H535" s="2" t="s">
        <v>1224</v>
      </c>
      <c r="I535" s="2" t="s">
        <v>17</v>
      </c>
      <c r="J535" s="2">
        <v>6.46</v>
      </c>
      <c r="K535" s="2" t="str">
        <f t="shared" si="25"/>
        <v>&gt;5kg</v>
      </c>
      <c r="L535" s="2">
        <f>tdata[[#This Row],[Received_date]]-tdata[[#This Row],[Shipment_Date]]</f>
        <v>11</v>
      </c>
      <c r="M535" s="2">
        <f>VLOOKUP(tdata[[#This Row],[Service_Type]],Table2[#All],2,0)</f>
        <v>3</v>
      </c>
      <c r="N535" s="2" t="str">
        <f>IF(tdata[[#This Row],[Delivery_Days]]&lt;=tdata[[#This Row],[SLA_Days]],"On Time","Late")</f>
        <v>Late</v>
      </c>
      <c r="O535" s="2">
        <f>VLOOKUP(tdata[[#This Row],[Service_Type]],Table2[#All],4,0)</f>
        <v>10000</v>
      </c>
      <c r="P535" s="2">
        <f>tdata[[#This Row],[price_per_kilo]]*tdata[[#This Row],[Weight_KG]]</f>
        <v>64600</v>
      </c>
      <c r="Q535" s="2" t="str">
        <f>VLOOKUP(tdata[[#This Row],[id_employee]],temployee[#All],2,0)</f>
        <v>Hariyanto</v>
      </c>
      <c r="R535" s="2" t="str">
        <f>VLOOKUP(tdata[[#This Row],[id_employee]],temployee[#All],4,0)</f>
        <v>crowd source</v>
      </c>
      <c r="S535" s="9" t="str">
        <f>VLOOKUP(tdata[[#This Row],[id_employee]],temployee[#All],5,0)</f>
        <v>driver</v>
      </c>
    </row>
    <row r="536" spans="2:19" x14ac:dyDescent="0.35">
      <c r="B536" s="8" t="s">
        <v>555</v>
      </c>
      <c r="C536" s="2" t="s">
        <v>1305</v>
      </c>
      <c r="D536" s="5">
        <v>45431</v>
      </c>
      <c r="E536" s="5">
        <v>45442</v>
      </c>
      <c r="F536" s="2" t="s">
        <v>20</v>
      </c>
      <c r="G536" s="2" t="s">
        <v>12</v>
      </c>
      <c r="H536" s="2" t="s">
        <v>23</v>
      </c>
      <c r="I536" s="2" t="s">
        <v>17</v>
      </c>
      <c r="J536" s="2">
        <v>5.87</v>
      </c>
      <c r="K536" s="2" t="str">
        <f t="shared" si="25"/>
        <v>&gt;5kg</v>
      </c>
      <c r="L536" s="2">
        <f>tdata[[#This Row],[Received_date]]-tdata[[#This Row],[Shipment_Date]]</f>
        <v>11</v>
      </c>
      <c r="M536" s="2">
        <f>VLOOKUP(tdata[[#This Row],[Service_Type]],Table2[#All],2,0)</f>
        <v>5</v>
      </c>
      <c r="N536" s="2" t="str">
        <f>IF(tdata[[#This Row],[Delivery_Days]]&lt;=tdata[[#This Row],[SLA_Days]],"On Time","Late")</f>
        <v>Late</v>
      </c>
      <c r="O536" s="2">
        <f>VLOOKUP(tdata[[#This Row],[Service_Type]],Table2[#All],4,0)</f>
        <v>9000</v>
      </c>
      <c r="P536" s="2">
        <f>tdata[[#This Row],[price_per_kilo]]*tdata[[#This Row],[Weight_KG]]</f>
        <v>52830</v>
      </c>
      <c r="Q536" s="2" t="str">
        <f>VLOOKUP(tdata[[#This Row],[id_employee]],temployee[#All],2,0)</f>
        <v>Intan Maharani</v>
      </c>
      <c r="R536" s="2" t="str">
        <f>VLOOKUP(tdata[[#This Row],[id_employee]],temployee[#All],4,0)</f>
        <v>internal</v>
      </c>
      <c r="S536" s="9" t="str">
        <f>VLOOKUP(tdata[[#This Row],[id_employee]],temployee[#All],5,0)</f>
        <v>rider</v>
      </c>
    </row>
    <row r="537" spans="2:19" x14ac:dyDescent="0.35">
      <c r="B537" s="8" t="s">
        <v>556</v>
      </c>
      <c r="C537" s="2" t="s">
        <v>1306</v>
      </c>
      <c r="D537" s="5">
        <v>45643</v>
      </c>
      <c r="E537" s="5">
        <v>45647</v>
      </c>
      <c r="F537" s="2" t="s">
        <v>22</v>
      </c>
      <c r="G537" s="2" t="s">
        <v>12</v>
      </c>
      <c r="H537" s="2" t="s">
        <v>1224</v>
      </c>
      <c r="I537" s="2" t="s">
        <v>17</v>
      </c>
      <c r="J537" s="2">
        <v>4.1399999999999997</v>
      </c>
      <c r="K537" s="2" t="str">
        <f t="shared" si="25"/>
        <v>&lt; 5kg</v>
      </c>
      <c r="L537" s="2">
        <f>tdata[[#This Row],[Received_date]]-tdata[[#This Row],[Shipment_Date]]</f>
        <v>4</v>
      </c>
      <c r="M537" s="2">
        <f>VLOOKUP(tdata[[#This Row],[Service_Type]],Table2[#All],2,0)</f>
        <v>3</v>
      </c>
      <c r="N537" s="2" t="str">
        <f>IF(tdata[[#This Row],[Delivery_Days]]&lt;=tdata[[#This Row],[SLA_Days]],"On Time","Late")</f>
        <v>Late</v>
      </c>
      <c r="O537" s="2">
        <f>VLOOKUP(tdata[[#This Row],[Service_Type]],Table2[#All],4,0)</f>
        <v>10000</v>
      </c>
      <c r="P537" s="2">
        <f>tdata[[#This Row],[price_per_kilo]]*tdata[[#This Row],[Weight_KG]]</f>
        <v>41400</v>
      </c>
      <c r="Q537" s="2" t="str">
        <f>VLOOKUP(tdata[[#This Row],[id_employee]],temployee[#All],2,0)</f>
        <v>Jefri Alamsyah</v>
      </c>
      <c r="R537" s="2" t="str">
        <f>VLOOKUP(tdata[[#This Row],[id_employee]],temployee[#All],4,0)</f>
        <v>internal</v>
      </c>
      <c r="S537" s="9" t="str">
        <f>VLOOKUP(tdata[[#This Row],[id_employee]],temployee[#All],5,0)</f>
        <v>driver</v>
      </c>
    </row>
    <row r="538" spans="2:19" x14ac:dyDescent="0.35">
      <c r="B538" s="8" t="s">
        <v>557</v>
      </c>
      <c r="C538" s="2" t="s">
        <v>1307</v>
      </c>
      <c r="D538" s="5">
        <v>45309</v>
      </c>
      <c r="E538" s="5">
        <f>D538+4</f>
        <v>45313</v>
      </c>
      <c r="F538" s="2" t="s">
        <v>12</v>
      </c>
      <c r="G538" s="2" t="s">
        <v>30</v>
      </c>
      <c r="H538" s="2" t="s">
        <v>23</v>
      </c>
      <c r="I538" s="2" t="s">
        <v>17</v>
      </c>
      <c r="J538" s="2">
        <v>9.69</v>
      </c>
      <c r="K538" s="2" t="str">
        <f t="shared" si="25"/>
        <v>&gt;5kg</v>
      </c>
      <c r="L538" s="2">
        <f>tdata[[#This Row],[Received_date]]-tdata[[#This Row],[Shipment_Date]]</f>
        <v>4</v>
      </c>
      <c r="M538" s="2">
        <f>VLOOKUP(tdata[[#This Row],[Service_Type]],Table2[#All],2,0)</f>
        <v>5</v>
      </c>
      <c r="N538" s="2" t="str">
        <f>IF(tdata[[#This Row],[Delivery_Days]]&lt;=tdata[[#This Row],[SLA_Days]],"On Time","Late")</f>
        <v>On Time</v>
      </c>
      <c r="O538" s="2">
        <f>VLOOKUP(tdata[[#This Row],[Service_Type]],Table2[#All],4,0)</f>
        <v>9000</v>
      </c>
      <c r="P538" s="2">
        <f>tdata[[#This Row],[price_per_kilo]]*tdata[[#This Row],[Weight_KG]]</f>
        <v>87210</v>
      </c>
      <c r="Q538" s="2" t="str">
        <f>VLOOKUP(tdata[[#This Row],[id_employee]],temployee[#All],2,0)</f>
        <v>Kartika Sari</v>
      </c>
      <c r="R538" s="2" t="str">
        <f>VLOOKUP(tdata[[#This Row],[id_employee]],temployee[#All],4,0)</f>
        <v>crowd source</v>
      </c>
      <c r="S538" s="9" t="str">
        <f>VLOOKUP(tdata[[#This Row],[id_employee]],temployee[#All],5,0)</f>
        <v>rider</v>
      </c>
    </row>
    <row r="539" spans="2:19" x14ac:dyDescent="0.35">
      <c r="B539" s="8" t="s">
        <v>558</v>
      </c>
      <c r="C539" s="2" t="s">
        <v>1308</v>
      </c>
      <c r="D539" s="5">
        <v>44947</v>
      </c>
      <c r="E539" s="5">
        <v>44947</v>
      </c>
      <c r="F539" s="2" t="s">
        <v>30</v>
      </c>
      <c r="G539" s="2" t="s">
        <v>16</v>
      </c>
      <c r="H539" s="2" t="s">
        <v>1223</v>
      </c>
      <c r="I539" s="2" t="s">
        <v>17</v>
      </c>
      <c r="J539" s="2">
        <v>4.75</v>
      </c>
      <c r="K539" s="2" t="str">
        <f t="shared" si="25"/>
        <v>&lt; 5kg</v>
      </c>
      <c r="L539" s="2">
        <f>tdata[[#This Row],[Received_date]]-tdata[[#This Row],[Shipment_Date]]</f>
        <v>0</v>
      </c>
      <c r="M539" s="2">
        <f>VLOOKUP(tdata[[#This Row],[Service_Type]],Table2[#All],2,0)</f>
        <v>1</v>
      </c>
      <c r="N539" s="2" t="str">
        <f>IF(tdata[[#This Row],[Delivery_Days]]&lt;=tdata[[#This Row],[SLA_Days]],"On Time","Late")</f>
        <v>On Time</v>
      </c>
      <c r="O539" s="2">
        <f>VLOOKUP(tdata[[#This Row],[Service_Type]],Table2[#All],4,0)</f>
        <v>12000</v>
      </c>
      <c r="P539" s="2">
        <f>tdata[[#This Row],[price_per_kilo]]*tdata[[#This Row],[Weight_KG]]</f>
        <v>57000</v>
      </c>
      <c r="Q539" s="2" t="str">
        <f>VLOOKUP(tdata[[#This Row],[id_employee]],temployee[#All],2,0)</f>
        <v>Lukman Hakim</v>
      </c>
      <c r="R539" s="2" t="str">
        <f>VLOOKUP(tdata[[#This Row],[id_employee]],temployee[#All],4,0)</f>
        <v>internal</v>
      </c>
      <c r="S539" s="9" t="str">
        <f>VLOOKUP(tdata[[#This Row],[id_employee]],temployee[#All],5,0)</f>
        <v>driver</v>
      </c>
    </row>
    <row r="540" spans="2:19" x14ac:dyDescent="0.35">
      <c r="B540" s="8" t="s">
        <v>559</v>
      </c>
      <c r="C540" s="2" t="s">
        <v>1309</v>
      </c>
      <c r="D540" s="5">
        <v>44964</v>
      </c>
      <c r="E540" s="5">
        <f>D540+4</f>
        <v>44968</v>
      </c>
      <c r="F540" s="2" t="s">
        <v>32</v>
      </c>
      <c r="G540" s="2" t="s">
        <v>32</v>
      </c>
      <c r="H540" s="2" t="s">
        <v>1223</v>
      </c>
      <c r="I540" s="2" t="s">
        <v>13</v>
      </c>
      <c r="J540" s="2">
        <v>9.7100000000000009</v>
      </c>
      <c r="K540" s="2" t="str">
        <f t="shared" si="25"/>
        <v>&gt;5kg</v>
      </c>
      <c r="L540" s="2">
        <f>tdata[[#This Row],[Received_date]]-tdata[[#This Row],[Shipment_Date]]</f>
        <v>4</v>
      </c>
      <c r="M540" s="2">
        <f>VLOOKUP(tdata[[#This Row],[Service_Type]],Table2[#All],2,0)</f>
        <v>1</v>
      </c>
      <c r="N540" s="2" t="str">
        <f>IF(tdata[[#This Row],[Delivery_Days]]&lt;=tdata[[#This Row],[SLA_Days]],"On Time","Late")</f>
        <v>Late</v>
      </c>
      <c r="O540" s="2">
        <f>VLOOKUP(tdata[[#This Row],[Service_Type]],Table2[#All],4,0)</f>
        <v>12000</v>
      </c>
      <c r="P540" s="2">
        <f>tdata[[#This Row],[price_per_kilo]]*tdata[[#This Row],[Weight_KG]]</f>
        <v>116520.00000000001</v>
      </c>
      <c r="Q540" s="2" t="str">
        <f>VLOOKUP(tdata[[#This Row],[id_employee]],temployee[#All],2,0)</f>
        <v>Mega Puspitasari</v>
      </c>
      <c r="R540" s="2" t="str">
        <f>VLOOKUP(tdata[[#This Row],[id_employee]],temployee[#All],4,0)</f>
        <v>internal</v>
      </c>
      <c r="S540" s="9" t="str">
        <f>VLOOKUP(tdata[[#This Row],[id_employee]],temployee[#All],5,0)</f>
        <v>rider</v>
      </c>
    </row>
    <row r="541" spans="2:19" x14ac:dyDescent="0.35">
      <c r="B541" s="8" t="s">
        <v>560</v>
      </c>
      <c r="C541" s="2" t="s">
        <v>1310</v>
      </c>
      <c r="D541" s="5">
        <v>44993</v>
      </c>
      <c r="E541" s="5">
        <v>45000</v>
      </c>
      <c r="F541" s="2" t="s">
        <v>16</v>
      </c>
      <c r="G541" s="2" t="s">
        <v>30</v>
      </c>
      <c r="H541" s="2" t="s">
        <v>1223</v>
      </c>
      <c r="I541" s="2" t="s">
        <v>13</v>
      </c>
      <c r="J541" s="2">
        <v>4.1900000000000004</v>
      </c>
      <c r="K541" s="2" t="str">
        <f t="shared" si="25"/>
        <v>&lt; 5kg</v>
      </c>
      <c r="L541" s="2">
        <f>tdata[[#This Row],[Received_date]]-tdata[[#This Row],[Shipment_Date]]</f>
        <v>7</v>
      </c>
      <c r="M541" s="2">
        <f>VLOOKUP(tdata[[#This Row],[Service_Type]],Table2[#All],2,0)</f>
        <v>1</v>
      </c>
      <c r="N541" s="2" t="str">
        <f>IF(tdata[[#This Row],[Delivery_Days]]&lt;=tdata[[#This Row],[SLA_Days]],"On Time","Late")</f>
        <v>Late</v>
      </c>
      <c r="O541" s="2">
        <f>VLOOKUP(tdata[[#This Row],[Service_Type]],Table2[#All],4,0)</f>
        <v>12000</v>
      </c>
      <c r="P541" s="2">
        <f>tdata[[#This Row],[price_per_kilo]]*tdata[[#This Row],[Weight_KG]]</f>
        <v>50280.000000000007</v>
      </c>
      <c r="Q541" s="2" t="str">
        <f>VLOOKUP(tdata[[#This Row],[id_employee]],temployee[#All],2,0)</f>
        <v>Niko Prasetyo</v>
      </c>
      <c r="R541" s="2" t="str">
        <f>VLOOKUP(tdata[[#This Row],[id_employee]],temployee[#All],4,0)</f>
        <v>crowd source</v>
      </c>
      <c r="S541" s="9" t="str">
        <f>VLOOKUP(tdata[[#This Row],[id_employee]],temployee[#All],5,0)</f>
        <v>driver</v>
      </c>
    </row>
    <row r="542" spans="2:19" x14ac:dyDescent="0.35">
      <c r="B542" s="8" t="s">
        <v>561</v>
      </c>
      <c r="C542" s="2" t="s">
        <v>1311</v>
      </c>
      <c r="D542" s="5">
        <v>45031</v>
      </c>
      <c r="E542" s="5">
        <v>45034</v>
      </c>
      <c r="F542" s="2" t="s">
        <v>26</v>
      </c>
      <c r="G542" s="2" t="s">
        <v>16</v>
      </c>
      <c r="H542" s="2" t="s">
        <v>1224</v>
      </c>
      <c r="I542" s="2" t="s">
        <v>13</v>
      </c>
      <c r="J542" s="2">
        <v>3.11</v>
      </c>
      <c r="K542" s="2" t="str">
        <f t="shared" si="25"/>
        <v>&lt; 5kg</v>
      </c>
      <c r="L542" s="2">
        <f>tdata[[#This Row],[Received_date]]-tdata[[#This Row],[Shipment_Date]]</f>
        <v>3</v>
      </c>
      <c r="M542" s="2">
        <f>VLOOKUP(tdata[[#This Row],[Service_Type]],Table2[#All],2,0)</f>
        <v>3</v>
      </c>
      <c r="N542" s="2" t="str">
        <f>IF(tdata[[#This Row],[Delivery_Days]]&lt;=tdata[[#This Row],[SLA_Days]],"On Time","Late")</f>
        <v>On Time</v>
      </c>
      <c r="O542" s="2">
        <f>VLOOKUP(tdata[[#This Row],[Service_Type]],Table2[#All],4,0)</f>
        <v>10000</v>
      </c>
      <c r="P542" s="2">
        <f>tdata[[#This Row],[price_per_kilo]]*tdata[[#This Row],[Weight_KG]]</f>
        <v>31100</v>
      </c>
      <c r="Q542" s="2" t="str">
        <f>VLOOKUP(tdata[[#This Row],[id_employee]],temployee[#All],2,0)</f>
        <v>Olivia Putri</v>
      </c>
      <c r="R542" s="2" t="str">
        <f>VLOOKUP(tdata[[#This Row],[id_employee]],temployee[#All],4,0)</f>
        <v>internal</v>
      </c>
      <c r="S542" s="9" t="str">
        <f>VLOOKUP(tdata[[#This Row],[id_employee]],temployee[#All],5,0)</f>
        <v>rider</v>
      </c>
    </row>
    <row r="543" spans="2:19" x14ac:dyDescent="0.35">
      <c r="B543" s="8" t="s">
        <v>562</v>
      </c>
      <c r="C543" s="2" t="s">
        <v>1312</v>
      </c>
      <c r="D543" s="5">
        <v>45379</v>
      </c>
      <c r="E543" s="5">
        <v>45381</v>
      </c>
      <c r="F543" s="2" t="s">
        <v>49</v>
      </c>
      <c r="G543" s="2" t="s">
        <v>16</v>
      </c>
      <c r="H543" s="2" t="s">
        <v>1224</v>
      </c>
      <c r="I543" s="2" t="s">
        <v>17</v>
      </c>
      <c r="J543" s="2">
        <v>0.62</v>
      </c>
      <c r="K543" s="2" t="str">
        <f t="shared" si="25"/>
        <v>&lt; 5kg</v>
      </c>
      <c r="L543" s="2">
        <f>tdata[[#This Row],[Received_date]]-tdata[[#This Row],[Shipment_Date]]</f>
        <v>2</v>
      </c>
      <c r="M543" s="2">
        <f>VLOOKUP(tdata[[#This Row],[Service_Type]],Table2[#All],2,0)</f>
        <v>3</v>
      </c>
      <c r="N543" s="2" t="str">
        <f>IF(tdata[[#This Row],[Delivery_Days]]&lt;=tdata[[#This Row],[SLA_Days]],"On Time","Late")</f>
        <v>On Time</v>
      </c>
      <c r="O543" s="2">
        <f>VLOOKUP(tdata[[#This Row],[Service_Type]],Table2[#All],4,0)</f>
        <v>10000</v>
      </c>
      <c r="P543" s="2">
        <f>tdata[[#This Row],[price_per_kilo]]*tdata[[#This Row],[Weight_KG]]</f>
        <v>6200</v>
      </c>
      <c r="Q543" s="2" t="str">
        <f>VLOOKUP(tdata[[#This Row],[id_employee]],temployee[#All],2,0)</f>
        <v>Prasetyo Utomo</v>
      </c>
      <c r="R543" s="2" t="str">
        <f>VLOOKUP(tdata[[#This Row],[id_employee]],temployee[#All],4,0)</f>
        <v>internal</v>
      </c>
      <c r="S543" s="9" t="str">
        <f>VLOOKUP(tdata[[#This Row],[id_employee]],temployee[#All],5,0)</f>
        <v>driver</v>
      </c>
    </row>
    <row r="544" spans="2:19" x14ac:dyDescent="0.35">
      <c r="B544" s="8" t="s">
        <v>563</v>
      </c>
      <c r="C544" s="2" t="s">
        <v>1313</v>
      </c>
      <c r="D544" s="5">
        <v>45234</v>
      </c>
      <c r="E544" s="5">
        <v>45244</v>
      </c>
      <c r="F544" s="2" t="s">
        <v>11</v>
      </c>
      <c r="G544" s="2" t="s">
        <v>20</v>
      </c>
      <c r="H544" s="2" t="s">
        <v>1224</v>
      </c>
      <c r="I544" s="2" t="s">
        <v>17</v>
      </c>
      <c r="J544" s="2">
        <v>4.7</v>
      </c>
      <c r="K544" s="2" t="str">
        <f t="shared" si="25"/>
        <v>&lt; 5kg</v>
      </c>
      <c r="L544" s="2">
        <f>tdata[[#This Row],[Received_date]]-tdata[[#This Row],[Shipment_Date]]</f>
        <v>10</v>
      </c>
      <c r="M544" s="2">
        <f>VLOOKUP(tdata[[#This Row],[Service_Type]],Table2[#All],2,0)</f>
        <v>3</v>
      </c>
      <c r="N544" s="2" t="str">
        <f>IF(tdata[[#This Row],[Delivery_Days]]&lt;=tdata[[#This Row],[SLA_Days]],"On Time","Late")</f>
        <v>Late</v>
      </c>
      <c r="O544" s="2">
        <f>VLOOKUP(tdata[[#This Row],[Service_Type]],Table2[#All],4,0)</f>
        <v>10000</v>
      </c>
      <c r="P544" s="2">
        <f>tdata[[#This Row],[price_per_kilo]]*tdata[[#This Row],[Weight_KG]]</f>
        <v>47000</v>
      </c>
      <c r="Q544" s="2" t="str">
        <f>VLOOKUP(tdata[[#This Row],[id_employee]],temployee[#All],2,0)</f>
        <v>Qori Annisa</v>
      </c>
      <c r="R544" s="2" t="str">
        <f>VLOOKUP(tdata[[#This Row],[id_employee]],temployee[#All],4,0)</f>
        <v>crowd source</v>
      </c>
      <c r="S544" s="9" t="str">
        <f>VLOOKUP(tdata[[#This Row],[id_employee]],temployee[#All],5,0)</f>
        <v>rider</v>
      </c>
    </row>
    <row r="545" spans="2:19" x14ac:dyDescent="0.35">
      <c r="B545" s="8" t="s">
        <v>564</v>
      </c>
      <c r="C545" s="2" t="s">
        <v>1314</v>
      </c>
      <c r="D545" s="5">
        <v>45258</v>
      </c>
      <c r="E545" s="5">
        <v>45265</v>
      </c>
      <c r="F545" s="2" t="s">
        <v>15</v>
      </c>
      <c r="G545" s="2" t="s">
        <v>22</v>
      </c>
      <c r="H545" s="2" t="s">
        <v>1223</v>
      </c>
      <c r="I545" s="2" t="s">
        <v>13</v>
      </c>
      <c r="J545" s="2">
        <v>9.39</v>
      </c>
      <c r="K545" s="2" t="str">
        <f t="shared" si="25"/>
        <v>&gt;5kg</v>
      </c>
      <c r="L545" s="2">
        <f>tdata[[#This Row],[Received_date]]-tdata[[#This Row],[Shipment_Date]]</f>
        <v>7</v>
      </c>
      <c r="M545" s="2">
        <f>VLOOKUP(tdata[[#This Row],[Service_Type]],Table2[#All],2,0)</f>
        <v>1</v>
      </c>
      <c r="N545" s="2" t="str">
        <f>IF(tdata[[#This Row],[Delivery_Days]]&lt;=tdata[[#This Row],[SLA_Days]],"On Time","Late")</f>
        <v>Late</v>
      </c>
      <c r="O545" s="2">
        <f>VLOOKUP(tdata[[#This Row],[Service_Type]],Table2[#All],4,0)</f>
        <v>12000</v>
      </c>
      <c r="P545" s="2">
        <f>tdata[[#This Row],[price_per_kilo]]*tdata[[#This Row],[Weight_KG]]</f>
        <v>112680</v>
      </c>
      <c r="Q545" s="2" t="str">
        <f>VLOOKUP(tdata[[#This Row],[id_employee]],temployee[#All],2,0)</f>
        <v>Rangga Saptonugroho</v>
      </c>
      <c r="R545" s="2" t="str">
        <f>VLOOKUP(tdata[[#This Row],[id_employee]],temployee[#All],4,0)</f>
        <v>crowd source</v>
      </c>
      <c r="S545" s="9" t="str">
        <f>VLOOKUP(tdata[[#This Row],[id_employee]],temployee[#All],5,0)</f>
        <v>driver</v>
      </c>
    </row>
    <row r="546" spans="2:19" x14ac:dyDescent="0.35">
      <c r="B546" s="8" t="s">
        <v>565</v>
      </c>
      <c r="C546" s="2" t="s">
        <v>1315</v>
      </c>
      <c r="D546" s="5">
        <v>45314</v>
      </c>
      <c r="E546" s="5">
        <v>45324</v>
      </c>
      <c r="F546" s="2" t="s">
        <v>20</v>
      </c>
      <c r="G546" s="2" t="s">
        <v>20</v>
      </c>
      <c r="H546" s="2" t="s">
        <v>1224</v>
      </c>
      <c r="I546" s="2" t="s">
        <v>13</v>
      </c>
      <c r="J546" s="2">
        <v>1.24</v>
      </c>
      <c r="K546" s="2" t="str">
        <f t="shared" si="25"/>
        <v>&lt; 5kg</v>
      </c>
      <c r="L546" s="2">
        <f>tdata[[#This Row],[Received_date]]-tdata[[#This Row],[Shipment_Date]]</f>
        <v>10</v>
      </c>
      <c r="M546" s="2">
        <f>VLOOKUP(tdata[[#This Row],[Service_Type]],Table2[#All],2,0)</f>
        <v>3</v>
      </c>
      <c r="N546" s="2" t="str">
        <f>IF(tdata[[#This Row],[Delivery_Days]]&lt;=tdata[[#This Row],[SLA_Days]],"On Time","Late")</f>
        <v>Late</v>
      </c>
      <c r="O546" s="2">
        <f>VLOOKUP(tdata[[#This Row],[Service_Type]],Table2[#All],4,0)</f>
        <v>10000</v>
      </c>
      <c r="P546" s="2">
        <f>tdata[[#This Row],[price_per_kilo]]*tdata[[#This Row],[Weight_KG]]</f>
        <v>12400</v>
      </c>
      <c r="Q546" s="2" t="str">
        <f>VLOOKUP(tdata[[#This Row],[id_employee]],temployee[#All],2,0)</f>
        <v>Sinta Dewi</v>
      </c>
      <c r="R546" s="2" t="str">
        <f>VLOOKUP(tdata[[#This Row],[id_employee]],temployee[#All],4,0)</f>
        <v>internal</v>
      </c>
      <c r="S546" s="9" t="str">
        <f>VLOOKUP(tdata[[#This Row],[id_employee]],temployee[#All],5,0)</f>
        <v>rider</v>
      </c>
    </row>
    <row r="547" spans="2:19" x14ac:dyDescent="0.35">
      <c r="B547" s="8" t="s">
        <v>566</v>
      </c>
      <c r="C547" s="2" t="s">
        <v>1316</v>
      </c>
      <c r="D547" s="5">
        <v>45161</v>
      </c>
      <c r="E547" s="5">
        <v>45161</v>
      </c>
      <c r="F547" s="2" t="s">
        <v>22</v>
      </c>
      <c r="G547" s="2" t="s">
        <v>15</v>
      </c>
      <c r="H547" s="2" t="s">
        <v>1223</v>
      </c>
      <c r="I547" s="2" t="s">
        <v>13</v>
      </c>
      <c r="J547" s="2">
        <v>1.04</v>
      </c>
      <c r="K547" s="2" t="str">
        <f t="shared" si="25"/>
        <v>&lt; 5kg</v>
      </c>
      <c r="L547" s="2">
        <f>tdata[[#This Row],[Received_date]]-tdata[[#This Row],[Shipment_Date]]</f>
        <v>0</v>
      </c>
      <c r="M547" s="2">
        <f>VLOOKUP(tdata[[#This Row],[Service_Type]],Table2[#All],2,0)</f>
        <v>1</v>
      </c>
      <c r="N547" s="2" t="str">
        <f>IF(tdata[[#This Row],[Delivery_Days]]&lt;=tdata[[#This Row],[SLA_Days]],"On Time","Late")</f>
        <v>On Time</v>
      </c>
      <c r="O547" s="2">
        <f>VLOOKUP(tdata[[#This Row],[Service_Type]],Table2[#All],4,0)</f>
        <v>12000</v>
      </c>
      <c r="P547" s="2">
        <f>tdata[[#This Row],[price_per_kilo]]*tdata[[#This Row],[Weight_KG]]</f>
        <v>12480</v>
      </c>
      <c r="Q547" s="2" t="str">
        <f>VLOOKUP(tdata[[#This Row],[id_employee]],temployee[#All],2,0)</f>
        <v>Taufik Hidayat</v>
      </c>
      <c r="R547" s="2" t="str">
        <f>VLOOKUP(tdata[[#This Row],[id_employee]],temployee[#All],4,0)</f>
        <v>internal</v>
      </c>
      <c r="S547" s="9" t="str">
        <f>VLOOKUP(tdata[[#This Row],[id_employee]],temployee[#All],5,0)</f>
        <v>driver</v>
      </c>
    </row>
    <row r="548" spans="2:19" x14ac:dyDescent="0.35">
      <c r="B548" s="8" t="s">
        <v>567</v>
      </c>
      <c r="C548" s="2" t="s">
        <v>1317</v>
      </c>
      <c r="D548" s="5">
        <v>45192</v>
      </c>
      <c r="E548" s="5">
        <f>D548+4</f>
        <v>45196</v>
      </c>
      <c r="F548" s="2" t="s">
        <v>12</v>
      </c>
      <c r="G548" s="2" t="s">
        <v>15</v>
      </c>
      <c r="H548" s="2" t="s">
        <v>1224</v>
      </c>
      <c r="I548" s="2" t="s">
        <v>13</v>
      </c>
      <c r="J548" s="2">
        <v>5.87</v>
      </c>
      <c r="K548" s="2" t="str">
        <f t="shared" si="25"/>
        <v>&gt;5kg</v>
      </c>
      <c r="L548" s="2">
        <f>tdata[[#This Row],[Received_date]]-tdata[[#This Row],[Shipment_Date]]</f>
        <v>4</v>
      </c>
      <c r="M548" s="2">
        <f>VLOOKUP(tdata[[#This Row],[Service_Type]],Table2[#All],2,0)</f>
        <v>3</v>
      </c>
      <c r="N548" s="2" t="str">
        <f>IF(tdata[[#This Row],[Delivery_Days]]&lt;=tdata[[#This Row],[SLA_Days]],"On Time","Late")</f>
        <v>Late</v>
      </c>
      <c r="O548" s="2">
        <f>VLOOKUP(tdata[[#This Row],[Service_Type]],Table2[#All],4,0)</f>
        <v>10000</v>
      </c>
      <c r="P548" s="2">
        <f>tdata[[#This Row],[price_per_kilo]]*tdata[[#This Row],[Weight_KG]]</f>
        <v>58700</v>
      </c>
      <c r="Q548" s="2" t="str">
        <f>VLOOKUP(tdata[[#This Row],[id_employee]],temployee[#All],2,0)</f>
        <v>Usman Ali</v>
      </c>
      <c r="R548" s="2" t="str">
        <f>VLOOKUP(tdata[[#This Row],[id_employee]],temployee[#All],4,0)</f>
        <v>crowd source</v>
      </c>
      <c r="S548" s="9" t="str">
        <f>VLOOKUP(tdata[[#This Row],[id_employee]],temployee[#All],5,0)</f>
        <v>rider</v>
      </c>
    </row>
    <row r="549" spans="2:19" x14ac:dyDescent="0.35">
      <c r="B549" s="8" t="s">
        <v>568</v>
      </c>
      <c r="C549" s="2" t="s">
        <v>1318</v>
      </c>
      <c r="D549" s="5">
        <v>45513</v>
      </c>
      <c r="E549" s="5">
        <v>45521</v>
      </c>
      <c r="F549" s="2" t="s">
        <v>30</v>
      </c>
      <c r="G549" s="2" t="s">
        <v>12</v>
      </c>
      <c r="H549" s="2" t="s">
        <v>23</v>
      </c>
      <c r="I549" s="2" t="s">
        <v>13</v>
      </c>
      <c r="J549" s="2">
        <v>9.0299999999999994</v>
      </c>
      <c r="K549" s="2" t="str">
        <f t="shared" si="25"/>
        <v>&gt;5kg</v>
      </c>
      <c r="L549" s="2">
        <f>tdata[[#This Row],[Received_date]]-tdata[[#This Row],[Shipment_Date]]</f>
        <v>8</v>
      </c>
      <c r="M549" s="2">
        <f>VLOOKUP(tdata[[#This Row],[Service_Type]],Table2[#All],2,0)</f>
        <v>5</v>
      </c>
      <c r="N549" s="2" t="str">
        <f>IF(tdata[[#This Row],[Delivery_Days]]&lt;=tdata[[#This Row],[SLA_Days]],"On Time","Late")</f>
        <v>Late</v>
      </c>
      <c r="O549" s="2">
        <f>VLOOKUP(tdata[[#This Row],[Service_Type]],Table2[#All],4,0)</f>
        <v>9000</v>
      </c>
      <c r="P549" s="2">
        <f>tdata[[#This Row],[price_per_kilo]]*tdata[[#This Row],[Weight_KG]]</f>
        <v>81270</v>
      </c>
      <c r="Q549" s="2" t="str">
        <f>VLOOKUP(tdata[[#This Row],[id_employee]],temployee[#All],2,0)</f>
        <v>Vivi Lestari</v>
      </c>
      <c r="R549" s="2" t="str">
        <f>VLOOKUP(tdata[[#This Row],[id_employee]],temployee[#All],4,0)</f>
        <v>internal</v>
      </c>
      <c r="S549" s="9" t="str">
        <f>VLOOKUP(tdata[[#This Row],[id_employee]],temployee[#All],5,0)</f>
        <v>rider</v>
      </c>
    </row>
    <row r="550" spans="2:19" x14ac:dyDescent="0.35">
      <c r="B550" s="8" t="s">
        <v>569</v>
      </c>
      <c r="C550" s="2" t="s">
        <v>1319</v>
      </c>
      <c r="D550" s="5">
        <v>45596</v>
      </c>
      <c r="E550" s="5">
        <v>45597</v>
      </c>
      <c r="F550" s="2" t="s">
        <v>32</v>
      </c>
      <c r="G550" s="2" t="s">
        <v>11</v>
      </c>
      <c r="H550" s="2" t="s">
        <v>1224</v>
      </c>
      <c r="I550" s="2" t="s">
        <v>17</v>
      </c>
      <c r="J550" s="2">
        <v>4.87</v>
      </c>
      <c r="K550" s="2" t="str">
        <f t="shared" si="25"/>
        <v>&lt; 5kg</v>
      </c>
      <c r="L550" s="2">
        <f>tdata[[#This Row],[Received_date]]-tdata[[#This Row],[Shipment_Date]]</f>
        <v>1</v>
      </c>
      <c r="M550" s="2">
        <f>VLOOKUP(tdata[[#This Row],[Service_Type]],Table2[#All],2,0)</f>
        <v>3</v>
      </c>
      <c r="N550" s="2" t="str">
        <f>IF(tdata[[#This Row],[Delivery_Days]]&lt;=tdata[[#This Row],[SLA_Days]],"On Time","Late")</f>
        <v>On Time</v>
      </c>
      <c r="O550" s="2">
        <f>VLOOKUP(tdata[[#This Row],[Service_Type]],Table2[#All],4,0)</f>
        <v>10000</v>
      </c>
      <c r="P550" s="2">
        <f>tdata[[#This Row],[price_per_kilo]]*tdata[[#This Row],[Weight_KG]]</f>
        <v>48700</v>
      </c>
      <c r="Q550" s="2" t="str">
        <f>VLOOKUP(tdata[[#This Row],[id_employee]],temployee[#All],2,0)</f>
        <v>Wawan Setiabudi</v>
      </c>
      <c r="R550" s="2" t="str">
        <f>VLOOKUP(tdata[[#This Row],[id_employee]],temployee[#All],4,0)</f>
        <v>internal</v>
      </c>
      <c r="S550" s="9" t="str">
        <f>VLOOKUP(tdata[[#This Row],[id_employee]],temployee[#All],5,0)</f>
        <v>driver</v>
      </c>
    </row>
    <row r="551" spans="2:19" x14ac:dyDescent="0.35">
      <c r="B551" s="8" t="s">
        <v>570</v>
      </c>
      <c r="C551" s="2" t="s">
        <v>1320</v>
      </c>
      <c r="D551" s="5">
        <v>45468</v>
      </c>
      <c r="E551" s="5">
        <v>45476</v>
      </c>
      <c r="F551" s="2" t="s">
        <v>16</v>
      </c>
      <c r="G551" s="2" t="s">
        <v>22</v>
      </c>
      <c r="H551" s="2" t="s">
        <v>1223</v>
      </c>
      <c r="I551" s="2" t="s">
        <v>17</v>
      </c>
      <c r="J551" s="2">
        <v>4.28</v>
      </c>
      <c r="K551" s="2" t="str">
        <f t="shared" si="25"/>
        <v>&lt; 5kg</v>
      </c>
      <c r="L551" s="2">
        <f>tdata[[#This Row],[Received_date]]-tdata[[#This Row],[Shipment_Date]]</f>
        <v>8</v>
      </c>
      <c r="M551" s="2">
        <f>VLOOKUP(tdata[[#This Row],[Service_Type]],Table2[#All],2,0)</f>
        <v>1</v>
      </c>
      <c r="N551" s="2" t="str">
        <f>IF(tdata[[#This Row],[Delivery_Days]]&lt;=tdata[[#This Row],[SLA_Days]],"On Time","Late")</f>
        <v>Late</v>
      </c>
      <c r="O551" s="2">
        <f>VLOOKUP(tdata[[#This Row],[Service_Type]],Table2[#All],4,0)</f>
        <v>12000</v>
      </c>
      <c r="P551" s="2">
        <f>tdata[[#This Row],[price_per_kilo]]*tdata[[#This Row],[Weight_KG]]</f>
        <v>51360</v>
      </c>
      <c r="Q551" s="2" t="str">
        <f>VLOOKUP(tdata[[#This Row],[id_employee]],temployee[#All],2,0)</f>
        <v>Xenia Maharani</v>
      </c>
      <c r="R551" s="2" t="str">
        <f>VLOOKUP(tdata[[#This Row],[id_employee]],temployee[#All],4,0)</f>
        <v>crowd source</v>
      </c>
      <c r="S551" s="9" t="str">
        <f>VLOOKUP(tdata[[#This Row],[id_employee]],temployee[#All],5,0)</f>
        <v>rider</v>
      </c>
    </row>
    <row r="552" spans="2:19" x14ac:dyDescent="0.35">
      <c r="B552" s="8" t="s">
        <v>571</v>
      </c>
      <c r="C552" s="2" t="s">
        <v>1321</v>
      </c>
      <c r="D552" s="5">
        <v>45519</v>
      </c>
      <c r="E552" s="5">
        <f>D552+4</f>
        <v>45523</v>
      </c>
      <c r="F552" s="2" t="s">
        <v>26</v>
      </c>
      <c r="G552" s="2" t="s">
        <v>16</v>
      </c>
      <c r="H552" s="2" t="s">
        <v>1224</v>
      </c>
      <c r="I552" s="2" t="s">
        <v>17</v>
      </c>
      <c r="J552" s="2">
        <v>10.039999999999999</v>
      </c>
      <c r="K552" s="2" t="str">
        <f t="shared" si="25"/>
        <v>&gt;5kg</v>
      </c>
      <c r="L552" s="2">
        <f>tdata[[#This Row],[Received_date]]-tdata[[#This Row],[Shipment_Date]]</f>
        <v>4</v>
      </c>
      <c r="M552" s="2">
        <f>VLOOKUP(tdata[[#This Row],[Service_Type]],Table2[#All],2,0)</f>
        <v>3</v>
      </c>
      <c r="N552" s="2" t="str">
        <f>IF(tdata[[#This Row],[Delivery_Days]]&lt;=tdata[[#This Row],[SLA_Days]],"On Time","Late")</f>
        <v>Late</v>
      </c>
      <c r="O552" s="2">
        <f>VLOOKUP(tdata[[#This Row],[Service_Type]],Table2[#All],4,0)</f>
        <v>10000</v>
      </c>
      <c r="P552" s="2">
        <f>tdata[[#This Row],[price_per_kilo]]*tdata[[#This Row],[Weight_KG]]</f>
        <v>100399.99999999999</v>
      </c>
      <c r="Q552" s="2" t="str">
        <f>VLOOKUP(tdata[[#This Row],[id_employee]],temployee[#All],2,0)</f>
        <v>Yoga Pradana</v>
      </c>
      <c r="R552" s="2" t="str">
        <f>VLOOKUP(tdata[[#This Row],[id_employee]],temployee[#All],4,0)</f>
        <v>internal</v>
      </c>
      <c r="S552" s="9" t="str">
        <f>VLOOKUP(tdata[[#This Row],[id_employee]],temployee[#All],5,0)</f>
        <v>rider</v>
      </c>
    </row>
    <row r="553" spans="2:19" x14ac:dyDescent="0.35">
      <c r="B553" s="8" t="s">
        <v>572</v>
      </c>
      <c r="C553" s="2" t="s">
        <v>1322</v>
      </c>
      <c r="D553" s="5">
        <v>45363</v>
      </c>
      <c r="E553" s="5">
        <v>45369</v>
      </c>
      <c r="F553" s="2" t="s">
        <v>49</v>
      </c>
      <c r="G553" s="2" t="s">
        <v>30</v>
      </c>
      <c r="H553" s="2" t="s">
        <v>1223</v>
      </c>
      <c r="I553" s="2" t="s">
        <v>13</v>
      </c>
      <c r="J553" s="2">
        <v>0.6</v>
      </c>
      <c r="K553" s="2" t="str">
        <f t="shared" si="25"/>
        <v>&lt; 5kg</v>
      </c>
      <c r="L553" s="2">
        <f>tdata[[#This Row],[Received_date]]-tdata[[#This Row],[Shipment_Date]]</f>
        <v>6</v>
      </c>
      <c r="M553" s="2">
        <f>VLOOKUP(tdata[[#This Row],[Service_Type]],Table2[#All],2,0)</f>
        <v>1</v>
      </c>
      <c r="N553" s="2" t="str">
        <f>IF(tdata[[#This Row],[Delivery_Days]]&lt;=tdata[[#This Row],[SLA_Days]],"On Time","Late")</f>
        <v>Late</v>
      </c>
      <c r="O553" s="2">
        <f>VLOOKUP(tdata[[#This Row],[Service_Type]],Table2[#All],4,0)</f>
        <v>12000</v>
      </c>
      <c r="P553" s="2">
        <f>tdata[[#This Row],[price_per_kilo]]*tdata[[#This Row],[Weight_KG]]</f>
        <v>7200</v>
      </c>
      <c r="Q553" s="2" t="str">
        <f>VLOOKUP(tdata[[#This Row],[id_employee]],temployee[#All],2,0)</f>
        <v>Zulfikar Ramadhan</v>
      </c>
      <c r="R553" s="2" t="str">
        <f>VLOOKUP(tdata[[#This Row],[id_employee]],temployee[#All],4,0)</f>
        <v>crowd source</v>
      </c>
      <c r="S553" s="9" t="str">
        <f>VLOOKUP(tdata[[#This Row],[id_employee]],temployee[#All],5,0)</f>
        <v>driver</v>
      </c>
    </row>
    <row r="554" spans="2:19" x14ac:dyDescent="0.35">
      <c r="B554" s="8" t="s">
        <v>573</v>
      </c>
      <c r="C554" s="2" t="s">
        <v>1323</v>
      </c>
      <c r="D554" s="5">
        <v>45016</v>
      </c>
      <c r="E554" s="5">
        <v>45017</v>
      </c>
      <c r="F554" s="2" t="s">
        <v>11</v>
      </c>
      <c r="G554" s="2" t="s">
        <v>32</v>
      </c>
      <c r="H554" s="2" t="s">
        <v>1224</v>
      </c>
      <c r="I554" s="2" t="s">
        <v>13</v>
      </c>
      <c r="J554" s="2">
        <v>4.99</v>
      </c>
      <c r="K554" s="2" t="str">
        <f t="shared" si="25"/>
        <v>&lt; 5kg</v>
      </c>
      <c r="L554" s="2">
        <f>tdata[[#This Row],[Received_date]]-tdata[[#This Row],[Shipment_Date]]</f>
        <v>1</v>
      </c>
      <c r="M554" s="2">
        <f>VLOOKUP(tdata[[#This Row],[Service_Type]],Table2[#All],2,0)</f>
        <v>3</v>
      </c>
      <c r="N554" s="2" t="str">
        <f>IF(tdata[[#This Row],[Delivery_Days]]&lt;=tdata[[#This Row],[SLA_Days]],"On Time","Late")</f>
        <v>On Time</v>
      </c>
      <c r="O554" s="2">
        <f>VLOOKUP(tdata[[#This Row],[Service_Type]],Table2[#All],4,0)</f>
        <v>10000</v>
      </c>
      <c r="P554" s="2">
        <f>tdata[[#This Row],[price_per_kilo]]*tdata[[#This Row],[Weight_KG]]</f>
        <v>49900</v>
      </c>
      <c r="Q554" s="2" t="str">
        <f>VLOOKUP(tdata[[#This Row],[id_employee]],temployee[#All],2,0)</f>
        <v>Aditya Saputra</v>
      </c>
      <c r="R554" s="2" t="str">
        <f>VLOOKUP(tdata[[#This Row],[id_employee]],temployee[#All],4,0)</f>
        <v>internal</v>
      </c>
      <c r="S554" s="9" t="str">
        <f>VLOOKUP(tdata[[#This Row],[id_employee]],temployee[#All],5,0)</f>
        <v>rider</v>
      </c>
    </row>
    <row r="555" spans="2:19" x14ac:dyDescent="0.35">
      <c r="B555" s="8" t="s">
        <v>574</v>
      </c>
      <c r="C555" s="2" t="s">
        <v>1324</v>
      </c>
      <c r="D555" s="5">
        <v>45151</v>
      </c>
      <c r="E555" s="5">
        <v>45156</v>
      </c>
      <c r="F555" s="2" t="s">
        <v>15</v>
      </c>
      <c r="G555" s="2" t="s">
        <v>20</v>
      </c>
      <c r="H555" s="2" t="s">
        <v>1224</v>
      </c>
      <c r="I555" s="2" t="s">
        <v>17</v>
      </c>
      <c r="J555" s="2">
        <v>8.1</v>
      </c>
      <c r="K555" s="2" t="str">
        <f t="shared" si="25"/>
        <v>&gt;5kg</v>
      </c>
      <c r="L555" s="2">
        <f>tdata[[#This Row],[Received_date]]-tdata[[#This Row],[Shipment_Date]]</f>
        <v>5</v>
      </c>
      <c r="M555" s="2">
        <f>VLOOKUP(tdata[[#This Row],[Service_Type]],Table2[#All],2,0)</f>
        <v>3</v>
      </c>
      <c r="N555" s="2" t="str">
        <f>IF(tdata[[#This Row],[Delivery_Days]]&lt;=tdata[[#This Row],[SLA_Days]],"On Time","Late")</f>
        <v>Late</v>
      </c>
      <c r="O555" s="2">
        <f>VLOOKUP(tdata[[#This Row],[Service_Type]],Table2[#All],4,0)</f>
        <v>10000</v>
      </c>
      <c r="P555" s="2">
        <f>tdata[[#This Row],[price_per_kilo]]*tdata[[#This Row],[Weight_KG]]</f>
        <v>81000</v>
      </c>
      <c r="Q555" s="2" t="str">
        <f>VLOOKUP(tdata[[#This Row],[id_employee]],temployee[#All],2,0)</f>
        <v>Bella Oktaviani</v>
      </c>
      <c r="R555" s="2" t="str">
        <f>VLOOKUP(tdata[[#This Row],[id_employee]],temployee[#All],4,0)</f>
        <v>internal</v>
      </c>
      <c r="S555" s="9" t="str">
        <f>VLOOKUP(tdata[[#This Row],[id_employee]],temployee[#All],5,0)</f>
        <v>rider</v>
      </c>
    </row>
    <row r="556" spans="2:19" x14ac:dyDescent="0.35">
      <c r="B556" s="8" t="s">
        <v>575</v>
      </c>
      <c r="C556" s="2" t="s">
        <v>1325</v>
      </c>
      <c r="D556" s="5">
        <v>45100</v>
      </c>
      <c r="E556" s="5">
        <v>45102</v>
      </c>
      <c r="F556" s="2" t="s">
        <v>20</v>
      </c>
      <c r="G556" s="2" t="s">
        <v>20</v>
      </c>
      <c r="H556" s="2" t="s">
        <v>1224</v>
      </c>
      <c r="I556" s="2" t="s">
        <v>17</v>
      </c>
      <c r="J556" s="2">
        <v>7.8</v>
      </c>
      <c r="K556" s="2" t="str">
        <f t="shared" si="25"/>
        <v>&gt;5kg</v>
      </c>
      <c r="L556" s="2">
        <f>tdata[[#This Row],[Received_date]]-tdata[[#This Row],[Shipment_Date]]</f>
        <v>2</v>
      </c>
      <c r="M556" s="2">
        <f>VLOOKUP(tdata[[#This Row],[Service_Type]],Table2[#All],2,0)</f>
        <v>3</v>
      </c>
      <c r="N556" s="2" t="str">
        <f>IF(tdata[[#This Row],[Delivery_Days]]&lt;=tdata[[#This Row],[SLA_Days]],"On Time","Late")</f>
        <v>On Time</v>
      </c>
      <c r="O556" s="2">
        <f>VLOOKUP(tdata[[#This Row],[Service_Type]],Table2[#All],4,0)</f>
        <v>10000</v>
      </c>
      <c r="P556" s="2">
        <f>tdata[[#This Row],[price_per_kilo]]*tdata[[#This Row],[Weight_KG]]</f>
        <v>78000</v>
      </c>
      <c r="Q556" s="2" t="str">
        <f>VLOOKUP(tdata[[#This Row],[id_employee]],temployee[#All],2,0)</f>
        <v>Chandra Wijaya</v>
      </c>
      <c r="R556" s="2" t="str">
        <f>VLOOKUP(tdata[[#This Row],[id_employee]],temployee[#All],4,0)</f>
        <v>crowd source</v>
      </c>
      <c r="S556" s="9" t="str">
        <f>VLOOKUP(tdata[[#This Row],[id_employee]],temployee[#All],5,0)</f>
        <v>driver</v>
      </c>
    </row>
    <row r="557" spans="2:19" x14ac:dyDescent="0.35">
      <c r="B557" s="8" t="s">
        <v>576</v>
      </c>
      <c r="C557" s="2" t="s">
        <v>1326</v>
      </c>
      <c r="D557" s="5">
        <v>45185</v>
      </c>
      <c r="E557" s="5">
        <v>45196</v>
      </c>
      <c r="F557" s="2" t="s">
        <v>22</v>
      </c>
      <c r="G557" s="2" t="s">
        <v>22</v>
      </c>
      <c r="H557" s="2" t="s">
        <v>1223</v>
      </c>
      <c r="I557" s="2" t="s">
        <v>13</v>
      </c>
      <c r="J557" s="2">
        <v>6.97</v>
      </c>
      <c r="K557" s="2" t="str">
        <f t="shared" si="25"/>
        <v>&gt;5kg</v>
      </c>
      <c r="L557" s="2">
        <f>tdata[[#This Row],[Received_date]]-tdata[[#This Row],[Shipment_Date]]</f>
        <v>11</v>
      </c>
      <c r="M557" s="2">
        <f>VLOOKUP(tdata[[#This Row],[Service_Type]],Table2[#All],2,0)</f>
        <v>1</v>
      </c>
      <c r="N557" s="2" t="str">
        <f>IF(tdata[[#This Row],[Delivery_Days]]&lt;=tdata[[#This Row],[SLA_Days]],"On Time","Late")</f>
        <v>Late</v>
      </c>
      <c r="O557" s="2">
        <f>VLOOKUP(tdata[[#This Row],[Service_Type]],Table2[#All],4,0)</f>
        <v>12000</v>
      </c>
      <c r="P557" s="2">
        <f>tdata[[#This Row],[price_per_kilo]]*tdata[[#This Row],[Weight_KG]]</f>
        <v>83640</v>
      </c>
      <c r="Q557" s="2" t="str">
        <f>VLOOKUP(tdata[[#This Row],[id_employee]],temployee[#All],2,0)</f>
        <v>Dewi Sartika</v>
      </c>
      <c r="R557" s="2" t="str">
        <f>VLOOKUP(tdata[[#This Row],[id_employee]],temployee[#All],4,0)</f>
        <v>internal</v>
      </c>
      <c r="S557" s="9" t="str">
        <f>VLOOKUP(tdata[[#This Row],[id_employee]],temployee[#All],5,0)</f>
        <v>rider</v>
      </c>
    </row>
    <row r="558" spans="2:19" x14ac:dyDescent="0.35">
      <c r="B558" s="8" t="s">
        <v>577</v>
      </c>
      <c r="C558" s="2" t="s">
        <v>1327</v>
      </c>
      <c r="D558" s="5">
        <v>44935</v>
      </c>
      <c r="E558" s="5">
        <v>44935</v>
      </c>
      <c r="F558" s="2" t="s">
        <v>12</v>
      </c>
      <c r="G558" s="2" t="s">
        <v>26</v>
      </c>
      <c r="H558" s="2" t="s">
        <v>1224</v>
      </c>
      <c r="I558" s="2" t="s">
        <v>13</v>
      </c>
      <c r="J558" s="2">
        <v>2.19</v>
      </c>
      <c r="K558" s="2" t="str">
        <f t="shared" si="25"/>
        <v>&lt; 5kg</v>
      </c>
      <c r="L558" s="2">
        <f>tdata[[#This Row],[Received_date]]-tdata[[#This Row],[Shipment_Date]]</f>
        <v>0</v>
      </c>
      <c r="M558" s="2">
        <f>VLOOKUP(tdata[[#This Row],[Service_Type]],Table2[#All],2,0)</f>
        <v>3</v>
      </c>
      <c r="N558" s="2" t="str">
        <f>IF(tdata[[#This Row],[Delivery_Days]]&lt;=tdata[[#This Row],[SLA_Days]],"On Time","Late")</f>
        <v>On Time</v>
      </c>
      <c r="O558" s="2">
        <f>VLOOKUP(tdata[[#This Row],[Service_Type]],Table2[#All],4,0)</f>
        <v>10000</v>
      </c>
      <c r="P558" s="2">
        <f>tdata[[#This Row],[price_per_kilo]]*tdata[[#This Row],[Weight_KG]]</f>
        <v>21900</v>
      </c>
      <c r="Q558" s="2" t="str">
        <f>VLOOKUP(tdata[[#This Row],[id_employee]],temployee[#All],2,0)</f>
        <v>Edi Kurniawan</v>
      </c>
      <c r="R558" s="2" t="str">
        <f>VLOOKUP(tdata[[#This Row],[id_employee]],temployee[#All],4,0)</f>
        <v>internal</v>
      </c>
      <c r="S558" s="9" t="str">
        <f>VLOOKUP(tdata[[#This Row],[id_employee]],temployee[#All],5,0)</f>
        <v>driver</v>
      </c>
    </row>
    <row r="559" spans="2:19" x14ac:dyDescent="0.35">
      <c r="B559" s="8" t="s">
        <v>578</v>
      </c>
      <c r="C559" s="2" t="s">
        <v>1328</v>
      </c>
      <c r="D559" s="5">
        <v>45288</v>
      </c>
      <c r="E559" s="5">
        <v>45296</v>
      </c>
      <c r="F559" s="2" t="s">
        <v>30</v>
      </c>
      <c r="G559" s="2" t="s">
        <v>12</v>
      </c>
      <c r="H559" s="2" t="s">
        <v>1223</v>
      </c>
      <c r="I559" s="2" t="s">
        <v>13</v>
      </c>
      <c r="J559" s="2">
        <v>3.89</v>
      </c>
      <c r="K559" s="2" t="str">
        <f t="shared" si="25"/>
        <v>&lt; 5kg</v>
      </c>
      <c r="L559" s="2">
        <f>tdata[[#This Row],[Received_date]]-tdata[[#This Row],[Shipment_Date]]</f>
        <v>8</v>
      </c>
      <c r="M559" s="2">
        <f>VLOOKUP(tdata[[#This Row],[Service_Type]],Table2[#All],2,0)</f>
        <v>1</v>
      </c>
      <c r="N559" s="2" t="str">
        <f>IF(tdata[[#This Row],[Delivery_Days]]&lt;=tdata[[#This Row],[SLA_Days]],"On Time","Late")</f>
        <v>Late</v>
      </c>
      <c r="O559" s="2">
        <f>VLOOKUP(tdata[[#This Row],[Service_Type]],Table2[#All],4,0)</f>
        <v>12000</v>
      </c>
      <c r="P559" s="2">
        <f>tdata[[#This Row],[price_per_kilo]]*tdata[[#This Row],[Weight_KG]]</f>
        <v>46680</v>
      </c>
      <c r="Q559" s="2" t="str">
        <f>VLOOKUP(tdata[[#This Row],[id_employee]],temployee[#All],2,0)</f>
        <v>Farah Nabila</v>
      </c>
      <c r="R559" s="2" t="str">
        <f>VLOOKUP(tdata[[#This Row],[id_employee]],temployee[#All],4,0)</f>
        <v>crowd source</v>
      </c>
      <c r="S559" s="9" t="str">
        <f>VLOOKUP(tdata[[#This Row],[id_employee]],temployee[#All],5,0)</f>
        <v>rider</v>
      </c>
    </row>
    <row r="560" spans="2:19" x14ac:dyDescent="0.35">
      <c r="B560" s="8" t="s">
        <v>579</v>
      </c>
      <c r="C560" s="2" t="s">
        <v>1329</v>
      </c>
      <c r="D560" s="5">
        <v>45124</v>
      </c>
      <c r="E560" s="5">
        <v>45127</v>
      </c>
      <c r="F560" s="2" t="s">
        <v>32</v>
      </c>
      <c r="G560" s="2" t="s">
        <v>16</v>
      </c>
      <c r="H560" s="2" t="s">
        <v>23</v>
      </c>
      <c r="I560" s="2" t="s">
        <v>17</v>
      </c>
      <c r="J560" s="2">
        <v>1.39</v>
      </c>
      <c r="K560" s="2" t="str">
        <f t="shared" si="25"/>
        <v>&lt; 5kg</v>
      </c>
      <c r="L560" s="2">
        <f>tdata[[#This Row],[Received_date]]-tdata[[#This Row],[Shipment_Date]]</f>
        <v>3</v>
      </c>
      <c r="M560" s="2">
        <f>VLOOKUP(tdata[[#This Row],[Service_Type]],Table2[#All],2,0)</f>
        <v>5</v>
      </c>
      <c r="N560" s="2" t="str">
        <f>IF(tdata[[#This Row],[Delivery_Days]]&lt;=tdata[[#This Row],[SLA_Days]],"On Time","Late")</f>
        <v>On Time</v>
      </c>
      <c r="O560" s="2">
        <f>VLOOKUP(tdata[[#This Row],[Service_Type]],Table2[#All],4,0)</f>
        <v>9000</v>
      </c>
      <c r="P560" s="2">
        <f>tdata[[#This Row],[price_per_kilo]]*tdata[[#This Row],[Weight_KG]]</f>
        <v>12510</v>
      </c>
      <c r="Q560" s="2" t="str">
        <f>VLOOKUP(tdata[[#This Row],[id_employee]],temployee[#All],2,0)</f>
        <v>Galih Pratomo</v>
      </c>
      <c r="R560" s="2" t="str">
        <f>VLOOKUP(tdata[[#This Row],[id_employee]],temployee[#All],4,0)</f>
        <v>internal</v>
      </c>
      <c r="S560" s="9" t="str">
        <f>VLOOKUP(tdata[[#This Row],[id_employee]],temployee[#All],5,0)</f>
        <v>rider</v>
      </c>
    </row>
    <row r="561" spans="2:19" x14ac:dyDescent="0.35">
      <c r="B561" s="8" t="s">
        <v>580</v>
      </c>
      <c r="C561" s="2" t="s">
        <v>1330</v>
      </c>
      <c r="D561" s="5">
        <v>44954</v>
      </c>
      <c r="E561" s="5">
        <v>44958</v>
      </c>
      <c r="F561" s="2" t="s">
        <v>16</v>
      </c>
      <c r="G561" s="2" t="s">
        <v>30</v>
      </c>
      <c r="H561" s="2" t="s">
        <v>23</v>
      </c>
      <c r="I561" s="2" t="s">
        <v>13</v>
      </c>
      <c r="J561" s="2">
        <v>8.08</v>
      </c>
      <c r="K561" s="2" t="str">
        <f t="shared" si="25"/>
        <v>&gt;5kg</v>
      </c>
      <c r="L561" s="2">
        <f>tdata[[#This Row],[Received_date]]-tdata[[#This Row],[Shipment_Date]]</f>
        <v>4</v>
      </c>
      <c r="M561" s="2">
        <f>VLOOKUP(tdata[[#This Row],[Service_Type]],Table2[#All],2,0)</f>
        <v>5</v>
      </c>
      <c r="N561" s="2" t="str">
        <f>IF(tdata[[#This Row],[Delivery_Days]]&lt;=tdata[[#This Row],[SLA_Days]],"On Time","Late")</f>
        <v>On Time</v>
      </c>
      <c r="O561" s="2">
        <f>VLOOKUP(tdata[[#This Row],[Service_Type]],Table2[#All],4,0)</f>
        <v>9000</v>
      </c>
      <c r="P561" s="2">
        <f>tdata[[#This Row],[price_per_kilo]]*tdata[[#This Row],[Weight_KG]]</f>
        <v>72720</v>
      </c>
      <c r="Q561" s="2" t="str">
        <f>VLOOKUP(tdata[[#This Row],[id_employee]],temployee[#All],2,0)</f>
        <v>Hadi Purnomo</v>
      </c>
      <c r="R561" s="2" t="str">
        <f>VLOOKUP(tdata[[#This Row],[id_employee]],temployee[#All],4,0)</f>
        <v>crowd source</v>
      </c>
      <c r="S561" s="9" t="str">
        <f>VLOOKUP(tdata[[#This Row],[id_employee]],temployee[#All],5,0)</f>
        <v>driver</v>
      </c>
    </row>
    <row r="562" spans="2:19" x14ac:dyDescent="0.35">
      <c r="B562" s="8" t="s">
        <v>581</v>
      </c>
      <c r="C562" s="2" t="s">
        <v>1331</v>
      </c>
      <c r="D562" s="5">
        <v>45599</v>
      </c>
      <c r="E562" s="5">
        <v>45606</v>
      </c>
      <c r="F562" s="2" t="s">
        <v>26</v>
      </c>
      <c r="G562" s="2" t="s">
        <v>32</v>
      </c>
      <c r="H562" s="2" t="s">
        <v>1224</v>
      </c>
      <c r="I562" s="2" t="s">
        <v>17</v>
      </c>
      <c r="J562" s="2">
        <v>3</v>
      </c>
      <c r="K562" s="2" t="str">
        <f t="shared" si="25"/>
        <v>&lt; 5kg</v>
      </c>
      <c r="L562" s="2">
        <f>tdata[[#This Row],[Received_date]]-tdata[[#This Row],[Shipment_Date]]</f>
        <v>7</v>
      </c>
      <c r="M562" s="2">
        <f>VLOOKUP(tdata[[#This Row],[Service_Type]],Table2[#All],2,0)</f>
        <v>3</v>
      </c>
      <c r="N562" s="2" t="str">
        <f>IF(tdata[[#This Row],[Delivery_Days]]&lt;=tdata[[#This Row],[SLA_Days]],"On Time","Late")</f>
        <v>Late</v>
      </c>
      <c r="O562" s="2">
        <f>VLOOKUP(tdata[[#This Row],[Service_Type]],Table2[#All],4,0)</f>
        <v>10000</v>
      </c>
      <c r="P562" s="2">
        <f>tdata[[#This Row],[price_per_kilo]]*tdata[[#This Row],[Weight_KG]]</f>
        <v>30000</v>
      </c>
      <c r="Q562" s="2" t="str">
        <f>VLOOKUP(tdata[[#This Row],[id_employee]],temployee[#All],2,0)</f>
        <v>Ika Lestari</v>
      </c>
      <c r="R562" s="2" t="str">
        <f>VLOOKUP(tdata[[#This Row],[id_employee]],temployee[#All],4,0)</f>
        <v>internal</v>
      </c>
      <c r="S562" s="9" t="str">
        <f>VLOOKUP(tdata[[#This Row],[id_employee]],temployee[#All],5,0)</f>
        <v>rider</v>
      </c>
    </row>
    <row r="563" spans="2:19" x14ac:dyDescent="0.35">
      <c r="B563" s="8" t="s">
        <v>582</v>
      </c>
      <c r="C563" s="2" t="s">
        <v>1332</v>
      </c>
      <c r="D563" s="5">
        <v>45092</v>
      </c>
      <c r="E563" s="5">
        <v>45092</v>
      </c>
      <c r="F563" s="2" t="s">
        <v>49</v>
      </c>
      <c r="G563" s="2" t="s">
        <v>20</v>
      </c>
      <c r="H563" s="2" t="s">
        <v>1224</v>
      </c>
      <c r="I563" s="2" t="s">
        <v>13</v>
      </c>
      <c r="J563" s="2">
        <v>2.93</v>
      </c>
      <c r="K563" s="2" t="str">
        <f t="shared" si="25"/>
        <v>&lt; 5kg</v>
      </c>
      <c r="L563" s="2">
        <f>tdata[[#This Row],[Received_date]]-tdata[[#This Row],[Shipment_Date]]</f>
        <v>0</v>
      </c>
      <c r="M563" s="2">
        <f>VLOOKUP(tdata[[#This Row],[Service_Type]],Table2[#All],2,0)</f>
        <v>3</v>
      </c>
      <c r="N563" s="2" t="str">
        <f>IF(tdata[[#This Row],[Delivery_Days]]&lt;=tdata[[#This Row],[SLA_Days]],"On Time","Late")</f>
        <v>On Time</v>
      </c>
      <c r="O563" s="2">
        <f>VLOOKUP(tdata[[#This Row],[Service_Type]],Table2[#All],4,0)</f>
        <v>10000</v>
      </c>
      <c r="P563" s="2">
        <f>tdata[[#This Row],[price_per_kilo]]*tdata[[#This Row],[Weight_KG]]</f>
        <v>29300</v>
      </c>
      <c r="Q563" s="2" t="str">
        <f>VLOOKUP(tdata[[#This Row],[id_employee]],temployee[#All],2,0)</f>
        <v>Jamil Akbar</v>
      </c>
      <c r="R563" s="2" t="str">
        <f>VLOOKUP(tdata[[#This Row],[id_employee]],temployee[#All],4,0)</f>
        <v>internal</v>
      </c>
      <c r="S563" s="9" t="str">
        <f>VLOOKUP(tdata[[#This Row],[id_employee]],temployee[#All],5,0)</f>
        <v>driver</v>
      </c>
    </row>
    <row r="564" spans="2:19" x14ac:dyDescent="0.35">
      <c r="B564" s="8" t="s">
        <v>583</v>
      </c>
      <c r="C564" s="2" t="s">
        <v>1333</v>
      </c>
      <c r="D564" s="5">
        <v>45582</v>
      </c>
      <c r="E564" s="5">
        <v>45585</v>
      </c>
      <c r="F564" s="2" t="s">
        <v>11</v>
      </c>
      <c r="G564" s="2" t="s">
        <v>49</v>
      </c>
      <c r="H564" s="2" t="s">
        <v>1223</v>
      </c>
      <c r="I564" s="2" t="s">
        <v>17</v>
      </c>
      <c r="J564" s="2">
        <v>5.63</v>
      </c>
      <c r="K564" s="2" t="str">
        <f t="shared" si="25"/>
        <v>&gt;5kg</v>
      </c>
      <c r="L564" s="2">
        <f>tdata[[#This Row],[Received_date]]-tdata[[#This Row],[Shipment_Date]]</f>
        <v>3</v>
      </c>
      <c r="M564" s="2">
        <f>VLOOKUP(tdata[[#This Row],[Service_Type]],Table2[#All],2,0)</f>
        <v>1</v>
      </c>
      <c r="N564" s="2" t="str">
        <f>IF(tdata[[#This Row],[Delivery_Days]]&lt;=tdata[[#This Row],[SLA_Days]],"On Time","Late")</f>
        <v>Late</v>
      </c>
      <c r="O564" s="2">
        <f>VLOOKUP(tdata[[#This Row],[Service_Type]],Table2[#All],4,0)</f>
        <v>12000</v>
      </c>
      <c r="P564" s="2">
        <f>tdata[[#This Row],[price_per_kilo]]*tdata[[#This Row],[Weight_KG]]</f>
        <v>67560</v>
      </c>
      <c r="Q564" s="2" t="str">
        <f>VLOOKUP(tdata[[#This Row],[id_employee]],temployee[#All],2,0)</f>
        <v>Kevin Sanjaya</v>
      </c>
      <c r="R564" s="2" t="str">
        <f>VLOOKUP(tdata[[#This Row],[id_employee]],temployee[#All],4,0)</f>
        <v>crowd source</v>
      </c>
      <c r="S564" s="9" t="str">
        <f>VLOOKUP(tdata[[#This Row],[id_employee]],temployee[#All],5,0)</f>
        <v>rider</v>
      </c>
    </row>
    <row r="565" spans="2:19" x14ac:dyDescent="0.35">
      <c r="B565" s="8" t="s">
        <v>584</v>
      </c>
      <c r="C565" s="2" t="s">
        <v>1334</v>
      </c>
      <c r="D565" s="5">
        <v>45031</v>
      </c>
      <c r="E565" s="5">
        <v>45032</v>
      </c>
      <c r="F565" s="2" t="s">
        <v>15</v>
      </c>
      <c r="G565" s="2" t="s">
        <v>11</v>
      </c>
      <c r="H565" s="2" t="s">
        <v>1224</v>
      </c>
      <c r="I565" s="2" t="s">
        <v>13</v>
      </c>
      <c r="J565" s="2">
        <v>2.04</v>
      </c>
      <c r="K565" s="2" t="str">
        <f t="shared" si="25"/>
        <v>&lt; 5kg</v>
      </c>
      <c r="L565" s="2">
        <f>tdata[[#This Row],[Received_date]]-tdata[[#This Row],[Shipment_Date]]</f>
        <v>1</v>
      </c>
      <c r="M565" s="2">
        <f>VLOOKUP(tdata[[#This Row],[Service_Type]],Table2[#All],2,0)</f>
        <v>3</v>
      </c>
      <c r="N565" s="2" t="str">
        <f>IF(tdata[[#This Row],[Delivery_Days]]&lt;=tdata[[#This Row],[SLA_Days]],"On Time","Late")</f>
        <v>On Time</v>
      </c>
      <c r="O565" s="2">
        <f>VLOOKUP(tdata[[#This Row],[Service_Type]],Table2[#All],4,0)</f>
        <v>10000</v>
      </c>
      <c r="P565" s="2">
        <f>tdata[[#This Row],[price_per_kilo]]*tdata[[#This Row],[Weight_KG]]</f>
        <v>20400</v>
      </c>
      <c r="Q565" s="2" t="str">
        <f>VLOOKUP(tdata[[#This Row],[id_employee]],temployee[#All],2,0)</f>
        <v>Laila Nuraini</v>
      </c>
      <c r="R565" s="2" t="str">
        <f>VLOOKUP(tdata[[#This Row],[id_employee]],temployee[#All],4,0)</f>
        <v>internal</v>
      </c>
      <c r="S565" s="9" t="str">
        <f>VLOOKUP(tdata[[#This Row],[id_employee]],temployee[#All],5,0)</f>
        <v>rider</v>
      </c>
    </row>
    <row r="566" spans="2:19" x14ac:dyDescent="0.35">
      <c r="B566" s="8" t="s">
        <v>585</v>
      </c>
      <c r="C566" s="2" t="s">
        <v>1335</v>
      </c>
      <c r="D566" s="5">
        <v>45133</v>
      </c>
      <c r="E566" s="5">
        <v>45144</v>
      </c>
      <c r="F566" s="2" t="s">
        <v>20</v>
      </c>
      <c r="G566" s="2" t="s">
        <v>30</v>
      </c>
      <c r="H566" s="2" t="s">
        <v>1224</v>
      </c>
      <c r="I566" s="2" t="s">
        <v>17</v>
      </c>
      <c r="J566" s="2">
        <v>2.34</v>
      </c>
      <c r="K566" s="2" t="str">
        <f t="shared" si="25"/>
        <v>&lt; 5kg</v>
      </c>
      <c r="L566" s="2">
        <f>tdata[[#This Row],[Received_date]]-tdata[[#This Row],[Shipment_Date]]</f>
        <v>11</v>
      </c>
      <c r="M566" s="2">
        <f>VLOOKUP(tdata[[#This Row],[Service_Type]],Table2[#All],2,0)</f>
        <v>3</v>
      </c>
      <c r="N566" s="2" t="str">
        <f>IF(tdata[[#This Row],[Delivery_Days]]&lt;=tdata[[#This Row],[SLA_Days]],"On Time","Late")</f>
        <v>Late</v>
      </c>
      <c r="O566" s="2">
        <f>VLOOKUP(tdata[[#This Row],[Service_Type]],Table2[#All],4,0)</f>
        <v>10000</v>
      </c>
      <c r="P566" s="2">
        <f>tdata[[#This Row],[price_per_kilo]]*tdata[[#This Row],[Weight_KG]]</f>
        <v>23400</v>
      </c>
      <c r="Q566" s="2" t="str">
        <f>VLOOKUP(tdata[[#This Row],[id_employee]],temployee[#All],2,0)</f>
        <v>Miko Setiawan</v>
      </c>
      <c r="R566" s="2" t="str">
        <f>VLOOKUP(tdata[[#This Row],[id_employee]],temployee[#All],4,0)</f>
        <v>crowd source</v>
      </c>
      <c r="S566" s="9" t="str">
        <f>VLOOKUP(tdata[[#This Row],[id_employee]],temployee[#All],5,0)</f>
        <v>driver</v>
      </c>
    </row>
    <row r="567" spans="2:19" x14ac:dyDescent="0.35">
      <c r="B567" s="8" t="s">
        <v>586</v>
      </c>
      <c r="C567" s="2" t="s">
        <v>1336</v>
      </c>
      <c r="D567" s="5">
        <v>45015</v>
      </c>
      <c r="E567" s="5">
        <v>45017</v>
      </c>
      <c r="F567" s="2" t="s">
        <v>22</v>
      </c>
      <c r="G567" s="2" t="s">
        <v>26</v>
      </c>
      <c r="H567" s="2" t="s">
        <v>1224</v>
      </c>
      <c r="I567" s="2" t="s">
        <v>17</v>
      </c>
      <c r="J567" s="2">
        <v>4.41</v>
      </c>
      <c r="K567" s="2" t="str">
        <f t="shared" si="25"/>
        <v>&lt; 5kg</v>
      </c>
      <c r="L567" s="2">
        <f>tdata[[#This Row],[Received_date]]-tdata[[#This Row],[Shipment_Date]]</f>
        <v>2</v>
      </c>
      <c r="M567" s="2">
        <f>VLOOKUP(tdata[[#This Row],[Service_Type]],Table2[#All],2,0)</f>
        <v>3</v>
      </c>
      <c r="N567" s="2" t="str">
        <f>IF(tdata[[#This Row],[Delivery_Days]]&lt;=tdata[[#This Row],[SLA_Days]],"On Time","Late")</f>
        <v>On Time</v>
      </c>
      <c r="O567" s="2">
        <f>VLOOKUP(tdata[[#This Row],[Service_Type]],Table2[#All],4,0)</f>
        <v>10000</v>
      </c>
      <c r="P567" s="2">
        <f>tdata[[#This Row],[price_per_kilo]]*tdata[[#This Row],[Weight_KG]]</f>
        <v>44100</v>
      </c>
      <c r="Q567" s="2" t="str">
        <f>VLOOKUP(tdata[[#This Row],[id_employee]],temployee[#All],2,0)</f>
        <v>Nisa Aulia</v>
      </c>
      <c r="R567" s="2" t="str">
        <f>VLOOKUP(tdata[[#This Row],[id_employee]],temployee[#All],4,0)</f>
        <v>internal</v>
      </c>
      <c r="S567" s="9" t="str">
        <f>VLOOKUP(tdata[[#This Row],[id_employee]],temployee[#All],5,0)</f>
        <v>rider</v>
      </c>
    </row>
    <row r="568" spans="2:19" x14ac:dyDescent="0.35">
      <c r="B568" s="8" t="s">
        <v>587</v>
      </c>
      <c r="C568" s="2" t="s">
        <v>1337</v>
      </c>
      <c r="D568" s="5">
        <v>45100</v>
      </c>
      <c r="E568" s="5">
        <v>45104</v>
      </c>
      <c r="F568" s="2" t="s">
        <v>12</v>
      </c>
      <c r="G568" s="2" t="s">
        <v>22</v>
      </c>
      <c r="H568" s="2" t="s">
        <v>1224</v>
      </c>
      <c r="I568" s="2" t="s">
        <v>13</v>
      </c>
      <c r="J568" s="2">
        <v>8.6300000000000008</v>
      </c>
      <c r="K568" s="2" t="str">
        <f t="shared" si="25"/>
        <v>&gt;5kg</v>
      </c>
      <c r="L568" s="2">
        <f>tdata[[#This Row],[Received_date]]-tdata[[#This Row],[Shipment_Date]]</f>
        <v>4</v>
      </c>
      <c r="M568" s="2">
        <f>VLOOKUP(tdata[[#This Row],[Service_Type]],Table2[#All],2,0)</f>
        <v>3</v>
      </c>
      <c r="N568" s="2" t="str">
        <f>IF(tdata[[#This Row],[Delivery_Days]]&lt;=tdata[[#This Row],[SLA_Days]],"On Time","Late")</f>
        <v>Late</v>
      </c>
      <c r="O568" s="2">
        <f>VLOOKUP(tdata[[#This Row],[Service_Type]],Table2[#All],4,0)</f>
        <v>10000</v>
      </c>
      <c r="P568" s="2">
        <f>tdata[[#This Row],[price_per_kilo]]*tdata[[#This Row],[Weight_KG]]</f>
        <v>86300.000000000015</v>
      </c>
      <c r="Q568" s="2" t="str">
        <f>VLOOKUP(tdata[[#This Row],[id_employee]],temployee[#All],2,0)</f>
        <v>Oki Pramono</v>
      </c>
      <c r="R568" s="2" t="str">
        <f>VLOOKUP(tdata[[#This Row],[id_employee]],temployee[#All],4,0)</f>
        <v>internal</v>
      </c>
      <c r="S568" s="9" t="str">
        <f>VLOOKUP(tdata[[#This Row],[id_employee]],temployee[#All],5,0)</f>
        <v>driver</v>
      </c>
    </row>
    <row r="569" spans="2:19" x14ac:dyDescent="0.35">
      <c r="B569" s="8" t="s">
        <v>588</v>
      </c>
      <c r="C569" s="2" t="s">
        <v>1338</v>
      </c>
      <c r="D569" s="5">
        <v>45563</v>
      </c>
      <c r="E569" s="5">
        <v>45564</v>
      </c>
      <c r="F569" s="2" t="s">
        <v>30</v>
      </c>
      <c r="G569" s="2" t="s">
        <v>22</v>
      </c>
      <c r="H569" s="2" t="s">
        <v>1224</v>
      </c>
      <c r="I569" s="2" t="s">
        <v>17</v>
      </c>
      <c r="J569" s="2">
        <v>1.07</v>
      </c>
      <c r="K569" s="2" t="str">
        <f t="shared" si="25"/>
        <v>&lt; 5kg</v>
      </c>
      <c r="L569" s="2">
        <f>tdata[[#This Row],[Received_date]]-tdata[[#This Row],[Shipment_Date]]</f>
        <v>1</v>
      </c>
      <c r="M569" s="2">
        <f>VLOOKUP(tdata[[#This Row],[Service_Type]],Table2[#All],2,0)</f>
        <v>3</v>
      </c>
      <c r="N569" s="2" t="str">
        <f>IF(tdata[[#This Row],[Delivery_Days]]&lt;=tdata[[#This Row],[SLA_Days]],"On Time","Late")</f>
        <v>On Time</v>
      </c>
      <c r="O569" s="2">
        <f>VLOOKUP(tdata[[#This Row],[Service_Type]],Table2[#All],4,0)</f>
        <v>10000</v>
      </c>
      <c r="P569" s="2">
        <f>tdata[[#This Row],[price_per_kilo]]*tdata[[#This Row],[Weight_KG]]</f>
        <v>10700</v>
      </c>
      <c r="Q569" s="2" t="str">
        <f>VLOOKUP(tdata[[#This Row],[id_employee]],temployee[#All],2,0)</f>
        <v>Putra Mahendra</v>
      </c>
      <c r="R569" s="2" t="str">
        <f>VLOOKUP(tdata[[#This Row],[id_employee]],temployee[#All],4,0)</f>
        <v>crowd source</v>
      </c>
      <c r="S569" s="9" t="str">
        <f>VLOOKUP(tdata[[#This Row],[id_employee]],temployee[#All],5,0)</f>
        <v>rider</v>
      </c>
    </row>
    <row r="570" spans="2:19" x14ac:dyDescent="0.35">
      <c r="B570" s="8" t="s">
        <v>589</v>
      </c>
      <c r="C570" s="2" t="s">
        <v>1339</v>
      </c>
      <c r="D570" s="5">
        <v>45500</v>
      </c>
      <c r="E570" s="5">
        <v>45501</v>
      </c>
      <c r="F570" s="2" t="s">
        <v>32</v>
      </c>
      <c r="G570" s="2" t="s">
        <v>15</v>
      </c>
      <c r="H570" s="2" t="s">
        <v>1223</v>
      </c>
      <c r="I570" s="2" t="s">
        <v>17</v>
      </c>
      <c r="J570" s="2">
        <v>2.74</v>
      </c>
      <c r="K570" s="2" t="str">
        <f t="shared" si="25"/>
        <v>&lt; 5kg</v>
      </c>
      <c r="L570" s="2">
        <f>tdata[[#This Row],[Received_date]]-tdata[[#This Row],[Shipment_Date]]</f>
        <v>1</v>
      </c>
      <c r="M570" s="2">
        <f>VLOOKUP(tdata[[#This Row],[Service_Type]],Table2[#All],2,0)</f>
        <v>1</v>
      </c>
      <c r="N570" s="2" t="str">
        <f>IF(tdata[[#This Row],[Delivery_Days]]&lt;=tdata[[#This Row],[SLA_Days]],"On Time","Late")</f>
        <v>On Time</v>
      </c>
      <c r="O570" s="2">
        <f>VLOOKUP(tdata[[#This Row],[Service_Type]],Table2[#All],4,0)</f>
        <v>12000</v>
      </c>
      <c r="P570" s="2">
        <f>tdata[[#This Row],[price_per_kilo]]*tdata[[#This Row],[Weight_KG]]</f>
        <v>32880</v>
      </c>
      <c r="Q570" s="2" t="str">
        <f>VLOOKUP(tdata[[#This Row],[id_employee]],temployee[#All],2,0)</f>
        <v>Qolbi Ramadhani</v>
      </c>
      <c r="R570" s="2" t="str">
        <f>VLOOKUP(tdata[[#This Row],[id_employee]],temployee[#All],4,0)</f>
        <v>internal</v>
      </c>
      <c r="S570" s="9" t="str">
        <f>VLOOKUP(tdata[[#This Row],[id_employee]],temployee[#All],5,0)</f>
        <v>rider</v>
      </c>
    </row>
    <row r="571" spans="2:19" x14ac:dyDescent="0.35">
      <c r="B571" s="8" t="s">
        <v>590</v>
      </c>
      <c r="C571" s="2" t="s">
        <v>1340</v>
      </c>
      <c r="D571" s="5">
        <v>45654</v>
      </c>
      <c r="E571" s="5">
        <v>45657</v>
      </c>
      <c r="F571" s="2" t="s">
        <v>16</v>
      </c>
      <c r="G571" s="2" t="s">
        <v>32</v>
      </c>
      <c r="H571" s="2" t="s">
        <v>23</v>
      </c>
      <c r="I571" s="2" t="s">
        <v>13</v>
      </c>
      <c r="J571" s="2">
        <v>2.98</v>
      </c>
      <c r="K571" s="2" t="str">
        <f t="shared" si="25"/>
        <v>&lt; 5kg</v>
      </c>
      <c r="L571" s="2">
        <f>tdata[[#This Row],[Received_date]]-tdata[[#This Row],[Shipment_Date]]</f>
        <v>3</v>
      </c>
      <c r="M571" s="2">
        <f>VLOOKUP(tdata[[#This Row],[Service_Type]],Table2[#All],2,0)</f>
        <v>5</v>
      </c>
      <c r="N571" s="2" t="str">
        <f>IF(tdata[[#This Row],[Delivery_Days]]&lt;=tdata[[#This Row],[SLA_Days]],"On Time","Late")</f>
        <v>On Time</v>
      </c>
      <c r="O571" s="2">
        <f>VLOOKUP(tdata[[#This Row],[Service_Type]],Table2[#All],4,0)</f>
        <v>9000</v>
      </c>
      <c r="P571" s="2">
        <f>tdata[[#This Row],[price_per_kilo]]*tdata[[#This Row],[Weight_KG]]</f>
        <v>26820</v>
      </c>
      <c r="Q571" s="2" t="str">
        <f>VLOOKUP(tdata[[#This Row],[id_employee]],temployee[#All],2,0)</f>
        <v>Reza Firmansyah</v>
      </c>
      <c r="R571" s="2" t="str">
        <f>VLOOKUP(tdata[[#This Row],[id_employee]],temployee[#All],4,0)</f>
        <v>crowd source</v>
      </c>
      <c r="S571" s="9" t="str">
        <f>VLOOKUP(tdata[[#This Row],[id_employee]],temployee[#All],5,0)</f>
        <v>driver</v>
      </c>
    </row>
    <row r="572" spans="2:19" x14ac:dyDescent="0.35">
      <c r="B572" s="8" t="s">
        <v>591</v>
      </c>
      <c r="C572" s="2" t="s">
        <v>1341</v>
      </c>
      <c r="D572" s="5">
        <v>45411</v>
      </c>
      <c r="E572" s="5">
        <v>45422</v>
      </c>
      <c r="F572" s="2" t="s">
        <v>26</v>
      </c>
      <c r="G572" s="2" t="s">
        <v>49</v>
      </c>
      <c r="H572" s="2" t="s">
        <v>23</v>
      </c>
      <c r="I572" s="2" t="s">
        <v>17</v>
      </c>
      <c r="J572" s="2">
        <v>7.54</v>
      </c>
      <c r="K572" s="2" t="str">
        <f t="shared" si="25"/>
        <v>&gt;5kg</v>
      </c>
      <c r="L572" s="2">
        <f>tdata[[#This Row],[Received_date]]-tdata[[#This Row],[Shipment_Date]]</f>
        <v>11</v>
      </c>
      <c r="M572" s="2">
        <f>VLOOKUP(tdata[[#This Row],[Service_Type]],Table2[#All],2,0)</f>
        <v>5</v>
      </c>
      <c r="N572" s="2" t="str">
        <f>IF(tdata[[#This Row],[Delivery_Days]]&lt;=tdata[[#This Row],[SLA_Days]],"On Time","Late")</f>
        <v>Late</v>
      </c>
      <c r="O572" s="2">
        <f>VLOOKUP(tdata[[#This Row],[Service_Type]],Table2[#All],4,0)</f>
        <v>9000</v>
      </c>
      <c r="P572" s="2">
        <f>tdata[[#This Row],[price_per_kilo]]*tdata[[#This Row],[Weight_KG]]</f>
        <v>67860</v>
      </c>
      <c r="Q572" s="2" t="str">
        <f>VLOOKUP(tdata[[#This Row],[id_employee]],temployee[#All],2,0)</f>
        <v>Siska Amelia</v>
      </c>
      <c r="R572" s="2" t="str">
        <f>VLOOKUP(tdata[[#This Row],[id_employee]],temployee[#All],4,0)</f>
        <v>internal</v>
      </c>
      <c r="S572" s="9" t="str">
        <f>VLOOKUP(tdata[[#This Row],[id_employee]],temployee[#All],5,0)</f>
        <v>rider</v>
      </c>
    </row>
    <row r="573" spans="2:19" x14ac:dyDescent="0.35">
      <c r="B573" s="8" t="s">
        <v>592</v>
      </c>
      <c r="C573" s="2" t="s">
        <v>1342</v>
      </c>
      <c r="D573" s="5">
        <v>45243</v>
      </c>
      <c r="E573" s="5">
        <v>45245</v>
      </c>
      <c r="F573" s="2" t="s">
        <v>49</v>
      </c>
      <c r="G573" s="2" t="s">
        <v>30</v>
      </c>
      <c r="H573" s="2" t="s">
        <v>1223</v>
      </c>
      <c r="I573" s="2" t="s">
        <v>13</v>
      </c>
      <c r="J573" s="2">
        <v>9.3000000000000007</v>
      </c>
      <c r="K573" s="2" t="str">
        <f t="shared" si="25"/>
        <v>&gt;5kg</v>
      </c>
      <c r="L573" s="2">
        <f>tdata[[#This Row],[Received_date]]-tdata[[#This Row],[Shipment_Date]]</f>
        <v>2</v>
      </c>
      <c r="M573" s="2">
        <f>VLOOKUP(tdata[[#This Row],[Service_Type]],Table2[#All],2,0)</f>
        <v>1</v>
      </c>
      <c r="N573" s="2" t="str">
        <f>IF(tdata[[#This Row],[Delivery_Days]]&lt;=tdata[[#This Row],[SLA_Days]],"On Time","Late")</f>
        <v>Late</v>
      </c>
      <c r="O573" s="2">
        <f>VLOOKUP(tdata[[#This Row],[Service_Type]],Table2[#All],4,0)</f>
        <v>12000</v>
      </c>
      <c r="P573" s="2">
        <f>tdata[[#This Row],[price_per_kilo]]*tdata[[#This Row],[Weight_KG]]</f>
        <v>111600.00000000001</v>
      </c>
      <c r="Q573" s="2" t="str">
        <f>VLOOKUP(tdata[[#This Row],[id_employee]],temployee[#All],2,0)</f>
        <v>Tri Wibowo</v>
      </c>
      <c r="R573" s="2" t="str">
        <f>VLOOKUP(tdata[[#This Row],[id_employee]],temployee[#All],4,0)</f>
        <v>internal</v>
      </c>
      <c r="S573" s="9" t="str">
        <f>VLOOKUP(tdata[[#This Row],[id_employee]],temployee[#All],5,0)</f>
        <v>driver</v>
      </c>
    </row>
    <row r="574" spans="2:19" x14ac:dyDescent="0.35">
      <c r="B574" s="8" t="s">
        <v>593</v>
      </c>
      <c r="C574" s="2" t="s">
        <v>1343</v>
      </c>
      <c r="D574" s="5">
        <v>45169</v>
      </c>
      <c r="E574" s="5">
        <f t="shared" ref="E574:E575" si="26">D574+4</f>
        <v>45173</v>
      </c>
      <c r="F574" s="2" t="s">
        <v>11</v>
      </c>
      <c r="G574" s="2" t="s">
        <v>11</v>
      </c>
      <c r="H574" s="2" t="s">
        <v>1223</v>
      </c>
      <c r="I574" s="2" t="s">
        <v>17</v>
      </c>
      <c r="J574" s="2">
        <v>6.08</v>
      </c>
      <c r="K574" s="2" t="str">
        <f t="shared" si="25"/>
        <v>&gt;5kg</v>
      </c>
      <c r="L574" s="2">
        <f>tdata[[#This Row],[Received_date]]-tdata[[#This Row],[Shipment_Date]]</f>
        <v>4</v>
      </c>
      <c r="M574" s="2">
        <f>VLOOKUP(tdata[[#This Row],[Service_Type]],Table2[#All],2,0)</f>
        <v>1</v>
      </c>
      <c r="N574" s="2" t="str">
        <f>IF(tdata[[#This Row],[Delivery_Days]]&lt;=tdata[[#This Row],[SLA_Days]],"On Time","Late")</f>
        <v>Late</v>
      </c>
      <c r="O574" s="2">
        <f>VLOOKUP(tdata[[#This Row],[Service_Type]],Table2[#All],4,0)</f>
        <v>12000</v>
      </c>
      <c r="P574" s="2">
        <f>tdata[[#This Row],[price_per_kilo]]*tdata[[#This Row],[Weight_KG]]</f>
        <v>72960</v>
      </c>
      <c r="Q574" s="2" t="str">
        <f>VLOOKUP(tdata[[#This Row],[id_employee]],temployee[#All],2,0)</f>
        <v>Ubay Prakoso</v>
      </c>
      <c r="R574" s="2" t="str">
        <f>VLOOKUP(tdata[[#This Row],[id_employee]],temployee[#All],4,0)</f>
        <v>crowd source</v>
      </c>
      <c r="S574" s="9" t="str">
        <f>VLOOKUP(tdata[[#This Row],[id_employee]],temployee[#All],5,0)</f>
        <v>rider</v>
      </c>
    </row>
    <row r="575" spans="2:19" x14ac:dyDescent="0.35">
      <c r="B575" s="8" t="s">
        <v>594</v>
      </c>
      <c r="C575" s="2" t="s">
        <v>1344</v>
      </c>
      <c r="D575" s="5">
        <v>45158</v>
      </c>
      <c r="E575" s="5">
        <f t="shared" si="26"/>
        <v>45162</v>
      </c>
      <c r="F575" s="2" t="s">
        <v>15</v>
      </c>
      <c r="G575" s="2" t="s">
        <v>22</v>
      </c>
      <c r="H575" s="2" t="s">
        <v>1224</v>
      </c>
      <c r="I575" s="2" t="s">
        <v>13</v>
      </c>
      <c r="J575" s="2">
        <v>5.7</v>
      </c>
      <c r="K575" s="2" t="str">
        <f t="shared" si="25"/>
        <v>&gt;5kg</v>
      </c>
      <c r="L575" s="2">
        <f>tdata[[#This Row],[Received_date]]-tdata[[#This Row],[Shipment_Date]]</f>
        <v>4</v>
      </c>
      <c r="M575" s="2">
        <f>VLOOKUP(tdata[[#This Row],[Service_Type]],Table2[#All],2,0)</f>
        <v>3</v>
      </c>
      <c r="N575" s="2" t="str">
        <f>IF(tdata[[#This Row],[Delivery_Days]]&lt;=tdata[[#This Row],[SLA_Days]],"On Time","Late")</f>
        <v>Late</v>
      </c>
      <c r="O575" s="2">
        <f>VLOOKUP(tdata[[#This Row],[Service_Type]],Table2[#All],4,0)</f>
        <v>10000</v>
      </c>
      <c r="P575" s="2">
        <f>tdata[[#This Row],[price_per_kilo]]*tdata[[#This Row],[Weight_KG]]</f>
        <v>57000</v>
      </c>
      <c r="Q575" s="2" t="str">
        <f>VLOOKUP(tdata[[#This Row],[id_employee]],temployee[#All],2,0)</f>
        <v>Vania Putri</v>
      </c>
      <c r="R575" s="2" t="str">
        <f>VLOOKUP(tdata[[#This Row],[id_employee]],temployee[#All],4,0)</f>
        <v>internal</v>
      </c>
      <c r="S575" s="9" t="str">
        <f>VLOOKUP(tdata[[#This Row],[id_employee]],temployee[#All],5,0)</f>
        <v>rider</v>
      </c>
    </row>
    <row r="576" spans="2:19" x14ac:dyDescent="0.35">
      <c r="B576" s="8" t="s">
        <v>595</v>
      </c>
      <c r="C576" s="2" t="s">
        <v>1345</v>
      </c>
      <c r="D576" s="5">
        <v>45270</v>
      </c>
      <c r="E576" s="5">
        <v>45272</v>
      </c>
      <c r="F576" s="2" t="s">
        <v>20</v>
      </c>
      <c r="G576" s="2" t="s">
        <v>12</v>
      </c>
      <c r="H576" s="2" t="s">
        <v>23</v>
      </c>
      <c r="I576" s="2" t="s">
        <v>13</v>
      </c>
      <c r="J576" s="2">
        <v>2.61</v>
      </c>
      <c r="K576" s="2" t="str">
        <f t="shared" si="25"/>
        <v>&lt; 5kg</v>
      </c>
      <c r="L576" s="2">
        <f>tdata[[#This Row],[Received_date]]-tdata[[#This Row],[Shipment_Date]]</f>
        <v>2</v>
      </c>
      <c r="M576" s="2">
        <f>VLOOKUP(tdata[[#This Row],[Service_Type]],Table2[#All],2,0)</f>
        <v>5</v>
      </c>
      <c r="N576" s="2" t="str">
        <f>IF(tdata[[#This Row],[Delivery_Days]]&lt;=tdata[[#This Row],[SLA_Days]],"On Time","Late")</f>
        <v>On Time</v>
      </c>
      <c r="O576" s="2">
        <f>VLOOKUP(tdata[[#This Row],[Service_Type]],Table2[#All],4,0)</f>
        <v>9000</v>
      </c>
      <c r="P576" s="2">
        <f>tdata[[#This Row],[price_per_kilo]]*tdata[[#This Row],[Weight_KG]]</f>
        <v>23490</v>
      </c>
      <c r="Q576" s="2" t="str">
        <f>VLOOKUP(tdata[[#This Row],[id_employee]],temployee[#All],2,0)</f>
        <v>Wira Nugraha</v>
      </c>
      <c r="R576" s="2" t="str">
        <f>VLOOKUP(tdata[[#This Row],[id_employee]],temployee[#All],4,0)</f>
        <v>internal</v>
      </c>
      <c r="S576" s="9" t="str">
        <f>VLOOKUP(tdata[[#This Row],[id_employee]],temployee[#All],5,0)</f>
        <v>driver</v>
      </c>
    </row>
    <row r="577" spans="2:19" x14ac:dyDescent="0.35">
      <c r="B577" s="8" t="s">
        <v>596</v>
      </c>
      <c r="C577" s="2" t="s">
        <v>1346</v>
      </c>
      <c r="D577" s="5">
        <v>45395</v>
      </c>
      <c r="E577" s="5">
        <v>45404</v>
      </c>
      <c r="F577" s="2" t="s">
        <v>22</v>
      </c>
      <c r="G577" s="2" t="s">
        <v>32</v>
      </c>
      <c r="H577" s="2" t="s">
        <v>1224</v>
      </c>
      <c r="I577" s="2" t="s">
        <v>17</v>
      </c>
      <c r="J577" s="2">
        <v>6.14</v>
      </c>
      <c r="K577" s="2" t="str">
        <f t="shared" si="25"/>
        <v>&gt;5kg</v>
      </c>
      <c r="L577" s="2">
        <f>tdata[[#This Row],[Received_date]]-tdata[[#This Row],[Shipment_Date]]</f>
        <v>9</v>
      </c>
      <c r="M577" s="2">
        <f>VLOOKUP(tdata[[#This Row],[Service_Type]],Table2[#All],2,0)</f>
        <v>3</v>
      </c>
      <c r="N577" s="2" t="str">
        <f>IF(tdata[[#This Row],[Delivery_Days]]&lt;=tdata[[#This Row],[SLA_Days]],"On Time","Late")</f>
        <v>Late</v>
      </c>
      <c r="O577" s="2">
        <f>VLOOKUP(tdata[[#This Row],[Service_Type]],Table2[#All],4,0)</f>
        <v>10000</v>
      </c>
      <c r="P577" s="2">
        <f>tdata[[#This Row],[price_per_kilo]]*tdata[[#This Row],[Weight_KG]]</f>
        <v>61400</v>
      </c>
      <c r="Q577" s="2" t="str">
        <f>VLOOKUP(tdata[[#This Row],[id_employee]],temployee[#All],2,0)</f>
        <v>Xaverius Adi</v>
      </c>
      <c r="R577" s="2" t="str">
        <f>VLOOKUP(tdata[[#This Row],[id_employee]],temployee[#All],4,0)</f>
        <v>crowd source</v>
      </c>
      <c r="S577" s="9" t="str">
        <f>VLOOKUP(tdata[[#This Row],[id_employee]],temployee[#All],5,0)</f>
        <v>driver</v>
      </c>
    </row>
    <row r="578" spans="2:19" x14ac:dyDescent="0.35">
      <c r="B578" s="8" t="s">
        <v>597</v>
      </c>
      <c r="C578" s="2" t="s">
        <v>1347</v>
      </c>
      <c r="D578" s="5">
        <v>45424</v>
      </c>
      <c r="E578" s="5">
        <v>45425</v>
      </c>
      <c r="F578" s="2" t="s">
        <v>12</v>
      </c>
      <c r="G578" s="2" t="s">
        <v>22</v>
      </c>
      <c r="H578" s="2" t="s">
        <v>1224</v>
      </c>
      <c r="I578" s="2" t="s">
        <v>17</v>
      </c>
      <c r="J578" s="2">
        <v>3.41</v>
      </c>
      <c r="K578" s="2" t="str">
        <f t="shared" si="25"/>
        <v>&lt; 5kg</v>
      </c>
      <c r="L578" s="2">
        <f>tdata[[#This Row],[Received_date]]-tdata[[#This Row],[Shipment_Date]]</f>
        <v>1</v>
      </c>
      <c r="M578" s="2">
        <f>VLOOKUP(tdata[[#This Row],[Service_Type]],Table2[#All],2,0)</f>
        <v>3</v>
      </c>
      <c r="N578" s="2" t="str">
        <f>IF(tdata[[#This Row],[Delivery_Days]]&lt;=tdata[[#This Row],[SLA_Days]],"On Time","Late")</f>
        <v>On Time</v>
      </c>
      <c r="O578" s="2">
        <f>VLOOKUP(tdata[[#This Row],[Service_Type]],Table2[#All],4,0)</f>
        <v>10000</v>
      </c>
      <c r="P578" s="2">
        <f>tdata[[#This Row],[price_per_kilo]]*tdata[[#This Row],[Weight_KG]]</f>
        <v>34100</v>
      </c>
      <c r="Q578" s="2" t="str">
        <f>VLOOKUP(tdata[[#This Row],[id_employee]],temployee[#All],2,0)</f>
        <v>Yuliana Kartini</v>
      </c>
      <c r="R578" s="2" t="str">
        <f>VLOOKUP(tdata[[#This Row],[id_employee]],temployee[#All],4,0)</f>
        <v>internal</v>
      </c>
      <c r="S578" s="9" t="str">
        <f>VLOOKUP(tdata[[#This Row],[id_employee]],temployee[#All],5,0)</f>
        <v>rider</v>
      </c>
    </row>
    <row r="579" spans="2:19" x14ac:dyDescent="0.35">
      <c r="B579" s="8" t="s">
        <v>598</v>
      </c>
      <c r="C579" s="2" t="s">
        <v>1348</v>
      </c>
      <c r="D579" s="5">
        <v>45388</v>
      </c>
      <c r="E579" s="5">
        <v>45395</v>
      </c>
      <c r="F579" s="2" t="s">
        <v>30</v>
      </c>
      <c r="G579" s="2" t="s">
        <v>32</v>
      </c>
      <c r="H579" s="2" t="s">
        <v>1223</v>
      </c>
      <c r="I579" s="2" t="s">
        <v>13</v>
      </c>
      <c r="J579" s="2">
        <v>4.79</v>
      </c>
      <c r="K579" s="2" t="str">
        <f t="shared" si="25"/>
        <v>&lt; 5kg</v>
      </c>
      <c r="L579" s="2">
        <f>tdata[[#This Row],[Received_date]]-tdata[[#This Row],[Shipment_Date]]</f>
        <v>7</v>
      </c>
      <c r="M579" s="2">
        <f>VLOOKUP(tdata[[#This Row],[Service_Type]],Table2[#All],2,0)</f>
        <v>1</v>
      </c>
      <c r="N579" s="2" t="str">
        <f>IF(tdata[[#This Row],[Delivery_Days]]&lt;=tdata[[#This Row],[SLA_Days]],"On Time","Late")</f>
        <v>Late</v>
      </c>
      <c r="O579" s="2">
        <f>VLOOKUP(tdata[[#This Row],[Service_Type]],Table2[#All],4,0)</f>
        <v>12000</v>
      </c>
      <c r="P579" s="2">
        <f>tdata[[#This Row],[price_per_kilo]]*tdata[[#This Row],[Weight_KG]]</f>
        <v>57480</v>
      </c>
      <c r="Q579" s="2" t="str">
        <f>VLOOKUP(tdata[[#This Row],[id_employee]],temployee[#All],2,0)</f>
        <v>Zaki Alamsyah</v>
      </c>
      <c r="R579" s="2" t="str">
        <f>VLOOKUP(tdata[[#This Row],[id_employee]],temployee[#All],4,0)</f>
        <v>internal</v>
      </c>
      <c r="S579" s="9" t="str">
        <f>VLOOKUP(tdata[[#This Row],[id_employee]],temployee[#All],5,0)</f>
        <v>rider</v>
      </c>
    </row>
    <row r="580" spans="2:19" x14ac:dyDescent="0.35">
      <c r="B580" s="8" t="s">
        <v>599</v>
      </c>
      <c r="C580" s="2" t="s">
        <v>1349</v>
      </c>
      <c r="D580" s="5">
        <v>45267</v>
      </c>
      <c r="E580" s="5">
        <v>45267</v>
      </c>
      <c r="F580" s="2" t="s">
        <v>32</v>
      </c>
      <c r="G580" s="2" t="s">
        <v>30</v>
      </c>
      <c r="H580" s="2" t="s">
        <v>1223</v>
      </c>
      <c r="I580" s="2" t="s">
        <v>13</v>
      </c>
      <c r="J580" s="2">
        <v>6.04</v>
      </c>
      <c r="K580" s="2" t="str">
        <f t="shared" si="25"/>
        <v>&gt;5kg</v>
      </c>
      <c r="L580" s="2">
        <f>tdata[[#This Row],[Received_date]]-tdata[[#This Row],[Shipment_Date]]</f>
        <v>0</v>
      </c>
      <c r="M580" s="2">
        <f>VLOOKUP(tdata[[#This Row],[Service_Type]],Table2[#All],2,0)</f>
        <v>1</v>
      </c>
      <c r="N580" s="2" t="str">
        <f>IF(tdata[[#This Row],[Delivery_Days]]&lt;=tdata[[#This Row],[SLA_Days]],"On Time","Late")</f>
        <v>On Time</v>
      </c>
      <c r="O580" s="2">
        <f>VLOOKUP(tdata[[#This Row],[Service_Type]],Table2[#All],4,0)</f>
        <v>12000</v>
      </c>
      <c r="P580" s="2">
        <f>tdata[[#This Row],[price_per_kilo]]*tdata[[#This Row],[Weight_KG]]</f>
        <v>72480</v>
      </c>
      <c r="Q580" s="2" t="str">
        <f>VLOOKUP(tdata[[#This Row],[id_employee]],temployee[#All],2,0)</f>
        <v>Arief Setyawan</v>
      </c>
      <c r="R580" s="2" t="str">
        <f>VLOOKUP(tdata[[#This Row],[id_employee]],temployee[#All],4,0)</f>
        <v>crowd source</v>
      </c>
      <c r="S580" s="9" t="str">
        <f>VLOOKUP(tdata[[#This Row],[id_employee]],temployee[#All],5,0)</f>
        <v>driver</v>
      </c>
    </row>
    <row r="581" spans="2:19" x14ac:dyDescent="0.35">
      <c r="B581" s="8" t="s">
        <v>600</v>
      </c>
      <c r="C581" s="2" t="s">
        <v>1350</v>
      </c>
      <c r="D581" s="5">
        <v>44956</v>
      </c>
      <c r="E581" s="5">
        <f>D581+4</f>
        <v>44960</v>
      </c>
      <c r="F581" s="2" t="s">
        <v>16</v>
      </c>
      <c r="G581" s="2" t="s">
        <v>49</v>
      </c>
      <c r="H581" s="2" t="s">
        <v>1224</v>
      </c>
      <c r="I581" s="2" t="s">
        <v>17</v>
      </c>
      <c r="J581" s="2">
        <v>6.69</v>
      </c>
      <c r="K581" s="2" t="str">
        <f t="shared" ref="K581:K644" si="27">IF(J581&lt;5,"&lt; 5kg", "&gt;5kg")</f>
        <v>&gt;5kg</v>
      </c>
      <c r="L581" s="2">
        <f>tdata[[#This Row],[Received_date]]-tdata[[#This Row],[Shipment_Date]]</f>
        <v>4</v>
      </c>
      <c r="M581" s="2">
        <f>VLOOKUP(tdata[[#This Row],[Service_Type]],Table2[#All],2,0)</f>
        <v>3</v>
      </c>
      <c r="N581" s="2" t="str">
        <f>IF(tdata[[#This Row],[Delivery_Days]]&lt;=tdata[[#This Row],[SLA_Days]],"On Time","Late")</f>
        <v>Late</v>
      </c>
      <c r="O581" s="2">
        <f>VLOOKUP(tdata[[#This Row],[Service_Type]],Table2[#All],4,0)</f>
        <v>10000</v>
      </c>
      <c r="P581" s="2">
        <f>tdata[[#This Row],[price_per_kilo]]*tdata[[#This Row],[Weight_KG]]</f>
        <v>66900</v>
      </c>
      <c r="Q581" s="2" t="str">
        <f>VLOOKUP(tdata[[#This Row],[id_employee]],temployee[#All],2,0)</f>
        <v>Bunga Cahyani</v>
      </c>
      <c r="R581" s="2" t="str">
        <f>VLOOKUP(tdata[[#This Row],[id_employee]],temployee[#All],4,0)</f>
        <v>internal</v>
      </c>
      <c r="S581" s="9" t="str">
        <f>VLOOKUP(tdata[[#This Row],[id_employee]],temployee[#All],5,0)</f>
        <v>rider</v>
      </c>
    </row>
    <row r="582" spans="2:19" x14ac:dyDescent="0.35">
      <c r="B582" s="8" t="s">
        <v>601</v>
      </c>
      <c r="C582" s="2" t="s">
        <v>1351</v>
      </c>
      <c r="D582" s="5">
        <v>45525</v>
      </c>
      <c r="E582" s="5">
        <v>45527</v>
      </c>
      <c r="F582" s="2" t="s">
        <v>26</v>
      </c>
      <c r="G582" s="2" t="s">
        <v>26</v>
      </c>
      <c r="H582" s="2" t="s">
        <v>1224</v>
      </c>
      <c r="I582" s="2" t="s">
        <v>17</v>
      </c>
      <c r="J582" s="2">
        <v>0.74</v>
      </c>
      <c r="K582" s="2" t="str">
        <f t="shared" si="27"/>
        <v>&lt; 5kg</v>
      </c>
      <c r="L582" s="2">
        <f>tdata[[#This Row],[Received_date]]-tdata[[#This Row],[Shipment_Date]]</f>
        <v>2</v>
      </c>
      <c r="M582" s="2">
        <f>VLOOKUP(tdata[[#This Row],[Service_Type]],Table2[#All],2,0)</f>
        <v>3</v>
      </c>
      <c r="N582" s="2" t="str">
        <f>IF(tdata[[#This Row],[Delivery_Days]]&lt;=tdata[[#This Row],[SLA_Days]],"On Time","Late")</f>
        <v>On Time</v>
      </c>
      <c r="O582" s="2">
        <f>VLOOKUP(tdata[[#This Row],[Service_Type]],Table2[#All],4,0)</f>
        <v>10000</v>
      </c>
      <c r="P582" s="2">
        <f>tdata[[#This Row],[price_per_kilo]]*tdata[[#This Row],[Weight_KG]]</f>
        <v>7400</v>
      </c>
      <c r="Q582" s="2" t="str">
        <f>VLOOKUP(tdata[[#This Row],[id_employee]],temployee[#All],2,0)</f>
        <v>Cahyo Prabowo</v>
      </c>
      <c r="R582" s="2" t="str">
        <f>VLOOKUP(tdata[[#This Row],[id_employee]],temployee[#All],4,0)</f>
        <v>internal</v>
      </c>
      <c r="S582" s="9" t="str">
        <f>VLOOKUP(tdata[[#This Row],[id_employee]],temployee[#All],5,0)</f>
        <v>driver</v>
      </c>
    </row>
    <row r="583" spans="2:19" x14ac:dyDescent="0.35">
      <c r="B583" s="8" t="s">
        <v>602</v>
      </c>
      <c r="C583" s="2" t="s">
        <v>1352</v>
      </c>
      <c r="D583" s="5">
        <v>45293</v>
      </c>
      <c r="E583" s="5">
        <v>45293</v>
      </c>
      <c r="F583" s="2" t="s">
        <v>49</v>
      </c>
      <c r="G583" s="2" t="s">
        <v>12</v>
      </c>
      <c r="H583" s="2" t="s">
        <v>1223</v>
      </c>
      <c r="I583" s="2" t="s">
        <v>13</v>
      </c>
      <c r="J583" s="2">
        <v>1.99</v>
      </c>
      <c r="K583" s="2" t="str">
        <f t="shared" si="27"/>
        <v>&lt; 5kg</v>
      </c>
      <c r="L583" s="2">
        <f>tdata[[#This Row],[Received_date]]-tdata[[#This Row],[Shipment_Date]]</f>
        <v>0</v>
      </c>
      <c r="M583" s="2">
        <f>VLOOKUP(tdata[[#This Row],[Service_Type]],Table2[#All],2,0)</f>
        <v>1</v>
      </c>
      <c r="N583" s="2" t="str">
        <f>IF(tdata[[#This Row],[Delivery_Days]]&lt;=tdata[[#This Row],[SLA_Days]],"On Time","Late")</f>
        <v>On Time</v>
      </c>
      <c r="O583" s="2">
        <f>VLOOKUP(tdata[[#This Row],[Service_Type]],Table2[#All],4,0)</f>
        <v>12000</v>
      </c>
      <c r="P583" s="2">
        <f>tdata[[#This Row],[price_per_kilo]]*tdata[[#This Row],[Weight_KG]]</f>
        <v>23880</v>
      </c>
      <c r="Q583" s="2" t="str">
        <f>VLOOKUP(tdata[[#This Row],[id_employee]],temployee[#All],2,0)</f>
        <v>Diah Permata</v>
      </c>
      <c r="R583" s="2" t="str">
        <f>VLOOKUP(tdata[[#This Row],[id_employee]],temployee[#All],4,0)</f>
        <v>crowd source</v>
      </c>
      <c r="S583" s="9" t="str">
        <f>VLOOKUP(tdata[[#This Row],[id_employee]],temployee[#All],5,0)</f>
        <v>rider</v>
      </c>
    </row>
    <row r="584" spans="2:19" x14ac:dyDescent="0.35">
      <c r="B584" s="8" t="s">
        <v>603</v>
      </c>
      <c r="C584" s="2" t="s">
        <v>1353</v>
      </c>
      <c r="D584" s="5">
        <v>45268</v>
      </c>
      <c r="E584" s="5">
        <v>45279</v>
      </c>
      <c r="F584" s="2" t="s">
        <v>11</v>
      </c>
      <c r="G584" s="2" t="s">
        <v>12</v>
      </c>
      <c r="H584" s="2" t="s">
        <v>1224</v>
      </c>
      <c r="I584" s="2" t="s">
        <v>17</v>
      </c>
      <c r="J584" s="2">
        <v>8.86</v>
      </c>
      <c r="K584" s="2" t="str">
        <f t="shared" si="27"/>
        <v>&gt;5kg</v>
      </c>
      <c r="L584" s="2">
        <f>tdata[[#This Row],[Received_date]]-tdata[[#This Row],[Shipment_Date]]</f>
        <v>11</v>
      </c>
      <c r="M584" s="2">
        <f>VLOOKUP(tdata[[#This Row],[Service_Type]],Table2[#All],2,0)</f>
        <v>3</v>
      </c>
      <c r="N584" s="2" t="str">
        <f>IF(tdata[[#This Row],[Delivery_Days]]&lt;=tdata[[#This Row],[SLA_Days]],"On Time","Late")</f>
        <v>Late</v>
      </c>
      <c r="O584" s="2">
        <f>VLOOKUP(tdata[[#This Row],[Service_Type]],Table2[#All],4,0)</f>
        <v>10000</v>
      </c>
      <c r="P584" s="2">
        <f>tdata[[#This Row],[price_per_kilo]]*tdata[[#This Row],[Weight_KG]]</f>
        <v>88600</v>
      </c>
      <c r="Q584" s="2" t="str">
        <f>VLOOKUP(tdata[[#This Row],[id_employee]],temployee[#All],2,0)</f>
        <v>Evania Putri</v>
      </c>
      <c r="R584" s="2" t="str">
        <f>VLOOKUP(tdata[[#This Row],[id_employee]],temployee[#All],4,0)</f>
        <v>internal</v>
      </c>
      <c r="S584" s="9" t="str">
        <f>VLOOKUP(tdata[[#This Row],[id_employee]],temployee[#All],5,0)</f>
        <v>rider</v>
      </c>
    </row>
    <row r="585" spans="2:19" x14ac:dyDescent="0.35">
      <c r="B585" s="8" t="s">
        <v>604</v>
      </c>
      <c r="C585" s="2" t="s">
        <v>1354</v>
      </c>
      <c r="D585" s="5">
        <v>45083</v>
      </c>
      <c r="E585" s="5">
        <v>45084</v>
      </c>
      <c r="F585" s="2" t="s">
        <v>15</v>
      </c>
      <c r="G585" s="2" t="s">
        <v>16</v>
      </c>
      <c r="H585" s="2" t="s">
        <v>1224</v>
      </c>
      <c r="I585" s="2" t="s">
        <v>17</v>
      </c>
      <c r="J585" s="2">
        <v>8.65</v>
      </c>
      <c r="K585" s="2" t="str">
        <f t="shared" si="27"/>
        <v>&gt;5kg</v>
      </c>
      <c r="L585" s="2">
        <f>tdata[[#This Row],[Received_date]]-tdata[[#This Row],[Shipment_Date]]</f>
        <v>1</v>
      </c>
      <c r="M585" s="2">
        <f>VLOOKUP(tdata[[#This Row],[Service_Type]],Table2[#All],2,0)</f>
        <v>3</v>
      </c>
      <c r="N585" s="2" t="str">
        <f>IF(tdata[[#This Row],[Delivery_Days]]&lt;=tdata[[#This Row],[SLA_Days]],"On Time","Late")</f>
        <v>On Time</v>
      </c>
      <c r="O585" s="2">
        <f>VLOOKUP(tdata[[#This Row],[Service_Type]],Table2[#All],4,0)</f>
        <v>10000</v>
      </c>
      <c r="P585" s="2">
        <f>tdata[[#This Row],[price_per_kilo]]*tdata[[#This Row],[Weight_KG]]</f>
        <v>86500</v>
      </c>
      <c r="Q585" s="2" t="str">
        <f>VLOOKUP(tdata[[#This Row],[id_employee]],temployee[#All],2,0)</f>
        <v>Fikri Ramadhan</v>
      </c>
      <c r="R585" s="2" t="str">
        <f>VLOOKUP(tdata[[#This Row],[id_employee]],temployee[#All],4,0)</f>
        <v>crowd source</v>
      </c>
      <c r="S585" s="9" t="str">
        <f>VLOOKUP(tdata[[#This Row],[id_employee]],temployee[#All],5,0)</f>
        <v>driver</v>
      </c>
    </row>
    <row r="586" spans="2:19" x14ac:dyDescent="0.35">
      <c r="B586" s="8" t="s">
        <v>605</v>
      </c>
      <c r="C586" s="2" t="s">
        <v>1355</v>
      </c>
      <c r="D586" s="5">
        <v>45395</v>
      </c>
      <c r="E586" s="5">
        <v>45397</v>
      </c>
      <c r="F586" s="2" t="s">
        <v>20</v>
      </c>
      <c r="G586" s="2" t="s">
        <v>49</v>
      </c>
      <c r="H586" s="2" t="s">
        <v>1223</v>
      </c>
      <c r="I586" s="2" t="s">
        <v>17</v>
      </c>
      <c r="J586" s="2">
        <v>7.19</v>
      </c>
      <c r="K586" s="2" t="str">
        <f t="shared" si="27"/>
        <v>&gt;5kg</v>
      </c>
      <c r="L586" s="2">
        <f>tdata[[#This Row],[Received_date]]-tdata[[#This Row],[Shipment_Date]]</f>
        <v>2</v>
      </c>
      <c r="M586" s="2">
        <f>VLOOKUP(tdata[[#This Row],[Service_Type]],Table2[#All],2,0)</f>
        <v>1</v>
      </c>
      <c r="N586" s="2" t="str">
        <f>IF(tdata[[#This Row],[Delivery_Days]]&lt;=tdata[[#This Row],[SLA_Days]],"On Time","Late")</f>
        <v>Late</v>
      </c>
      <c r="O586" s="2">
        <f>VLOOKUP(tdata[[#This Row],[Service_Type]],Table2[#All],4,0)</f>
        <v>12000</v>
      </c>
      <c r="P586" s="2">
        <f>tdata[[#This Row],[price_per_kilo]]*tdata[[#This Row],[Weight_KG]]</f>
        <v>86280</v>
      </c>
      <c r="Q586" s="2" t="str">
        <f>VLOOKUP(tdata[[#This Row],[id_employee]],temployee[#All],2,0)</f>
        <v>Gilang Ramli</v>
      </c>
      <c r="R586" s="2" t="str">
        <f>VLOOKUP(tdata[[#This Row],[id_employee]],temployee[#All],4,0)</f>
        <v>internal</v>
      </c>
      <c r="S586" s="9" t="str">
        <f>VLOOKUP(tdata[[#This Row],[id_employee]],temployee[#All],5,0)</f>
        <v>rider</v>
      </c>
    </row>
    <row r="587" spans="2:19" x14ac:dyDescent="0.35">
      <c r="B587" s="8" t="s">
        <v>606</v>
      </c>
      <c r="C587" s="2" t="s">
        <v>1356</v>
      </c>
      <c r="D587" s="5">
        <v>45354</v>
      </c>
      <c r="E587" s="5">
        <v>45354</v>
      </c>
      <c r="F587" s="2" t="s">
        <v>22</v>
      </c>
      <c r="G587" s="2" t="s">
        <v>22</v>
      </c>
      <c r="H587" s="2" t="s">
        <v>1224</v>
      </c>
      <c r="I587" s="2" t="s">
        <v>13</v>
      </c>
      <c r="J587" s="2">
        <v>0.9</v>
      </c>
      <c r="K587" s="2" t="str">
        <f t="shared" si="27"/>
        <v>&lt; 5kg</v>
      </c>
      <c r="L587" s="2">
        <f>tdata[[#This Row],[Received_date]]-tdata[[#This Row],[Shipment_Date]]</f>
        <v>0</v>
      </c>
      <c r="M587" s="2">
        <f>VLOOKUP(tdata[[#This Row],[Service_Type]],Table2[#All],2,0)</f>
        <v>3</v>
      </c>
      <c r="N587" s="2" t="str">
        <f>IF(tdata[[#This Row],[Delivery_Days]]&lt;=tdata[[#This Row],[SLA_Days]],"On Time","Late")</f>
        <v>On Time</v>
      </c>
      <c r="O587" s="2">
        <f>VLOOKUP(tdata[[#This Row],[Service_Type]],Table2[#All],4,0)</f>
        <v>10000</v>
      </c>
      <c r="P587" s="2">
        <f>tdata[[#This Row],[price_per_kilo]]*tdata[[#This Row],[Weight_KG]]</f>
        <v>9000</v>
      </c>
      <c r="Q587" s="2" t="str">
        <f>VLOOKUP(tdata[[#This Row],[id_employee]],temployee[#All],2,0)</f>
        <v>Hana Zahra</v>
      </c>
      <c r="R587" s="2" t="str">
        <f>VLOOKUP(tdata[[#This Row],[id_employee]],temployee[#All],4,0)</f>
        <v>internal</v>
      </c>
      <c r="S587" s="9" t="str">
        <f>VLOOKUP(tdata[[#This Row],[id_employee]],temployee[#All],5,0)</f>
        <v>rider</v>
      </c>
    </row>
    <row r="588" spans="2:19" x14ac:dyDescent="0.35">
      <c r="B588" s="8" t="s">
        <v>607</v>
      </c>
      <c r="C588" s="2" t="s">
        <v>1357</v>
      </c>
      <c r="D588" s="5">
        <v>45281</v>
      </c>
      <c r="E588" s="5">
        <v>45288</v>
      </c>
      <c r="F588" s="2" t="s">
        <v>12</v>
      </c>
      <c r="G588" s="2" t="s">
        <v>12</v>
      </c>
      <c r="H588" s="2" t="s">
        <v>1224</v>
      </c>
      <c r="I588" s="2" t="s">
        <v>17</v>
      </c>
      <c r="J588" s="2">
        <v>5.41</v>
      </c>
      <c r="K588" s="2" t="str">
        <f t="shared" si="27"/>
        <v>&gt;5kg</v>
      </c>
      <c r="L588" s="2">
        <f>tdata[[#This Row],[Received_date]]-tdata[[#This Row],[Shipment_Date]]</f>
        <v>7</v>
      </c>
      <c r="M588" s="2">
        <f>VLOOKUP(tdata[[#This Row],[Service_Type]],Table2[#All],2,0)</f>
        <v>3</v>
      </c>
      <c r="N588" s="2" t="str">
        <f>IF(tdata[[#This Row],[Delivery_Days]]&lt;=tdata[[#This Row],[SLA_Days]],"On Time","Late")</f>
        <v>Late</v>
      </c>
      <c r="O588" s="2">
        <f>VLOOKUP(tdata[[#This Row],[Service_Type]],Table2[#All],4,0)</f>
        <v>10000</v>
      </c>
      <c r="P588" s="2">
        <f>tdata[[#This Row],[price_per_kilo]]*tdata[[#This Row],[Weight_KG]]</f>
        <v>54100</v>
      </c>
      <c r="Q588" s="2" t="str">
        <f>VLOOKUP(tdata[[#This Row],[id_employee]],temployee[#All],2,0)</f>
        <v>Irfan Maulana</v>
      </c>
      <c r="R588" s="2" t="str">
        <f>VLOOKUP(tdata[[#This Row],[id_employee]],temployee[#All],4,0)</f>
        <v>internal</v>
      </c>
      <c r="S588" s="9" t="str">
        <f>VLOOKUP(tdata[[#This Row],[id_employee]],temployee[#All],5,0)</f>
        <v>driver</v>
      </c>
    </row>
    <row r="589" spans="2:19" x14ac:dyDescent="0.35">
      <c r="B589" s="8" t="s">
        <v>608</v>
      </c>
      <c r="C589" s="2" t="s">
        <v>1358</v>
      </c>
      <c r="D589" s="5">
        <v>45388</v>
      </c>
      <c r="E589" s="5">
        <f>D589+4</f>
        <v>45392</v>
      </c>
      <c r="F589" s="2" t="s">
        <v>30</v>
      </c>
      <c r="G589" s="2" t="s">
        <v>12</v>
      </c>
      <c r="H589" s="2" t="s">
        <v>23</v>
      </c>
      <c r="I589" s="2" t="s">
        <v>17</v>
      </c>
      <c r="J589" s="2">
        <v>6.3</v>
      </c>
      <c r="K589" s="2" t="str">
        <f t="shared" si="27"/>
        <v>&gt;5kg</v>
      </c>
      <c r="L589" s="2">
        <f>tdata[[#This Row],[Received_date]]-tdata[[#This Row],[Shipment_Date]]</f>
        <v>4</v>
      </c>
      <c r="M589" s="2">
        <f>VLOOKUP(tdata[[#This Row],[Service_Type]],Table2[#All],2,0)</f>
        <v>5</v>
      </c>
      <c r="N589" s="2" t="str">
        <f>IF(tdata[[#This Row],[Delivery_Days]]&lt;=tdata[[#This Row],[SLA_Days]],"On Time","Late")</f>
        <v>On Time</v>
      </c>
      <c r="O589" s="2">
        <f>VLOOKUP(tdata[[#This Row],[Service_Type]],Table2[#All],4,0)</f>
        <v>9000</v>
      </c>
      <c r="P589" s="2">
        <f>tdata[[#This Row],[price_per_kilo]]*tdata[[#This Row],[Weight_KG]]</f>
        <v>56700</v>
      </c>
      <c r="Q589" s="2" t="str">
        <f>VLOOKUP(tdata[[#This Row],[id_employee]],temployee[#All],2,0)</f>
        <v>Jihan Salsabila</v>
      </c>
      <c r="R589" s="2" t="str">
        <f>VLOOKUP(tdata[[#This Row],[id_employee]],temployee[#All],4,0)</f>
        <v>crowd source</v>
      </c>
      <c r="S589" s="9" t="str">
        <f>VLOOKUP(tdata[[#This Row],[id_employee]],temployee[#All],5,0)</f>
        <v>rider</v>
      </c>
    </row>
    <row r="590" spans="2:19" x14ac:dyDescent="0.35">
      <c r="B590" s="8" t="s">
        <v>609</v>
      </c>
      <c r="C590" s="2" t="s">
        <v>1359</v>
      </c>
      <c r="D590" s="5">
        <v>45572</v>
      </c>
      <c r="E590" s="5">
        <v>45576</v>
      </c>
      <c r="F590" s="2" t="s">
        <v>32</v>
      </c>
      <c r="G590" s="2" t="s">
        <v>30</v>
      </c>
      <c r="H590" s="2" t="s">
        <v>1223</v>
      </c>
      <c r="I590" s="2" t="s">
        <v>13</v>
      </c>
      <c r="J590" s="2">
        <v>4.79</v>
      </c>
      <c r="K590" s="2" t="str">
        <f t="shared" si="27"/>
        <v>&lt; 5kg</v>
      </c>
      <c r="L590" s="2">
        <f>tdata[[#This Row],[Received_date]]-tdata[[#This Row],[Shipment_Date]]</f>
        <v>4</v>
      </c>
      <c r="M590" s="2">
        <f>VLOOKUP(tdata[[#This Row],[Service_Type]],Table2[#All],2,0)</f>
        <v>1</v>
      </c>
      <c r="N590" s="2" t="str">
        <f>IF(tdata[[#This Row],[Delivery_Days]]&lt;=tdata[[#This Row],[SLA_Days]],"On Time","Late")</f>
        <v>Late</v>
      </c>
      <c r="O590" s="2">
        <f>VLOOKUP(tdata[[#This Row],[Service_Type]],Table2[#All],4,0)</f>
        <v>12000</v>
      </c>
      <c r="P590" s="2">
        <f>tdata[[#This Row],[price_per_kilo]]*tdata[[#This Row],[Weight_KG]]</f>
        <v>57480</v>
      </c>
      <c r="Q590" s="2" t="str">
        <f>VLOOKUP(tdata[[#This Row],[id_employee]],temployee[#All],2,0)</f>
        <v>Koko Santoso</v>
      </c>
      <c r="R590" s="2" t="str">
        <f>VLOOKUP(tdata[[#This Row],[id_employee]],temployee[#All],4,0)</f>
        <v>internal</v>
      </c>
      <c r="S590" s="9" t="str">
        <f>VLOOKUP(tdata[[#This Row],[id_employee]],temployee[#All],5,0)</f>
        <v>rider</v>
      </c>
    </row>
    <row r="591" spans="2:19" x14ac:dyDescent="0.35">
      <c r="B591" s="8" t="s">
        <v>610</v>
      </c>
      <c r="C591" s="2" t="s">
        <v>1360</v>
      </c>
      <c r="D591" s="5">
        <v>44945</v>
      </c>
      <c r="E591" s="5">
        <v>44947</v>
      </c>
      <c r="F591" s="2" t="s">
        <v>16</v>
      </c>
      <c r="G591" s="2" t="s">
        <v>26</v>
      </c>
      <c r="H591" s="2" t="s">
        <v>1224</v>
      </c>
      <c r="I591" s="2" t="s">
        <v>13</v>
      </c>
      <c r="J591" s="2">
        <v>8.8000000000000007</v>
      </c>
      <c r="K591" s="2" t="str">
        <f t="shared" si="27"/>
        <v>&gt;5kg</v>
      </c>
      <c r="L591" s="2">
        <f>tdata[[#This Row],[Received_date]]-tdata[[#This Row],[Shipment_Date]]</f>
        <v>2</v>
      </c>
      <c r="M591" s="2">
        <f>VLOOKUP(tdata[[#This Row],[Service_Type]],Table2[#All],2,0)</f>
        <v>3</v>
      </c>
      <c r="N591" s="2" t="str">
        <f>IF(tdata[[#This Row],[Delivery_Days]]&lt;=tdata[[#This Row],[SLA_Days]],"On Time","Late")</f>
        <v>On Time</v>
      </c>
      <c r="O591" s="2">
        <f>VLOOKUP(tdata[[#This Row],[Service_Type]],Table2[#All],4,0)</f>
        <v>10000</v>
      </c>
      <c r="P591" s="2">
        <f>tdata[[#This Row],[price_per_kilo]]*tdata[[#This Row],[Weight_KG]]</f>
        <v>88000</v>
      </c>
      <c r="Q591" s="2" t="str">
        <f>VLOOKUP(tdata[[#This Row],[id_employee]],temployee[#All],2,0)</f>
        <v>Luthfi Hakim</v>
      </c>
      <c r="R591" s="2" t="str">
        <f>VLOOKUP(tdata[[#This Row],[id_employee]],temployee[#All],4,0)</f>
        <v>crowd source</v>
      </c>
      <c r="S591" s="9" t="str">
        <f>VLOOKUP(tdata[[#This Row],[id_employee]],temployee[#All],5,0)</f>
        <v>driver</v>
      </c>
    </row>
    <row r="592" spans="2:19" x14ac:dyDescent="0.35">
      <c r="B592" s="8" t="s">
        <v>611</v>
      </c>
      <c r="C592" s="2" t="s">
        <v>1361</v>
      </c>
      <c r="D592" s="5">
        <v>45222</v>
      </c>
      <c r="E592" s="5">
        <v>45222</v>
      </c>
      <c r="F592" s="2" t="s">
        <v>26</v>
      </c>
      <c r="G592" s="2" t="s">
        <v>11</v>
      </c>
      <c r="H592" s="2" t="s">
        <v>1223</v>
      </c>
      <c r="I592" s="2" t="s">
        <v>13</v>
      </c>
      <c r="J592" s="2">
        <v>4.8600000000000003</v>
      </c>
      <c r="K592" s="2" t="str">
        <f t="shared" si="27"/>
        <v>&lt; 5kg</v>
      </c>
      <c r="L592" s="2">
        <f>tdata[[#This Row],[Received_date]]-tdata[[#This Row],[Shipment_Date]]</f>
        <v>0</v>
      </c>
      <c r="M592" s="2">
        <f>VLOOKUP(tdata[[#This Row],[Service_Type]],Table2[#All],2,0)</f>
        <v>1</v>
      </c>
      <c r="N592" s="2" t="str">
        <f>IF(tdata[[#This Row],[Delivery_Days]]&lt;=tdata[[#This Row],[SLA_Days]],"On Time","Late")</f>
        <v>On Time</v>
      </c>
      <c r="O592" s="2">
        <f>VLOOKUP(tdata[[#This Row],[Service_Type]],Table2[#All],4,0)</f>
        <v>12000</v>
      </c>
      <c r="P592" s="2">
        <f>tdata[[#This Row],[price_per_kilo]]*tdata[[#This Row],[Weight_KG]]</f>
        <v>58320.000000000007</v>
      </c>
      <c r="Q592" s="2" t="str">
        <f>VLOOKUP(tdata[[#This Row],[id_employee]],temployee[#All],2,0)</f>
        <v>Melati Anggraini</v>
      </c>
      <c r="R592" s="2" t="str">
        <f>VLOOKUP(tdata[[#This Row],[id_employee]],temployee[#All],4,0)</f>
        <v>internal</v>
      </c>
      <c r="S592" s="9" t="str">
        <f>VLOOKUP(tdata[[#This Row],[id_employee]],temployee[#All],5,0)</f>
        <v>rider</v>
      </c>
    </row>
    <row r="593" spans="2:19" x14ac:dyDescent="0.35">
      <c r="B593" s="8" t="s">
        <v>612</v>
      </c>
      <c r="C593" s="2" t="s">
        <v>1362</v>
      </c>
      <c r="D593" s="5">
        <v>45257</v>
      </c>
      <c r="E593" s="5">
        <v>45260</v>
      </c>
      <c r="F593" s="2" t="s">
        <v>49</v>
      </c>
      <c r="G593" s="2" t="s">
        <v>30</v>
      </c>
      <c r="H593" s="2" t="s">
        <v>1224</v>
      </c>
      <c r="I593" s="2" t="s">
        <v>17</v>
      </c>
      <c r="J593" s="2">
        <v>9.1300000000000008</v>
      </c>
      <c r="K593" s="2" t="str">
        <f t="shared" si="27"/>
        <v>&gt;5kg</v>
      </c>
      <c r="L593" s="2">
        <f>tdata[[#This Row],[Received_date]]-tdata[[#This Row],[Shipment_Date]]</f>
        <v>3</v>
      </c>
      <c r="M593" s="2">
        <f>VLOOKUP(tdata[[#This Row],[Service_Type]],Table2[#All],2,0)</f>
        <v>3</v>
      </c>
      <c r="N593" s="2" t="str">
        <f>IF(tdata[[#This Row],[Delivery_Days]]&lt;=tdata[[#This Row],[SLA_Days]],"On Time","Late")</f>
        <v>On Time</v>
      </c>
      <c r="O593" s="2">
        <f>VLOOKUP(tdata[[#This Row],[Service_Type]],Table2[#All],4,0)</f>
        <v>10000</v>
      </c>
      <c r="P593" s="2">
        <f>tdata[[#This Row],[price_per_kilo]]*tdata[[#This Row],[Weight_KG]]</f>
        <v>91300.000000000015</v>
      </c>
      <c r="Q593" s="2" t="str">
        <f>VLOOKUP(tdata[[#This Row],[id_employee]],temployee[#All],2,0)</f>
        <v>Naufal Rizky</v>
      </c>
      <c r="R593" s="2" t="str">
        <f>VLOOKUP(tdata[[#This Row],[id_employee]],temployee[#All],4,0)</f>
        <v>internal</v>
      </c>
      <c r="S593" s="9" t="str">
        <f>VLOOKUP(tdata[[#This Row],[id_employee]],temployee[#All],5,0)</f>
        <v>driver</v>
      </c>
    </row>
    <row r="594" spans="2:19" x14ac:dyDescent="0.35">
      <c r="B594" s="8" t="s">
        <v>613</v>
      </c>
      <c r="C594" s="2" t="s">
        <v>1363</v>
      </c>
      <c r="D594" s="5">
        <v>45400</v>
      </c>
      <c r="E594" s="5">
        <v>45401</v>
      </c>
      <c r="F594" s="2" t="s">
        <v>11</v>
      </c>
      <c r="G594" s="2" t="s">
        <v>11</v>
      </c>
      <c r="H594" s="2" t="s">
        <v>1224</v>
      </c>
      <c r="I594" s="2" t="s">
        <v>13</v>
      </c>
      <c r="J594" s="2">
        <v>4.3</v>
      </c>
      <c r="K594" s="2" t="str">
        <f t="shared" si="27"/>
        <v>&lt; 5kg</v>
      </c>
      <c r="L594" s="2">
        <f>tdata[[#This Row],[Received_date]]-tdata[[#This Row],[Shipment_Date]]</f>
        <v>1</v>
      </c>
      <c r="M594" s="2">
        <f>VLOOKUP(tdata[[#This Row],[Service_Type]],Table2[#All],2,0)</f>
        <v>3</v>
      </c>
      <c r="N594" s="2" t="str">
        <f>IF(tdata[[#This Row],[Delivery_Days]]&lt;=tdata[[#This Row],[SLA_Days]],"On Time","Late")</f>
        <v>On Time</v>
      </c>
      <c r="O594" s="2">
        <f>VLOOKUP(tdata[[#This Row],[Service_Type]],Table2[#All],4,0)</f>
        <v>10000</v>
      </c>
      <c r="P594" s="2">
        <f>tdata[[#This Row],[price_per_kilo]]*tdata[[#This Row],[Weight_KG]]</f>
        <v>43000</v>
      </c>
      <c r="Q594" s="2" t="str">
        <f>VLOOKUP(tdata[[#This Row],[id_employee]],temployee[#All],2,0)</f>
        <v>Olin Febriani</v>
      </c>
      <c r="R594" s="2" t="str">
        <f>VLOOKUP(tdata[[#This Row],[id_employee]],temployee[#All],4,0)</f>
        <v>crowd source</v>
      </c>
      <c r="S594" s="9" t="str">
        <f>VLOOKUP(tdata[[#This Row],[id_employee]],temployee[#All],5,0)</f>
        <v>rider</v>
      </c>
    </row>
    <row r="595" spans="2:19" x14ac:dyDescent="0.35">
      <c r="B595" s="8" t="s">
        <v>614</v>
      </c>
      <c r="C595" s="2" t="s">
        <v>1364</v>
      </c>
      <c r="D595" s="5">
        <v>45529</v>
      </c>
      <c r="E595" s="5">
        <v>45533</v>
      </c>
      <c r="F595" s="2" t="s">
        <v>15</v>
      </c>
      <c r="G595" s="2" t="s">
        <v>15</v>
      </c>
      <c r="H595" s="2" t="s">
        <v>23</v>
      </c>
      <c r="I595" s="2" t="s">
        <v>13</v>
      </c>
      <c r="J595" s="2">
        <v>8.65</v>
      </c>
      <c r="K595" s="2" t="str">
        <f t="shared" si="27"/>
        <v>&gt;5kg</v>
      </c>
      <c r="L595" s="2">
        <f>tdata[[#This Row],[Received_date]]-tdata[[#This Row],[Shipment_Date]]</f>
        <v>4</v>
      </c>
      <c r="M595" s="2">
        <f>VLOOKUP(tdata[[#This Row],[Service_Type]],Table2[#All],2,0)</f>
        <v>5</v>
      </c>
      <c r="N595" s="2" t="str">
        <f>IF(tdata[[#This Row],[Delivery_Days]]&lt;=tdata[[#This Row],[SLA_Days]],"On Time","Late")</f>
        <v>On Time</v>
      </c>
      <c r="O595" s="2">
        <f>VLOOKUP(tdata[[#This Row],[Service_Type]],Table2[#All],4,0)</f>
        <v>9000</v>
      </c>
      <c r="P595" s="2">
        <f>tdata[[#This Row],[price_per_kilo]]*tdata[[#This Row],[Weight_KG]]</f>
        <v>77850</v>
      </c>
      <c r="Q595" s="2" t="str">
        <f>VLOOKUP(tdata[[#This Row],[id_employee]],temployee[#All],2,0)</f>
        <v>Praditya Wicaksono</v>
      </c>
      <c r="R595" s="2" t="str">
        <f>VLOOKUP(tdata[[#This Row],[id_employee]],temployee[#All],4,0)</f>
        <v>internal</v>
      </c>
      <c r="S595" s="9" t="str">
        <f>VLOOKUP(tdata[[#This Row],[id_employee]],temployee[#All],5,0)</f>
        <v>driver</v>
      </c>
    </row>
    <row r="596" spans="2:19" x14ac:dyDescent="0.35">
      <c r="B596" s="8" t="s">
        <v>615</v>
      </c>
      <c r="C596" s="2" t="s">
        <v>1365</v>
      </c>
      <c r="D596" s="5">
        <v>45328</v>
      </c>
      <c r="E596" s="5">
        <v>45337</v>
      </c>
      <c r="F596" s="2" t="s">
        <v>20</v>
      </c>
      <c r="G596" s="2" t="s">
        <v>32</v>
      </c>
      <c r="H596" s="2" t="s">
        <v>1223</v>
      </c>
      <c r="I596" s="2" t="s">
        <v>17</v>
      </c>
      <c r="J596" s="2">
        <v>3.68</v>
      </c>
      <c r="K596" s="2" t="str">
        <f t="shared" si="27"/>
        <v>&lt; 5kg</v>
      </c>
      <c r="L596" s="2">
        <f>tdata[[#This Row],[Received_date]]-tdata[[#This Row],[Shipment_Date]]</f>
        <v>9</v>
      </c>
      <c r="M596" s="2">
        <f>VLOOKUP(tdata[[#This Row],[Service_Type]],Table2[#All],2,0)</f>
        <v>1</v>
      </c>
      <c r="N596" s="2" t="str">
        <f>IF(tdata[[#This Row],[Delivery_Days]]&lt;=tdata[[#This Row],[SLA_Days]],"On Time","Late")</f>
        <v>Late</v>
      </c>
      <c r="O596" s="2">
        <f>VLOOKUP(tdata[[#This Row],[Service_Type]],Table2[#All],4,0)</f>
        <v>12000</v>
      </c>
      <c r="P596" s="2">
        <f>tdata[[#This Row],[price_per_kilo]]*tdata[[#This Row],[Weight_KG]]</f>
        <v>44160</v>
      </c>
      <c r="Q596" s="2" t="str">
        <f>VLOOKUP(tdata[[#This Row],[id_employee]],temployee[#All],2,0)</f>
        <v>Qory Azzahra</v>
      </c>
      <c r="R596" s="2" t="str">
        <f>VLOOKUP(tdata[[#This Row],[id_employee]],temployee[#All],4,0)</f>
        <v>internal</v>
      </c>
      <c r="S596" s="9" t="str">
        <f>VLOOKUP(tdata[[#This Row],[id_employee]],temployee[#All],5,0)</f>
        <v>rider</v>
      </c>
    </row>
    <row r="597" spans="2:19" x14ac:dyDescent="0.35">
      <c r="B597" s="8" t="s">
        <v>616</v>
      </c>
      <c r="C597" s="2" t="s">
        <v>1366</v>
      </c>
      <c r="D597" s="5">
        <v>45633</v>
      </c>
      <c r="E597" s="5">
        <v>45634</v>
      </c>
      <c r="F597" s="2" t="s">
        <v>22</v>
      </c>
      <c r="G597" s="2" t="s">
        <v>20</v>
      </c>
      <c r="H597" s="2" t="s">
        <v>1224</v>
      </c>
      <c r="I597" s="2" t="s">
        <v>13</v>
      </c>
      <c r="J597" s="2">
        <v>4.43</v>
      </c>
      <c r="K597" s="2" t="str">
        <f t="shared" si="27"/>
        <v>&lt; 5kg</v>
      </c>
      <c r="L597" s="2">
        <f>tdata[[#This Row],[Received_date]]-tdata[[#This Row],[Shipment_Date]]</f>
        <v>1</v>
      </c>
      <c r="M597" s="2">
        <f>VLOOKUP(tdata[[#This Row],[Service_Type]],Table2[#All],2,0)</f>
        <v>3</v>
      </c>
      <c r="N597" s="2" t="str">
        <f>IF(tdata[[#This Row],[Delivery_Days]]&lt;=tdata[[#This Row],[SLA_Days]],"On Time","Late")</f>
        <v>On Time</v>
      </c>
      <c r="O597" s="2">
        <f>VLOOKUP(tdata[[#This Row],[Service_Type]],Table2[#All],4,0)</f>
        <v>10000</v>
      </c>
      <c r="P597" s="2">
        <f>tdata[[#This Row],[price_per_kilo]]*tdata[[#This Row],[Weight_KG]]</f>
        <v>44300</v>
      </c>
      <c r="Q597" s="2" t="str">
        <f>VLOOKUP(tdata[[#This Row],[id_employee]],temployee[#All],2,0)</f>
        <v>Rendi Saputra</v>
      </c>
      <c r="R597" s="2" t="str">
        <f>VLOOKUP(tdata[[#This Row],[id_employee]],temployee[#All],4,0)</f>
        <v>crowd source</v>
      </c>
      <c r="S597" s="9" t="str">
        <f>VLOOKUP(tdata[[#This Row],[id_employee]],temployee[#All],5,0)</f>
        <v>driver</v>
      </c>
    </row>
    <row r="598" spans="2:19" x14ac:dyDescent="0.35">
      <c r="B598" s="8" t="s">
        <v>617</v>
      </c>
      <c r="C598" s="2" t="s">
        <v>1367</v>
      </c>
      <c r="D598" s="5">
        <v>45488</v>
      </c>
      <c r="E598" s="5">
        <v>45492</v>
      </c>
      <c r="F598" s="2" t="s">
        <v>12</v>
      </c>
      <c r="G598" s="2" t="s">
        <v>32</v>
      </c>
      <c r="H598" s="2" t="s">
        <v>1223</v>
      </c>
      <c r="I598" s="2" t="s">
        <v>17</v>
      </c>
      <c r="J598" s="2">
        <v>5.22</v>
      </c>
      <c r="K598" s="2" t="str">
        <f t="shared" si="27"/>
        <v>&gt;5kg</v>
      </c>
      <c r="L598" s="2">
        <f>tdata[[#This Row],[Received_date]]-tdata[[#This Row],[Shipment_Date]]</f>
        <v>4</v>
      </c>
      <c r="M598" s="2">
        <f>VLOOKUP(tdata[[#This Row],[Service_Type]],Table2[#All],2,0)</f>
        <v>1</v>
      </c>
      <c r="N598" s="2" t="str">
        <f>IF(tdata[[#This Row],[Delivery_Days]]&lt;=tdata[[#This Row],[SLA_Days]],"On Time","Late")</f>
        <v>Late</v>
      </c>
      <c r="O598" s="2">
        <f>VLOOKUP(tdata[[#This Row],[Service_Type]],Table2[#All],4,0)</f>
        <v>12000</v>
      </c>
      <c r="P598" s="2">
        <f>tdata[[#This Row],[price_per_kilo]]*tdata[[#This Row],[Weight_KG]]</f>
        <v>62640</v>
      </c>
      <c r="Q598" s="2" t="str">
        <f>VLOOKUP(tdata[[#This Row],[id_employee]],temployee[#All],2,0)</f>
        <v>Salma Nuraini</v>
      </c>
      <c r="R598" s="2" t="str">
        <f>VLOOKUP(tdata[[#This Row],[id_employee]],temployee[#All],4,0)</f>
        <v>internal</v>
      </c>
      <c r="S598" s="9" t="str">
        <f>VLOOKUP(tdata[[#This Row],[id_employee]],temployee[#All],5,0)</f>
        <v>rider</v>
      </c>
    </row>
    <row r="599" spans="2:19" x14ac:dyDescent="0.35">
      <c r="B599" s="8" t="s">
        <v>618</v>
      </c>
      <c r="C599" s="2" t="s">
        <v>1368</v>
      </c>
      <c r="D599" s="5">
        <v>45089</v>
      </c>
      <c r="E599" s="5">
        <v>45095</v>
      </c>
      <c r="F599" s="2" t="s">
        <v>30</v>
      </c>
      <c r="G599" s="2" t="s">
        <v>20</v>
      </c>
      <c r="H599" s="2" t="s">
        <v>1224</v>
      </c>
      <c r="I599" s="2" t="s">
        <v>13</v>
      </c>
      <c r="J599" s="2">
        <v>4.58</v>
      </c>
      <c r="K599" s="2" t="str">
        <f t="shared" si="27"/>
        <v>&lt; 5kg</v>
      </c>
      <c r="L599" s="2">
        <f>tdata[[#This Row],[Received_date]]-tdata[[#This Row],[Shipment_Date]]</f>
        <v>6</v>
      </c>
      <c r="M599" s="2">
        <f>VLOOKUP(tdata[[#This Row],[Service_Type]],Table2[#All],2,0)</f>
        <v>3</v>
      </c>
      <c r="N599" s="2" t="str">
        <f>IF(tdata[[#This Row],[Delivery_Days]]&lt;=tdata[[#This Row],[SLA_Days]],"On Time","Late")</f>
        <v>Late</v>
      </c>
      <c r="O599" s="2">
        <f>VLOOKUP(tdata[[#This Row],[Service_Type]],Table2[#All],4,0)</f>
        <v>10000</v>
      </c>
      <c r="P599" s="2">
        <f>tdata[[#This Row],[price_per_kilo]]*tdata[[#This Row],[Weight_KG]]</f>
        <v>45800</v>
      </c>
      <c r="Q599" s="2" t="str">
        <f>VLOOKUP(tdata[[#This Row],[id_employee]],temployee[#All],2,0)</f>
        <v>Tegar Prakoso</v>
      </c>
      <c r="R599" s="2" t="str">
        <f>VLOOKUP(tdata[[#This Row],[id_employee]],temployee[#All],4,0)</f>
        <v>internal</v>
      </c>
      <c r="S599" s="9" t="str">
        <f>VLOOKUP(tdata[[#This Row],[id_employee]],temployee[#All],5,0)</f>
        <v>driver</v>
      </c>
    </row>
    <row r="600" spans="2:19" x14ac:dyDescent="0.35">
      <c r="B600" s="8" t="s">
        <v>619</v>
      </c>
      <c r="C600" s="2" t="s">
        <v>1369</v>
      </c>
      <c r="D600" s="5">
        <v>45203</v>
      </c>
      <c r="E600" s="5">
        <f>D600+4</f>
        <v>45207</v>
      </c>
      <c r="F600" s="2" t="s">
        <v>32</v>
      </c>
      <c r="G600" s="2" t="s">
        <v>11</v>
      </c>
      <c r="H600" s="2" t="s">
        <v>1223</v>
      </c>
      <c r="I600" s="2" t="s">
        <v>13</v>
      </c>
      <c r="J600" s="2">
        <v>6.84</v>
      </c>
      <c r="K600" s="2" t="str">
        <f t="shared" si="27"/>
        <v>&gt;5kg</v>
      </c>
      <c r="L600" s="2">
        <f>tdata[[#This Row],[Received_date]]-tdata[[#This Row],[Shipment_Date]]</f>
        <v>4</v>
      </c>
      <c r="M600" s="2">
        <f>VLOOKUP(tdata[[#This Row],[Service_Type]],Table2[#All],2,0)</f>
        <v>1</v>
      </c>
      <c r="N600" s="2" t="str">
        <f>IF(tdata[[#This Row],[Delivery_Days]]&lt;=tdata[[#This Row],[SLA_Days]],"On Time","Late")</f>
        <v>Late</v>
      </c>
      <c r="O600" s="2">
        <f>VLOOKUP(tdata[[#This Row],[Service_Type]],Table2[#All],4,0)</f>
        <v>12000</v>
      </c>
      <c r="P600" s="2">
        <f>tdata[[#This Row],[price_per_kilo]]*tdata[[#This Row],[Weight_KG]]</f>
        <v>82080</v>
      </c>
      <c r="Q600" s="2" t="str">
        <f>VLOOKUP(tdata[[#This Row],[id_employee]],temployee[#All],2,0)</f>
        <v>Ulfa Khairunnisa</v>
      </c>
      <c r="R600" s="2" t="str">
        <f>VLOOKUP(tdata[[#This Row],[id_employee]],temployee[#All],4,0)</f>
        <v>crowd source</v>
      </c>
      <c r="S600" s="9" t="str">
        <f>VLOOKUP(tdata[[#This Row],[id_employee]],temployee[#All],5,0)</f>
        <v>rider</v>
      </c>
    </row>
    <row r="601" spans="2:19" x14ac:dyDescent="0.35">
      <c r="B601" s="8" t="s">
        <v>620</v>
      </c>
      <c r="C601" s="2" t="s">
        <v>1370</v>
      </c>
      <c r="D601" s="5">
        <v>45534</v>
      </c>
      <c r="E601" s="5">
        <v>45537</v>
      </c>
      <c r="F601" s="2" t="s">
        <v>16</v>
      </c>
      <c r="G601" s="2" t="s">
        <v>22</v>
      </c>
      <c r="H601" s="2" t="s">
        <v>1224</v>
      </c>
      <c r="I601" s="2" t="s">
        <v>13</v>
      </c>
      <c r="J601" s="2">
        <v>3.64</v>
      </c>
      <c r="K601" s="2" t="str">
        <f t="shared" si="27"/>
        <v>&lt; 5kg</v>
      </c>
      <c r="L601" s="2">
        <f>tdata[[#This Row],[Received_date]]-tdata[[#This Row],[Shipment_Date]]</f>
        <v>3</v>
      </c>
      <c r="M601" s="2">
        <f>VLOOKUP(tdata[[#This Row],[Service_Type]],Table2[#All],2,0)</f>
        <v>3</v>
      </c>
      <c r="N601" s="2" t="str">
        <f>IF(tdata[[#This Row],[Delivery_Days]]&lt;=tdata[[#This Row],[SLA_Days]],"On Time","Late")</f>
        <v>On Time</v>
      </c>
      <c r="O601" s="2">
        <f>VLOOKUP(tdata[[#This Row],[Service_Type]],Table2[#All],4,0)</f>
        <v>10000</v>
      </c>
      <c r="P601" s="2">
        <f>tdata[[#This Row],[price_per_kilo]]*tdata[[#This Row],[Weight_KG]]</f>
        <v>36400</v>
      </c>
      <c r="Q601" s="2" t="str">
        <f>VLOOKUP(tdata[[#This Row],[id_employee]],temployee[#All],2,0)</f>
        <v>Vito Mahendra</v>
      </c>
      <c r="R601" s="2" t="str">
        <f>VLOOKUP(tdata[[#This Row],[id_employee]],temployee[#All],4,0)</f>
        <v>internal</v>
      </c>
      <c r="S601" s="9" t="str">
        <f>VLOOKUP(tdata[[#This Row],[id_employee]],temployee[#All],5,0)</f>
        <v>rider</v>
      </c>
    </row>
    <row r="602" spans="2:19" x14ac:dyDescent="0.35">
      <c r="B602" s="8" t="s">
        <v>621</v>
      </c>
      <c r="C602" s="2" t="s">
        <v>1371</v>
      </c>
      <c r="D602" s="5">
        <v>45653</v>
      </c>
      <c r="E602" s="5">
        <f>D602+4</f>
        <v>45657</v>
      </c>
      <c r="F602" s="2" t="s">
        <v>26</v>
      </c>
      <c r="G602" s="2" t="s">
        <v>22</v>
      </c>
      <c r="H602" s="2" t="s">
        <v>1224</v>
      </c>
      <c r="I602" s="2" t="s">
        <v>13</v>
      </c>
      <c r="J602" s="2">
        <v>7.73</v>
      </c>
      <c r="K602" s="2" t="str">
        <f t="shared" si="27"/>
        <v>&gt;5kg</v>
      </c>
      <c r="L602" s="2">
        <f>tdata[[#This Row],[Received_date]]-tdata[[#This Row],[Shipment_Date]]</f>
        <v>4</v>
      </c>
      <c r="M602" s="2">
        <f>VLOOKUP(tdata[[#This Row],[Service_Type]],Table2[#All],2,0)</f>
        <v>3</v>
      </c>
      <c r="N602" s="2" t="str">
        <f>IF(tdata[[#This Row],[Delivery_Days]]&lt;=tdata[[#This Row],[SLA_Days]],"On Time","Late")</f>
        <v>Late</v>
      </c>
      <c r="O602" s="2">
        <f>VLOOKUP(tdata[[#This Row],[Service_Type]],Table2[#All],4,0)</f>
        <v>10000</v>
      </c>
      <c r="P602" s="2">
        <f>tdata[[#This Row],[price_per_kilo]]*tdata[[#This Row],[Weight_KG]]</f>
        <v>77300</v>
      </c>
      <c r="Q602" s="2" t="str">
        <f>VLOOKUP(tdata[[#This Row],[id_employee]],temployee[#All],2,0)</f>
        <v>Winda Sari</v>
      </c>
      <c r="R602" s="2" t="str">
        <f>VLOOKUP(tdata[[#This Row],[id_employee]],temployee[#All],4,0)</f>
        <v>internal</v>
      </c>
      <c r="S602" s="9" t="str">
        <f>VLOOKUP(tdata[[#This Row],[id_employee]],temployee[#All],5,0)</f>
        <v>rider</v>
      </c>
    </row>
    <row r="603" spans="2:19" x14ac:dyDescent="0.35">
      <c r="B603" s="8" t="s">
        <v>622</v>
      </c>
      <c r="C603" s="2" t="s">
        <v>1372</v>
      </c>
      <c r="D603" s="5">
        <v>45555</v>
      </c>
      <c r="E603" s="5">
        <v>45558</v>
      </c>
      <c r="F603" s="2" t="s">
        <v>49</v>
      </c>
      <c r="G603" s="2" t="s">
        <v>30</v>
      </c>
      <c r="H603" s="2" t="s">
        <v>23</v>
      </c>
      <c r="I603" s="2" t="s">
        <v>17</v>
      </c>
      <c r="J603" s="2">
        <v>9.58</v>
      </c>
      <c r="K603" s="2" t="str">
        <f t="shared" si="27"/>
        <v>&gt;5kg</v>
      </c>
      <c r="L603" s="2">
        <f>tdata[[#This Row],[Received_date]]-tdata[[#This Row],[Shipment_Date]]</f>
        <v>3</v>
      </c>
      <c r="M603" s="2">
        <f>VLOOKUP(tdata[[#This Row],[Service_Type]],Table2[#All],2,0)</f>
        <v>5</v>
      </c>
      <c r="N603" s="2" t="str">
        <f>IF(tdata[[#This Row],[Delivery_Days]]&lt;=tdata[[#This Row],[SLA_Days]],"On Time","Late")</f>
        <v>On Time</v>
      </c>
      <c r="O603" s="2">
        <f>VLOOKUP(tdata[[#This Row],[Service_Type]],Table2[#All],4,0)</f>
        <v>9000</v>
      </c>
      <c r="P603" s="2">
        <f>tdata[[#This Row],[price_per_kilo]]*tdata[[#This Row],[Weight_KG]]</f>
        <v>86220</v>
      </c>
      <c r="Q603" s="2" t="str">
        <f>VLOOKUP(tdata[[#This Row],[id_employee]],temployee[#All],2,0)</f>
        <v>Yusuf Al Ghazali</v>
      </c>
      <c r="R603" s="2" t="str">
        <f>VLOOKUP(tdata[[#This Row],[id_employee]],temployee[#All],4,0)</f>
        <v>crowd source</v>
      </c>
      <c r="S603" s="9" t="str">
        <f>VLOOKUP(tdata[[#This Row],[id_employee]],temployee[#All],5,0)</f>
        <v>driver</v>
      </c>
    </row>
    <row r="604" spans="2:19" x14ac:dyDescent="0.35">
      <c r="B604" s="8" t="s">
        <v>623</v>
      </c>
      <c r="C604" s="2" t="s">
        <v>1273</v>
      </c>
      <c r="D604" s="5">
        <v>45123</v>
      </c>
      <c r="E604" s="5">
        <v>45124</v>
      </c>
      <c r="F604" s="2" t="s">
        <v>11</v>
      </c>
      <c r="G604" s="2" t="s">
        <v>11</v>
      </c>
      <c r="H604" s="2" t="s">
        <v>1223</v>
      </c>
      <c r="I604" s="2" t="s">
        <v>17</v>
      </c>
      <c r="J604" s="2">
        <v>4.33</v>
      </c>
      <c r="K604" s="2" t="str">
        <f t="shared" si="27"/>
        <v>&lt; 5kg</v>
      </c>
      <c r="L604" s="2">
        <f>tdata[[#This Row],[Received_date]]-tdata[[#This Row],[Shipment_Date]]</f>
        <v>1</v>
      </c>
      <c r="M604" s="2">
        <f>VLOOKUP(tdata[[#This Row],[Service_Type]],Table2[#All],2,0)</f>
        <v>1</v>
      </c>
      <c r="N604" s="2" t="str">
        <f>IF(tdata[[#This Row],[Delivery_Days]]&lt;=tdata[[#This Row],[SLA_Days]],"On Time","Late")</f>
        <v>On Time</v>
      </c>
      <c r="O604" s="2">
        <f>VLOOKUP(tdata[[#This Row],[Service_Type]],Table2[#All],4,0)</f>
        <v>12000</v>
      </c>
      <c r="P604" s="2">
        <f>tdata[[#This Row],[price_per_kilo]]*tdata[[#This Row],[Weight_KG]]</f>
        <v>51960</v>
      </c>
      <c r="Q604" s="2" t="str">
        <f>VLOOKUP(tdata[[#This Row],[id_employee]],temployee[#All],2,0)</f>
        <v>Andi Pratama</v>
      </c>
      <c r="R604" s="2" t="str">
        <f>VLOOKUP(tdata[[#This Row],[id_employee]],temployee[#All],4,0)</f>
        <v>internal</v>
      </c>
      <c r="S604" s="9" t="str">
        <f>VLOOKUP(tdata[[#This Row],[id_employee]],temployee[#All],5,0)</f>
        <v>rider</v>
      </c>
    </row>
    <row r="605" spans="2:19" x14ac:dyDescent="0.35">
      <c r="B605" s="8" t="s">
        <v>624</v>
      </c>
      <c r="C605" s="2" t="s">
        <v>1274</v>
      </c>
      <c r="D605" s="5">
        <v>45403</v>
      </c>
      <c r="E605" s="5">
        <v>45403</v>
      </c>
      <c r="F605" s="2" t="s">
        <v>15</v>
      </c>
      <c r="G605" s="2" t="s">
        <v>26</v>
      </c>
      <c r="H605" s="2" t="s">
        <v>1224</v>
      </c>
      <c r="I605" s="2" t="s">
        <v>17</v>
      </c>
      <c r="J605" s="2">
        <v>1.48</v>
      </c>
      <c r="K605" s="2" t="str">
        <f t="shared" si="27"/>
        <v>&lt; 5kg</v>
      </c>
      <c r="L605" s="2">
        <f>tdata[[#This Row],[Received_date]]-tdata[[#This Row],[Shipment_Date]]</f>
        <v>0</v>
      </c>
      <c r="M605" s="2">
        <f>VLOOKUP(tdata[[#This Row],[Service_Type]],Table2[#All],2,0)</f>
        <v>3</v>
      </c>
      <c r="N605" s="2" t="str">
        <f>IF(tdata[[#This Row],[Delivery_Days]]&lt;=tdata[[#This Row],[SLA_Days]],"On Time","Late")</f>
        <v>On Time</v>
      </c>
      <c r="O605" s="2">
        <f>VLOOKUP(tdata[[#This Row],[Service_Type]],Table2[#All],4,0)</f>
        <v>10000</v>
      </c>
      <c r="P605" s="2">
        <f>tdata[[#This Row],[price_per_kilo]]*tdata[[#This Row],[Weight_KG]]</f>
        <v>14800</v>
      </c>
      <c r="Q605" s="2" t="str">
        <f>VLOOKUP(tdata[[#This Row],[id_employee]],temployee[#All],2,0)</f>
        <v>Budi Santoso</v>
      </c>
      <c r="R605" s="2" t="str">
        <f>VLOOKUP(tdata[[#This Row],[id_employee]],temployee[#All],4,0)</f>
        <v>internal</v>
      </c>
      <c r="S605" s="9" t="str">
        <f>VLOOKUP(tdata[[#This Row],[id_employee]],temployee[#All],5,0)</f>
        <v>driver</v>
      </c>
    </row>
    <row r="606" spans="2:19" x14ac:dyDescent="0.35">
      <c r="B606" s="8" t="s">
        <v>625</v>
      </c>
      <c r="C606" s="2" t="s">
        <v>1275</v>
      </c>
      <c r="D606" s="5">
        <v>45520</v>
      </c>
      <c r="E606" s="5">
        <f>D606+4</f>
        <v>45524</v>
      </c>
      <c r="F606" s="2" t="s">
        <v>20</v>
      </c>
      <c r="G606" s="2" t="s">
        <v>11</v>
      </c>
      <c r="H606" s="2" t="s">
        <v>1223</v>
      </c>
      <c r="I606" s="2" t="s">
        <v>13</v>
      </c>
      <c r="J606" s="2">
        <v>6.3</v>
      </c>
      <c r="K606" s="2" t="str">
        <f t="shared" si="27"/>
        <v>&gt;5kg</v>
      </c>
      <c r="L606" s="2">
        <f>tdata[[#This Row],[Received_date]]-tdata[[#This Row],[Shipment_Date]]</f>
        <v>4</v>
      </c>
      <c r="M606" s="2">
        <f>VLOOKUP(tdata[[#This Row],[Service_Type]],Table2[#All],2,0)</f>
        <v>1</v>
      </c>
      <c r="N606" s="2" t="str">
        <f>IF(tdata[[#This Row],[Delivery_Days]]&lt;=tdata[[#This Row],[SLA_Days]],"On Time","Late")</f>
        <v>Late</v>
      </c>
      <c r="O606" s="2">
        <f>VLOOKUP(tdata[[#This Row],[Service_Type]],Table2[#All],4,0)</f>
        <v>12000</v>
      </c>
      <c r="P606" s="2">
        <f>tdata[[#This Row],[price_per_kilo]]*tdata[[#This Row],[Weight_KG]]</f>
        <v>75600</v>
      </c>
      <c r="Q606" s="2" t="str">
        <f>VLOOKUP(tdata[[#This Row],[id_employee]],temployee[#All],2,0)</f>
        <v>Citra Lestari</v>
      </c>
      <c r="R606" s="2" t="str">
        <f>VLOOKUP(tdata[[#This Row],[id_employee]],temployee[#All],4,0)</f>
        <v>crowd source</v>
      </c>
      <c r="S606" s="9" t="str">
        <f>VLOOKUP(tdata[[#This Row],[id_employee]],temployee[#All],5,0)</f>
        <v>rider</v>
      </c>
    </row>
    <row r="607" spans="2:19" x14ac:dyDescent="0.35">
      <c r="B607" s="8" t="s">
        <v>626</v>
      </c>
      <c r="C607" s="2" t="s">
        <v>1276</v>
      </c>
      <c r="D607" s="5">
        <v>45583</v>
      </c>
      <c r="E607" s="5">
        <v>45584</v>
      </c>
      <c r="F607" s="2" t="s">
        <v>22</v>
      </c>
      <c r="G607" s="2" t="s">
        <v>15</v>
      </c>
      <c r="H607" s="2" t="s">
        <v>1224</v>
      </c>
      <c r="I607" s="2" t="s">
        <v>13</v>
      </c>
      <c r="J607" s="2">
        <v>3.6</v>
      </c>
      <c r="K607" s="2" t="str">
        <f t="shared" si="27"/>
        <v>&lt; 5kg</v>
      </c>
      <c r="L607" s="2">
        <f>tdata[[#This Row],[Received_date]]-tdata[[#This Row],[Shipment_Date]]</f>
        <v>1</v>
      </c>
      <c r="M607" s="2">
        <f>VLOOKUP(tdata[[#This Row],[Service_Type]],Table2[#All],2,0)</f>
        <v>3</v>
      </c>
      <c r="N607" s="2" t="str">
        <f>IF(tdata[[#This Row],[Delivery_Days]]&lt;=tdata[[#This Row],[SLA_Days]],"On Time","Late")</f>
        <v>On Time</v>
      </c>
      <c r="O607" s="2">
        <f>VLOOKUP(tdata[[#This Row],[Service_Type]],Table2[#All],4,0)</f>
        <v>10000</v>
      </c>
      <c r="P607" s="2">
        <f>tdata[[#This Row],[price_per_kilo]]*tdata[[#This Row],[Weight_KG]]</f>
        <v>36000</v>
      </c>
      <c r="Q607" s="2" t="str">
        <f>VLOOKUP(tdata[[#This Row],[id_employee]],temployee[#All],2,0)</f>
        <v>Dedi Saputra</v>
      </c>
      <c r="R607" s="2" t="str">
        <f>VLOOKUP(tdata[[#This Row],[id_employee]],temployee[#All],4,0)</f>
        <v>crowd source</v>
      </c>
      <c r="S607" s="9" t="str">
        <f>VLOOKUP(tdata[[#This Row],[id_employee]],temployee[#All],5,0)</f>
        <v>driver</v>
      </c>
    </row>
    <row r="608" spans="2:19" x14ac:dyDescent="0.35">
      <c r="B608" s="8" t="s">
        <v>627</v>
      </c>
      <c r="C608" s="2" t="s">
        <v>1277</v>
      </c>
      <c r="D608" s="5">
        <v>45056</v>
      </c>
      <c r="E608" s="5">
        <v>45056</v>
      </c>
      <c r="F608" s="2" t="s">
        <v>12</v>
      </c>
      <c r="G608" s="2" t="s">
        <v>12</v>
      </c>
      <c r="H608" s="2" t="s">
        <v>1223</v>
      </c>
      <c r="I608" s="2" t="s">
        <v>17</v>
      </c>
      <c r="J608" s="2">
        <v>2.4900000000000002</v>
      </c>
      <c r="K608" s="2" t="str">
        <f t="shared" si="27"/>
        <v>&lt; 5kg</v>
      </c>
      <c r="L608" s="2">
        <f>tdata[[#This Row],[Received_date]]-tdata[[#This Row],[Shipment_Date]]</f>
        <v>0</v>
      </c>
      <c r="M608" s="2">
        <f>VLOOKUP(tdata[[#This Row],[Service_Type]],Table2[#All],2,0)</f>
        <v>1</v>
      </c>
      <c r="N608" s="2" t="str">
        <f>IF(tdata[[#This Row],[Delivery_Days]]&lt;=tdata[[#This Row],[SLA_Days]],"On Time","Late")</f>
        <v>On Time</v>
      </c>
      <c r="O608" s="2">
        <f>VLOOKUP(tdata[[#This Row],[Service_Type]],Table2[#All],4,0)</f>
        <v>12000</v>
      </c>
      <c r="P608" s="2">
        <f>tdata[[#This Row],[price_per_kilo]]*tdata[[#This Row],[Weight_KG]]</f>
        <v>29880.000000000004</v>
      </c>
      <c r="Q608" s="2" t="str">
        <f>VLOOKUP(tdata[[#This Row],[id_employee]],temployee[#All],2,0)</f>
        <v>Eko Nugroho</v>
      </c>
      <c r="R608" s="2" t="str">
        <f>VLOOKUP(tdata[[#This Row],[id_employee]],temployee[#All],4,0)</f>
        <v>internal</v>
      </c>
      <c r="S608" s="9" t="str">
        <f>VLOOKUP(tdata[[#This Row],[id_employee]],temployee[#All],5,0)</f>
        <v>rider</v>
      </c>
    </row>
    <row r="609" spans="2:19" x14ac:dyDescent="0.35">
      <c r="B609" s="8" t="s">
        <v>628</v>
      </c>
      <c r="C609" s="2" t="s">
        <v>1278</v>
      </c>
      <c r="D609" s="5">
        <v>45317</v>
      </c>
      <c r="E609" s="5">
        <v>45317</v>
      </c>
      <c r="F609" s="2" t="s">
        <v>30</v>
      </c>
      <c r="G609" s="2" t="s">
        <v>16</v>
      </c>
      <c r="H609" s="2" t="s">
        <v>1224</v>
      </c>
      <c r="I609" s="2" t="s">
        <v>17</v>
      </c>
      <c r="J609" s="2">
        <v>3.7</v>
      </c>
      <c r="K609" s="2" t="str">
        <f t="shared" si="27"/>
        <v>&lt; 5kg</v>
      </c>
      <c r="L609" s="2">
        <f>tdata[[#This Row],[Received_date]]-tdata[[#This Row],[Shipment_Date]]</f>
        <v>0</v>
      </c>
      <c r="M609" s="2">
        <f>VLOOKUP(tdata[[#This Row],[Service_Type]],Table2[#All],2,0)</f>
        <v>3</v>
      </c>
      <c r="N609" s="2" t="str">
        <f>IF(tdata[[#This Row],[Delivery_Days]]&lt;=tdata[[#This Row],[SLA_Days]],"On Time","Late")</f>
        <v>On Time</v>
      </c>
      <c r="O609" s="2">
        <f>VLOOKUP(tdata[[#This Row],[Service_Type]],Table2[#All],4,0)</f>
        <v>10000</v>
      </c>
      <c r="P609" s="2">
        <f>tdata[[#This Row],[price_per_kilo]]*tdata[[#This Row],[Weight_KG]]</f>
        <v>37000</v>
      </c>
      <c r="Q609" s="2" t="str">
        <f>VLOOKUP(tdata[[#This Row],[id_employee]],temployee[#All],2,0)</f>
        <v>Fajar Hidayat</v>
      </c>
      <c r="R609" s="2" t="str">
        <f>VLOOKUP(tdata[[#This Row],[id_employee]],temployee[#All],4,0)</f>
        <v>internal</v>
      </c>
      <c r="S609" s="9" t="str">
        <f>VLOOKUP(tdata[[#This Row],[id_employee]],temployee[#All],5,0)</f>
        <v>driver</v>
      </c>
    </row>
    <row r="610" spans="2:19" x14ac:dyDescent="0.35">
      <c r="B610" s="8" t="s">
        <v>629</v>
      </c>
      <c r="C610" s="2" t="s">
        <v>1279</v>
      </c>
      <c r="D610" s="5">
        <v>45002</v>
      </c>
      <c r="E610" s="5">
        <v>45002</v>
      </c>
      <c r="F610" s="2" t="s">
        <v>32</v>
      </c>
      <c r="G610" s="2" t="s">
        <v>12</v>
      </c>
      <c r="H610" s="2" t="s">
        <v>1224</v>
      </c>
      <c r="I610" s="2" t="s">
        <v>17</v>
      </c>
      <c r="J610" s="2">
        <v>3.63</v>
      </c>
      <c r="K610" s="2" t="str">
        <f t="shared" si="27"/>
        <v>&lt; 5kg</v>
      </c>
      <c r="L610" s="2">
        <f>tdata[[#This Row],[Received_date]]-tdata[[#This Row],[Shipment_Date]]</f>
        <v>0</v>
      </c>
      <c r="M610" s="2">
        <f>VLOOKUP(tdata[[#This Row],[Service_Type]],Table2[#All],2,0)</f>
        <v>3</v>
      </c>
      <c r="N610" s="2" t="str">
        <f>IF(tdata[[#This Row],[Delivery_Days]]&lt;=tdata[[#This Row],[SLA_Days]],"On Time","Late")</f>
        <v>On Time</v>
      </c>
      <c r="O610" s="2">
        <f>VLOOKUP(tdata[[#This Row],[Service_Type]],Table2[#All],4,0)</f>
        <v>10000</v>
      </c>
      <c r="P610" s="2">
        <f>tdata[[#This Row],[price_per_kilo]]*tdata[[#This Row],[Weight_KG]]</f>
        <v>36300</v>
      </c>
      <c r="Q610" s="2" t="str">
        <f>VLOOKUP(tdata[[#This Row],[id_employee]],temployee[#All],2,0)</f>
        <v>Gita Rahmawati</v>
      </c>
      <c r="R610" s="2" t="str">
        <f>VLOOKUP(tdata[[#This Row],[id_employee]],temployee[#All],4,0)</f>
        <v>crowd source</v>
      </c>
      <c r="S610" s="9" t="str">
        <f>VLOOKUP(tdata[[#This Row],[id_employee]],temployee[#All],5,0)</f>
        <v>rider</v>
      </c>
    </row>
    <row r="611" spans="2:19" x14ac:dyDescent="0.35">
      <c r="B611" s="8" t="s">
        <v>630</v>
      </c>
      <c r="C611" s="2" t="s">
        <v>1280</v>
      </c>
      <c r="D611" s="5">
        <v>44932</v>
      </c>
      <c r="E611" s="5">
        <v>44938</v>
      </c>
      <c r="F611" s="2" t="s">
        <v>16</v>
      </c>
      <c r="G611" s="2" t="s">
        <v>12</v>
      </c>
      <c r="H611" s="2" t="s">
        <v>1223</v>
      </c>
      <c r="I611" s="2" t="s">
        <v>13</v>
      </c>
      <c r="J611" s="2">
        <v>4.5199999999999996</v>
      </c>
      <c r="K611" s="2" t="str">
        <f t="shared" si="27"/>
        <v>&lt; 5kg</v>
      </c>
      <c r="L611" s="2">
        <f>tdata[[#This Row],[Received_date]]-tdata[[#This Row],[Shipment_Date]]</f>
        <v>6</v>
      </c>
      <c r="M611" s="2">
        <f>VLOOKUP(tdata[[#This Row],[Service_Type]],Table2[#All],2,0)</f>
        <v>1</v>
      </c>
      <c r="N611" s="2" t="str">
        <f>IF(tdata[[#This Row],[Delivery_Days]]&lt;=tdata[[#This Row],[SLA_Days]],"On Time","Late")</f>
        <v>Late</v>
      </c>
      <c r="O611" s="2">
        <f>VLOOKUP(tdata[[#This Row],[Service_Type]],Table2[#All],4,0)</f>
        <v>12000</v>
      </c>
      <c r="P611" s="2">
        <f>tdata[[#This Row],[price_per_kilo]]*tdata[[#This Row],[Weight_KG]]</f>
        <v>54239.999999999993</v>
      </c>
      <c r="Q611" s="2" t="str">
        <f>VLOOKUP(tdata[[#This Row],[id_employee]],temployee[#All],2,0)</f>
        <v>Hendra Wijaya</v>
      </c>
      <c r="R611" s="2" t="str">
        <f>VLOOKUP(tdata[[#This Row],[id_employee]],temployee[#All],4,0)</f>
        <v>internal</v>
      </c>
      <c r="S611" s="9" t="str">
        <f>VLOOKUP(tdata[[#This Row],[id_employee]],temployee[#All],5,0)</f>
        <v>driver</v>
      </c>
    </row>
    <row r="612" spans="2:19" x14ac:dyDescent="0.35">
      <c r="B612" s="8" t="s">
        <v>631</v>
      </c>
      <c r="C612" s="2" t="s">
        <v>1281</v>
      </c>
      <c r="D612" s="5">
        <v>45032</v>
      </c>
      <c r="E612" s="5">
        <v>45032</v>
      </c>
      <c r="F612" s="2" t="s">
        <v>26</v>
      </c>
      <c r="G612" s="2" t="s">
        <v>15</v>
      </c>
      <c r="H612" s="2" t="s">
        <v>23</v>
      </c>
      <c r="I612" s="2" t="s">
        <v>13</v>
      </c>
      <c r="J612" s="2">
        <v>2</v>
      </c>
      <c r="K612" s="2" t="str">
        <f t="shared" si="27"/>
        <v>&lt; 5kg</v>
      </c>
      <c r="L612" s="2">
        <f>tdata[[#This Row],[Received_date]]-tdata[[#This Row],[Shipment_Date]]</f>
        <v>0</v>
      </c>
      <c r="M612" s="2">
        <f>VLOOKUP(tdata[[#This Row],[Service_Type]],Table2[#All],2,0)</f>
        <v>5</v>
      </c>
      <c r="N612" s="2" t="str">
        <f>IF(tdata[[#This Row],[Delivery_Days]]&lt;=tdata[[#This Row],[SLA_Days]],"On Time","Late")</f>
        <v>On Time</v>
      </c>
      <c r="O612" s="2">
        <f>VLOOKUP(tdata[[#This Row],[Service_Type]],Table2[#All],4,0)</f>
        <v>9000</v>
      </c>
      <c r="P612" s="2">
        <f>tdata[[#This Row],[price_per_kilo]]*tdata[[#This Row],[Weight_KG]]</f>
        <v>18000</v>
      </c>
      <c r="Q612" s="2" t="str">
        <f>VLOOKUP(tdata[[#This Row],[id_employee]],temployee[#All],2,0)</f>
        <v>Indah Permata</v>
      </c>
      <c r="R612" s="2" t="str">
        <f>VLOOKUP(tdata[[#This Row],[id_employee]],temployee[#All],4,0)</f>
        <v>crowd source</v>
      </c>
      <c r="S612" s="9" t="str">
        <f>VLOOKUP(tdata[[#This Row],[id_employee]],temployee[#All],5,0)</f>
        <v>rider</v>
      </c>
    </row>
    <row r="613" spans="2:19" x14ac:dyDescent="0.35">
      <c r="B613" s="8" t="s">
        <v>632</v>
      </c>
      <c r="C613" s="2" t="s">
        <v>1282</v>
      </c>
      <c r="D613" s="5">
        <v>45326</v>
      </c>
      <c r="E613" s="5">
        <v>45327</v>
      </c>
      <c r="F613" s="2" t="s">
        <v>49</v>
      </c>
      <c r="G613" s="2" t="s">
        <v>16</v>
      </c>
      <c r="H613" s="2" t="s">
        <v>1224</v>
      </c>
      <c r="I613" s="2" t="s">
        <v>13</v>
      </c>
      <c r="J613" s="2">
        <v>6.72</v>
      </c>
      <c r="K613" s="2" t="str">
        <f t="shared" si="27"/>
        <v>&gt;5kg</v>
      </c>
      <c r="L613" s="2">
        <f>tdata[[#This Row],[Received_date]]-tdata[[#This Row],[Shipment_Date]]</f>
        <v>1</v>
      </c>
      <c r="M613" s="2">
        <f>VLOOKUP(tdata[[#This Row],[Service_Type]],Table2[#All],2,0)</f>
        <v>3</v>
      </c>
      <c r="N613" s="2" t="str">
        <f>IF(tdata[[#This Row],[Delivery_Days]]&lt;=tdata[[#This Row],[SLA_Days]],"On Time","Late")</f>
        <v>On Time</v>
      </c>
      <c r="O613" s="2">
        <f>VLOOKUP(tdata[[#This Row],[Service_Type]],Table2[#All],4,0)</f>
        <v>10000</v>
      </c>
      <c r="P613" s="2">
        <f>tdata[[#This Row],[price_per_kilo]]*tdata[[#This Row],[Weight_KG]]</f>
        <v>67200</v>
      </c>
      <c r="Q613" s="2" t="str">
        <f>VLOOKUP(tdata[[#This Row],[id_employee]],temployee[#All],2,0)</f>
        <v>Joko Susilo</v>
      </c>
      <c r="R613" s="2" t="str">
        <f>VLOOKUP(tdata[[#This Row],[id_employee]],temployee[#All],4,0)</f>
        <v>internal</v>
      </c>
      <c r="S613" s="9" t="str">
        <f>VLOOKUP(tdata[[#This Row],[id_employee]],temployee[#All],5,0)</f>
        <v>driver</v>
      </c>
    </row>
    <row r="614" spans="2:19" x14ac:dyDescent="0.35">
      <c r="B614" s="8" t="s">
        <v>633</v>
      </c>
      <c r="C614" s="2" t="s">
        <v>1283</v>
      </c>
      <c r="D614" s="5">
        <v>45456</v>
      </c>
      <c r="E614" s="5">
        <v>45461</v>
      </c>
      <c r="F614" s="2" t="s">
        <v>11</v>
      </c>
      <c r="G614" s="2" t="s">
        <v>15</v>
      </c>
      <c r="H614" s="2" t="s">
        <v>23</v>
      </c>
      <c r="I614" s="2" t="s">
        <v>13</v>
      </c>
      <c r="J614" s="2">
        <v>2.48</v>
      </c>
      <c r="K614" s="2" t="str">
        <f t="shared" si="27"/>
        <v>&lt; 5kg</v>
      </c>
      <c r="L614" s="2">
        <f>tdata[[#This Row],[Received_date]]-tdata[[#This Row],[Shipment_Date]]</f>
        <v>5</v>
      </c>
      <c r="M614" s="2">
        <f>VLOOKUP(tdata[[#This Row],[Service_Type]],Table2[#All],2,0)</f>
        <v>5</v>
      </c>
      <c r="N614" s="2" t="str">
        <f>IF(tdata[[#This Row],[Delivery_Days]]&lt;=tdata[[#This Row],[SLA_Days]],"On Time","Late")</f>
        <v>On Time</v>
      </c>
      <c r="O614" s="2">
        <f>VLOOKUP(tdata[[#This Row],[Service_Type]],Table2[#All],4,0)</f>
        <v>9000</v>
      </c>
      <c r="P614" s="2">
        <f>tdata[[#This Row],[price_per_kilo]]*tdata[[#This Row],[Weight_KG]]</f>
        <v>22320</v>
      </c>
      <c r="Q614" s="2" t="str">
        <f>VLOOKUP(tdata[[#This Row],[id_employee]],temployee[#All],2,0)</f>
        <v>Kurniawan Putra</v>
      </c>
      <c r="R614" s="2" t="str">
        <f>VLOOKUP(tdata[[#This Row],[id_employee]],temployee[#All],4,0)</f>
        <v>crowd source</v>
      </c>
      <c r="S614" s="9" t="str">
        <f>VLOOKUP(tdata[[#This Row],[id_employee]],temployee[#All],5,0)</f>
        <v>driver</v>
      </c>
    </row>
    <row r="615" spans="2:19" x14ac:dyDescent="0.35">
      <c r="B615" s="8" t="s">
        <v>634</v>
      </c>
      <c r="C615" s="2" t="s">
        <v>1284</v>
      </c>
      <c r="D615" s="5">
        <v>45026</v>
      </c>
      <c r="E615" s="5">
        <v>45026</v>
      </c>
      <c r="F615" s="2" t="s">
        <v>15</v>
      </c>
      <c r="G615" s="2" t="s">
        <v>32</v>
      </c>
      <c r="H615" s="2" t="s">
        <v>23</v>
      </c>
      <c r="I615" s="2" t="s">
        <v>13</v>
      </c>
      <c r="J615" s="2">
        <v>0.95</v>
      </c>
      <c r="K615" s="2" t="str">
        <f t="shared" si="27"/>
        <v>&lt; 5kg</v>
      </c>
      <c r="L615" s="2">
        <f>tdata[[#This Row],[Received_date]]-tdata[[#This Row],[Shipment_Date]]</f>
        <v>0</v>
      </c>
      <c r="M615" s="2">
        <f>VLOOKUP(tdata[[#This Row],[Service_Type]],Table2[#All],2,0)</f>
        <v>5</v>
      </c>
      <c r="N615" s="2" t="str">
        <f>IF(tdata[[#This Row],[Delivery_Days]]&lt;=tdata[[#This Row],[SLA_Days]],"On Time","Late")</f>
        <v>On Time</v>
      </c>
      <c r="O615" s="2">
        <f>VLOOKUP(tdata[[#This Row],[Service_Type]],Table2[#All],4,0)</f>
        <v>9000</v>
      </c>
      <c r="P615" s="2">
        <f>tdata[[#This Row],[price_per_kilo]]*tdata[[#This Row],[Weight_KG]]</f>
        <v>8550</v>
      </c>
      <c r="Q615" s="2" t="str">
        <f>VLOOKUP(tdata[[#This Row],[id_employee]],temployee[#All],2,0)</f>
        <v>Lina Marlina</v>
      </c>
      <c r="R615" s="2" t="str">
        <f>VLOOKUP(tdata[[#This Row],[id_employee]],temployee[#All],4,0)</f>
        <v>internal</v>
      </c>
      <c r="S615" s="9" t="str">
        <f>VLOOKUP(tdata[[#This Row],[id_employee]],temployee[#All],5,0)</f>
        <v>rider</v>
      </c>
    </row>
    <row r="616" spans="2:19" x14ac:dyDescent="0.35">
      <c r="B616" s="8" t="s">
        <v>635</v>
      </c>
      <c r="C616" s="2" t="s">
        <v>1285</v>
      </c>
      <c r="D616" s="5">
        <v>45135</v>
      </c>
      <c r="E616" s="5">
        <f>D616+4</f>
        <v>45139</v>
      </c>
      <c r="F616" s="2" t="s">
        <v>20</v>
      </c>
      <c r="G616" s="2" t="s">
        <v>32</v>
      </c>
      <c r="H616" s="2" t="s">
        <v>1224</v>
      </c>
      <c r="I616" s="2" t="s">
        <v>17</v>
      </c>
      <c r="J616" s="2">
        <v>6.38</v>
      </c>
      <c r="K616" s="2" t="str">
        <f t="shared" si="27"/>
        <v>&gt;5kg</v>
      </c>
      <c r="L616" s="2">
        <f>tdata[[#This Row],[Received_date]]-tdata[[#This Row],[Shipment_Date]]</f>
        <v>4</v>
      </c>
      <c r="M616" s="2">
        <f>VLOOKUP(tdata[[#This Row],[Service_Type]],Table2[#All],2,0)</f>
        <v>3</v>
      </c>
      <c r="N616" s="2" t="str">
        <f>IF(tdata[[#This Row],[Delivery_Days]]&lt;=tdata[[#This Row],[SLA_Days]],"On Time","Late")</f>
        <v>Late</v>
      </c>
      <c r="O616" s="2">
        <f>VLOOKUP(tdata[[#This Row],[Service_Type]],Table2[#All],4,0)</f>
        <v>10000</v>
      </c>
      <c r="P616" s="2">
        <f>tdata[[#This Row],[price_per_kilo]]*tdata[[#This Row],[Weight_KG]]</f>
        <v>63800</v>
      </c>
      <c r="Q616" s="2" t="str">
        <f>VLOOKUP(tdata[[#This Row],[id_employee]],temployee[#All],2,0)</f>
        <v>Rizky Ananda</v>
      </c>
      <c r="R616" s="2" t="str">
        <f>VLOOKUP(tdata[[#This Row],[id_employee]],temployee[#All],4,0)</f>
        <v>crowd source</v>
      </c>
      <c r="S616" s="9" t="str">
        <f>VLOOKUP(tdata[[#This Row],[id_employee]],temployee[#All],5,0)</f>
        <v>rider</v>
      </c>
    </row>
    <row r="617" spans="2:19" x14ac:dyDescent="0.35">
      <c r="B617" s="8" t="s">
        <v>636</v>
      </c>
      <c r="C617" s="2" t="s">
        <v>1286</v>
      </c>
      <c r="D617" s="5">
        <v>45001</v>
      </c>
      <c r="E617" s="5">
        <v>45002</v>
      </c>
      <c r="F617" s="2" t="s">
        <v>22</v>
      </c>
      <c r="G617" s="2" t="s">
        <v>16</v>
      </c>
      <c r="H617" s="2" t="s">
        <v>23</v>
      </c>
      <c r="I617" s="2" t="s">
        <v>17</v>
      </c>
      <c r="J617" s="2">
        <v>9.5</v>
      </c>
      <c r="K617" s="2" t="str">
        <f t="shared" si="27"/>
        <v>&gt;5kg</v>
      </c>
      <c r="L617" s="2">
        <f>tdata[[#This Row],[Received_date]]-tdata[[#This Row],[Shipment_Date]]</f>
        <v>1</v>
      </c>
      <c r="M617" s="2">
        <f>VLOOKUP(tdata[[#This Row],[Service_Type]],Table2[#All],2,0)</f>
        <v>5</v>
      </c>
      <c r="N617" s="2" t="str">
        <f>IF(tdata[[#This Row],[Delivery_Days]]&lt;=tdata[[#This Row],[SLA_Days]],"On Time","Late")</f>
        <v>On Time</v>
      </c>
      <c r="O617" s="2">
        <f>VLOOKUP(tdata[[#This Row],[Service_Type]],Table2[#All],4,0)</f>
        <v>9000</v>
      </c>
      <c r="P617" s="2">
        <f>tdata[[#This Row],[price_per_kilo]]*tdata[[#This Row],[Weight_KG]]</f>
        <v>85500</v>
      </c>
      <c r="Q617" s="2" t="str">
        <f>VLOOKUP(tdata[[#This Row],[id_employee]],temployee[#All],2,0)</f>
        <v>Nanda Prakoso</v>
      </c>
      <c r="R617" s="2" t="str">
        <f>VLOOKUP(tdata[[#This Row],[id_employee]],temployee[#All],4,0)</f>
        <v>internal</v>
      </c>
      <c r="S617" s="9" t="str">
        <f>VLOOKUP(tdata[[#This Row],[id_employee]],temployee[#All],5,0)</f>
        <v>driver</v>
      </c>
    </row>
    <row r="618" spans="2:19" x14ac:dyDescent="0.35">
      <c r="B618" s="8" t="s">
        <v>637</v>
      </c>
      <c r="C618" s="2" t="s">
        <v>1287</v>
      </c>
      <c r="D618" s="5">
        <v>45147</v>
      </c>
      <c r="E618" s="5">
        <v>45155</v>
      </c>
      <c r="F618" s="2" t="s">
        <v>12</v>
      </c>
      <c r="G618" s="2" t="s">
        <v>30</v>
      </c>
      <c r="H618" s="2" t="s">
        <v>1224</v>
      </c>
      <c r="I618" s="2" t="s">
        <v>13</v>
      </c>
      <c r="J618" s="2">
        <v>2.21</v>
      </c>
      <c r="K618" s="2" t="str">
        <f t="shared" si="27"/>
        <v>&lt; 5kg</v>
      </c>
      <c r="L618" s="2">
        <f>tdata[[#This Row],[Received_date]]-tdata[[#This Row],[Shipment_Date]]</f>
        <v>8</v>
      </c>
      <c r="M618" s="2">
        <f>VLOOKUP(tdata[[#This Row],[Service_Type]],Table2[#All],2,0)</f>
        <v>3</v>
      </c>
      <c r="N618" s="2" t="str">
        <f>IF(tdata[[#This Row],[Delivery_Days]]&lt;=tdata[[#This Row],[SLA_Days]],"On Time","Late")</f>
        <v>Late</v>
      </c>
      <c r="O618" s="2">
        <f>VLOOKUP(tdata[[#This Row],[Service_Type]],Table2[#All],4,0)</f>
        <v>10000</v>
      </c>
      <c r="P618" s="2">
        <f>tdata[[#This Row],[price_per_kilo]]*tdata[[#This Row],[Weight_KG]]</f>
        <v>22100</v>
      </c>
      <c r="Q618" s="2" t="str">
        <f>VLOOKUP(tdata[[#This Row],[id_employee]],temployee[#All],2,0)</f>
        <v>Oktavian Yusuf</v>
      </c>
      <c r="R618" s="2" t="str">
        <f>VLOOKUP(tdata[[#This Row],[id_employee]],temployee[#All],4,0)</f>
        <v>crowd source</v>
      </c>
      <c r="S618" s="9" t="str">
        <f>VLOOKUP(tdata[[#This Row],[id_employee]],temployee[#All],5,0)</f>
        <v>driver</v>
      </c>
    </row>
    <row r="619" spans="2:19" x14ac:dyDescent="0.35">
      <c r="B619" s="8" t="s">
        <v>638</v>
      </c>
      <c r="C619" s="2" t="s">
        <v>1288</v>
      </c>
      <c r="D619" s="5">
        <v>45595</v>
      </c>
      <c r="E619" s="5">
        <v>45606</v>
      </c>
      <c r="F619" s="2" t="s">
        <v>30</v>
      </c>
      <c r="G619" s="2" t="s">
        <v>20</v>
      </c>
      <c r="H619" s="2" t="s">
        <v>1223</v>
      </c>
      <c r="I619" s="2" t="s">
        <v>17</v>
      </c>
      <c r="J619" s="2">
        <v>2</v>
      </c>
      <c r="K619" s="2" t="str">
        <f t="shared" si="27"/>
        <v>&lt; 5kg</v>
      </c>
      <c r="L619" s="2">
        <f>tdata[[#This Row],[Received_date]]-tdata[[#This Row],[Shipment_Date]]</f>
        <v>11</v>
      </c>
      <c r="M619" s="2">
        <f>VLOOKUP(tdata[[#This Row],[Service_Type]],Table2[#All],2,0)</f>
        <v>1</v>
      </c>
      <c r="N619" s="2" t="str">
        <f>IF(tdata[[#This Row],[Delivery_Days]]&lt;=tdata[[#This Row],[SLA_Days]],"On Time","Late")</f>
        <v>Late</v>
      </c>
      <c r="O619" s="2">
        <f>VLOOKUP(tdata[[#This Row],[Service_Type]],Table2[#All],4,0)</f>
        <v>12000</v>
      </c>
      <c r="P619" s="2">
        <f>tdata[[#This Row],[price_per_kilo]]*tdata[[#This Row],[Weight_KG]]</f>
        <v>24000</v>
      </c>
      <c r="Q619" s="2" t="str">
        <f>VLOOKUP(tdata[[#This Row],[id_employee]],temployee[#All],2,0)</f>
        <v>Putri Ayu Lestari</v>
      </c>
      <c r="R619" s="2" t="str">
        <f>VLOOKUP(tdata[[#This Row],[id_employee]],temployee[#All],4,0)</f>
        <v>internal</v>
      </c>
      <c r="S619" s="9" t="str">
        <f>VLOOKUP(tdata[[#This Row],[id_employee]],temployee[#All],5,0)</f>
        <v>rider</v>
      </c>
    </row>
    <row r="620" spans="2:19" x14ac:dyDescent="0.35">
      <c r="B620" s="8" t="s">
        <v>639</v>
      </c>
      <c r="C620" s="2" t="s">
        <v>1289</v>
      </c>
      <c r="D620" s="5">
        <v>45123</v>
      </c>
      <c r="E620" s="5">
        <v>45126</v>
      </c>
      <c r="F620" s="2" t="s">
        <v>32</v>
      </c>
      <c r="G620" s="2" t="s">
        <v>20</v>
      </c>
      <c r="H620" s="2" t="s">
        <v>23</v>
      </c>
      <c r="I620" s="2" t="s">
        <v>17</v>
      </c>
      <c r="J620" s="2">
        <v>4.99</v>
      </c>
      <c r="K620" s="2" t="str">
        <f t="shared" si="27"/>
        <v>&lt; 5kg</v>
      </c>
      <c r="L620" s="2">
        <f>tdata[[#This Row],[Received_date]]-tdata[[#This Row],[Shipment_Date]]</f>
        <v>3</v>
      </c>
      <c r="M620" s="2">
        <f>VLOOKUP(tdata[[#This Row],[Service_Type]],Table2[#All],2,0)</f>
        <v>5</v>
      </c>
      <c r="N620" s="2" t="str">
        <f>IF(tdata[[#This Row],[Delivery_Days]]&lt;=tdata[[#This Row],[SLA_Days]],"On Time","Late")</f>
        <v>On Time</v>
      </c>
      <c r="O620" s="2">
        <f>VLOOKUP(tdata[[#This Row],[Service_Type]],Table2[#All],4,0)</f>
        <v>9000</v>
      </c>
      <c r="P620" s="2">
        <f>tdata[[#This Row],[price_per_kilo]]*tdata[[#This Row],[Weight_KG]]</f>
        <v>44910</v>
      </c>
      <c r="Q620" s="2" t="str">
        <f>VLOOKUP(tdata[[#This Row],[id_employee]],temployee[#All],2,0)</f>
        <v>Rafi Maulana</v>
      </c>
      <c r="R620" s="2" t="str">
        <f>VLOOKUP(tdata[[#This Row],[id_employee]],temployee[#All],4,0)</f>
        <v>internal</v>
      </c>
      <c r="S620" s="9" t="str">
        <f>VLOOKUP(tdata[[#This Row],[id_employee]],temployee[#All],5,0)</f>
        <v>rider</v>
      </c>
    </row>
    <row r="621" spans="2:19" x14ac:dyDescent="0.35">
      <c r="B621" s="8" t="s">
        <v>640</v>
      </c>
      <c r="C621" s="2" t="s">
        <v>1290</v>
      </c>
      <c r="D621" s="5">
        <v>45001</v>
      </c>
      <c r="E621" s="5">
        <v>45007</v>
      </c>
      <c r="F621" s="2" t="s">
        <v>16</v>
      </c>
      <c r="G621" s="2" t="s">
        <v>12</v>
      </c>
      <c r="H621" s="2" t="s">
        <v>1224</v>
      </c>
      <c r="I621" s="2" t="s">
        <v>13</v>
      </c>
      <c r="J621" s="2">
        <v>5.2</v>
      </c>
      <c r="K621" s="2" t="str">
        <f t="shared" si="27"/>
        <v>&gt;5kg</v>
      </c>
      <c r="L621" s="2">
        <f>tdata[[#This Row],[Received_date]]-tdata[[#This Row],[Shipment_Date]]</f>
        <v>6</v>
      </c>
      <c r="M621" s="2">
        <f>VLOOKUP(tdata[[#This Row],[Service_Type]],Table2[#All],2,0)</f>
        <v>3</v>
      </c>
      <c r="N621" s="2" t="str">
        <f>IF(tdata[[#This Row],[Delivery_Days]]&lt;=tdata[[#This Row],[SLA_Days]],"On Time","Late")</f>
        <v>Late</v>
      </c>
      <c r="O621" s="2">
        <f>VLOOKUP(tdata[[#This Row],[Service_Type]],Table2[#All],4,0)</f>
        <v>10000</v>
      </c>
      <c r="P621" s="2">
        <f>tdata[[#This Row],[price_per_kilo]]*tdata[[#This Row],[Weight_KG]]</f>
        <v>52000</v>
      </c>
      <c r="Q621" s="2" t="str">
        <f>VLOOKUP(tdata[[#This Row],[id_employee]],temployee[#All],2,0)</f>
        <v>Sari Puspita</v>
      </c>
      <c r="R621" s="2" t="str">
        <f>VLOOKUP(tdata[[#This Row],[id_employee]],temployee[#All],4,0)</f>
        <v>crowd source</v>
      </c>
      <c r="S621" s="9" t="str">
        <f>VLOOKUP(tdata[[#This Row],[id_employee]],temployee[#All],5,0)</f>
        <v>rider</v>
      </c>
    </row>
    <row r="622" spans="2:19" x14ac:dyDescent="0.35">
      <c r="B622" s="8" t="s">
        <v>641</v>
      </c>
      <c r="C622" s="2" t="s">
        <v>1291</v>
      </c>
      <c r="D622" s="5">
        <v>44953</v>
      </c>
      <c r="E622" s="5">
        <v>44963</v>
      </c>
      <c r="F622" s="2" t="s">
        <v>26</v>
      </c>
      <c r="G622" s="2" t="s">
        <v>26</v>
      </c>
      <c r="H622" s="2" t="s">
        <v>1224</v>
      </c>
      <c r="I622" s="2" t="s">
        <v>13</v>
      </c>
      <c r="J622" s="2">
        <v>2.36</v>
      </c>
      <c r="K622" s="2" t="str">
        <f t="shared" si="27"/>
        <v>&lt; 5kg</v>
      </c>
      <c r="L622" s="2">
        <f>tdata[[#This Row],[Received_date]]-tdata[[#This Row],[Shipment_Date]]</f>
        <v>10</v>
      </c>
      <c r="M622" s="2">
        <f>VLOOKUP(tdata[[#This Row],[Service_Type]],Table2[#All],2,0)</f>
        <v>3</v>
      </c>
      <c r="N622" s="2" t="str">
        <f>IF(tdata[[#This Row],[Delivery_Days]]&lt;=tdata[[#This Row],[SLA_Days]],"On Time","Late")</f>
        <v>Late</v>
      </c>
      <c r="O622" s="2">
        <f>VLOOKUP(tdata[[#This Row],[Service_Type]],Table2[#All],4,0)</f>
        <v>10000</v>
      </c>
      <c r="P622" s="2">
        <f>tdata[[#This Row],[price_per_kilo]]*tdata[[#This Row],[Weight_KG]]</f>
        <v>23600</v>
      </c>
      <c r="Q622" s="2" t="str">
        <f>VLOOKUP(tdata[[#This Row],[id_employee]],temployee[#All],2,0)</f>
        <v>Teguh Wibowo</v>
      </c>
      <c r="R622" s="2" t="str">
        <f>VLOOKUP(tdata[[#This Row],[id_employee]],temployee[#All],4,0)</f>
        <v>internal</v>
      </c>
      <c r="S622" s="9" t="str">
        <f>VLOOKUP(tdata[[#This Row],[id_employee]],temployee[#All],5,0)</f>
        <v>driver</v>
      </c>
    </row>
    <row r="623" spans="2:19" x14ac:dyDescent="0.35">
      <c r="B623" s="8" t="s">
        <v>642</v>
      </c>
      <c r="C623" s="2" t="s">
        <v>1292</v>
      </c>
      <c r="D623" s="5">
        <v>45298</v>
      </c>
      <c r="E623" s="5">
        <v>45306</v>
      </c>
      <c r="F623" s="2" t="s">
        <v>49</v>
      </c>
      <c r="G623" s="2" t="s">
        <v>49</v>
      </c>
      <c r="H623" s="2" t="s">
        <v>1223</v>
      </c>
      <c r="I623" s="2" t="s">
        <v>13</v>
      </c>
      <c r="J623" s="2">
        <v>9.24</v>
      </c>
      <c r="K623" s="2" t="str">
        <f t="shared" si="27"/>
        <v>&gt;5kg</v>
      </c>
      <c r="L623" s="2">
        <f>tdata[[#This Row],[Received_date]]-tdata[[#This Row],[Shipment_Date]]</f>
        <v>8</v>
      </c>
      <c r="M623" s="2">
        <f>VLOOKUP(tdata[[#This Row],[Service_Type]],Table2[#All],2,0)</f>
        <v>1</v>
      </c>
      <c r="N623" s="2" t="str">
        <f>IF(tdata[[#This Row],[Delivery_Days]]&lt;=tdata[[#This Row],[SLA_Days]],"On Time","Late")</f>
        <v>Late</v>
      </c>
      <c r="O623" s="2">
        <f>VLOOKUP(tdata[[#This Row],[Service_Type]],Table2[#All],4,0)</f>
        <v>12000</v>
      </c>
      <c r="P623" s="2">
        <f>tdata[[#This Row],[price_per_kilo]]*tdata[[#This Row],[Weight_KG]]</f>
        <v>110880</v>
      </c>
      <c r="Q623" s="2" t="str">
        <f>VLOOKUP(tdata[[#This Row],[id_employee]],temployee[#All],2,0)</f>
        <v>Umi Kalsum</v>
      </c>
      <c r="R623" s="2" t="str">
        <f>VLOOKUP(tdata[[#This Row],[id_employee]],temployee[#All],4,0)</f>
        <v>crowd source</v>
      </c>
      <c r="S623" s="9" t="str">
        <f>VLOOKUP(tdata[[#This Row],[id_employee]],temployee[#All],5,0)</f>
        <v>rider</v>
      </c>
    </row>
    <row r="624" spans="2:19" x14ac:dyDescent="0.35">
      <c r="B624" s="8" t="s">
        <v>643</v>
      </c>
      <c r="C624" s="2" t="s">
        <v>1293</v>
      </c>
      <c r="D624" s="5">
        <v>45236</v>
      </c>
      <c r="E624" s="5">
        <v>45236</v>
      </c>
      <c r="F624" s="2" t="s">
        <v>11</v>
      </c>
      <c r="G624" s="2" t="s">
        <v>11</v>
      </c>
      <c r="H624" s="2" t="s">
        <v>1223</v>
      </c>
      <c r="I624" s="2" t="s">
        <v>17</v>
      </c>
      <c r="J624" s="2">
        <v>1.41</v>
      </c>
      <c r="K624" s="2" t="str">
        <f t="shared" si="27"/>
        <v>&lt; 5kg</v>
      </c>
      <c r="L624" s="2">
        <f>tdata[[#This Row],[Received_date]]-tdata[[#This Row],[Shipment_Date]]</f>
        <v>0</v>
      </c>
      <c r="M624" s="2">
        <f>VLOOKUP(tdata[[#This Row],[Service_Type]],Table2[#All],2,0)</f>
        <v>1</v>
      </c>
      <c r="N624" s="2" t="str">
        <f>IF(tdata[[#This Row],[Delivery_Days]]&lt;=tdata[[#This Row],[SLA_Days]],"On Time","Late")</f>
        <v>On Time</v>
      </c>
      <c r="O624" s="2">
        <f>VLOOKUP(tdata[[#This Row],[Service_Type]],Table2[#All],4,0)</f>
        <v>12000</v>
      </c>
      <c r="P624" s="2">
        <f>tdata[[#This Row],[price_per_kilo]]*tdata[[#This Row],[Weight_KG]]</f>
        <v>16920</v>
      </c>
      <c r="Q624" s="2" t="str">
        <f>VLOOKUP(tdata[[#This Row],[id_employee]],temployee[#All],2,0)</f>
        <v>Vina Oktaviani</v>
      </c>
      <c r="R624" s="2" t="str">
        <f>VLOOKUP(tdata[[#This Row],[id_employee]],temployee[#All],4,0)</f>
        <v>internal</v>
      </c>
      <c r="S624" s="9" t="str">
        <f>VLOOKUP(tdata[[#This Row],[id_employee]],temployee[#All],5,0)</f>
        <v>rider</v>
      </c>
    </row>
    <row r="625" spans="2:19" x14ac:dyDescent="0.35">
      <c r="B625" s="8" t="s">
        <v>644</v>
      </c>
      <c r="C625" s="2" t="s">
        <v>1294</v>
      </c>
      <c r="D625" s="5">
        <v>45405</v>
      </c>
      <c r="E625" s="5">
        <v>45405</v>
      </c>
      <c r="F625" s="2" t="s">
        <v>15</v>
      </c>
      <c r="G625" s="2" t="s">
        <v>11</v>
      </c>
      <c r="H625" s="2" t="s">
        <v>1223</v>
      </c>
      <c r="I625" s="2" t="s">
        <v>13</v>
      </c>
      <c r="J625" s="2">
        <v>3.23</v>
      </c>
      <c r="K625" s="2" t="str">
        <f t="shared" si="27"/>
        <v>&lt; 5kg</v>
      </c>
      <c r="L625" s="2">
        <f>tdata[[#This Row],[Received_date]]-tdata[[#This Row],[Shipment_Date]]</f>
        <v>0</v>
      </c>
      <c r="M625" s="2">
        <f>VLOOKUP(tdata[[#This Row],[Service_Type]],Table2[#All],2,0)</f>
        <v>1</v>
      </c>
      <c r="N625" s="2" t="str">
        <f>IF(tdata[[#This Row],[Delivery_Days]]&lt;=tdata[[#This Row],[SLA_Days]],"On Time","Late")</f>
        <v>On Time</v>
      </c>
      <c r="O625" s="2">
        <f>VLOOKUP(tdata[[#This Row],[Service_Type]],Table2[#All],4,0)</f>
        <v>12000</v>
      </c>
      <c r="P625" s="2">
        <f>tdata[[#This Row],[price_per_kilo]]*tdata[[#This Row],[Weight_KG]]</f>
        <v>38760</v>
      </c>
      <c r="Q625" s="2" t="str">
        <f>VLOOKUP(tdata[[#This Row],[id_employee]],temployee[#All],2,0)</f>
        <v>Wahyu Setiawan</v>
      </c>
      <c r="R625" s="2" t="str">
        <f>VLOOKUP(tdata[[#This Row],[id_employee]],temployee[#All],4,0)</f>
        <v>crowd source</v>
      </c>
      <c r="S625" s="9" t="str">
        <f>VLOOKUP(tdata[[#This Row],[id_employee]],temployee[#All],5,0)</f>
        <v>driver</v>
      </c>
    </row>
    <row r="626" spans="2:19" x14ac:dyDescent="0.35">
      <c r="B626" s="8" t="s">
        <v>645</v>
      </c>
      <c r="C626" s="2" t="s">
        <v>1295</v>
      </c>
      <c r="D626" s="5">
        <v>45362</v>
      </c>
      <c r="E626" s="5">
        <v>45363</v>
      </c>
      <c r="F626" s="2" t="s">
        <v>20</v>
      </c>
      <c r="G626" s="2" t="s">
        <v>12</v>
      </c>
      <c r="H626" s="2" t="s">
        <v>1223</v>
      </c>
      <c r="I626" s="2" t="s">
        <v>17</v>
      </c>
      <c r="J626" s="2">
        <v>5.42</v>
      </c>
      <c r="K626" s="2" t="str">
        <f t="shared" si="27"/>
        <v>&gt;5kg</v>
      </c>
      <c r="L626" s="2">
        <f>tdata[[#This Row],[Received_date]]-tdata[[#This Row],[Shipment_Date]]</f>
        <v>1</v>
      </c>
      <c r="M626" s="2">
        <f>VLOOKUP(tdata[[#This Row],[Service_Type]],Table2[#All],2,0)</f>
        <v>1</v>
      </c>
      <c r="N626" s="2" t="str">
        <f>IF(tdata[[#This Row],[Delivery_Days]]&lt;=tdata[[#This Row],[SLA_Days]],"On Time","Late")</f>
        <v>On Time</v>
      </c>
      <c r="O626" s="2">
        <f>VLOOKUP(tdata[[#This Row],[Service_Type]],Table2[#All],4,0)</f>
        <v>12000</v>
      </c>
      <c r="P626" s="2">
        <f>tdata[[#This Row],[price_per_kilo]]*tdata[[#This Row],[Weight_KG]]</f>
        <v>65040</v>
      </c>
      <c r="Q626" s="2" t="str">
        <f>VLOOKUP(tdata[[#This Row],[id_employee]],temployee[#All],2,0)</f>
        <v>Yogi Firmansyah</v>
      </c>
      <c r="R626" s="2" t="str">
        <f>VLOOKUP(tdata[[#This Row],[id_employee]],temployee[#All],4,0)</f>
        <v>internal</v>
      </c>
      <c r="S626" s="9" t="str">
        <f>VLOOKUP(tdata[[#This Row],[id_employee]],temployee[#All],5,0)</f>
        <v>driver</v>
      </c>
    </row>
    <row r="627" spans="2:19" x14ac:dyDescent="0.35">
      <c r="B627" s="8" t="s">
        <v>646</v>
      </c>
      <c r="C627" s="2" t="s">
        <v>1296</v>
      </c>
      <c r="D627" s="5">
        <v>45453</v>
      </c>
      <c r="E627" s="5">
        <v>45454</v>
      </c>
      <c r="F627" s="2" t="s">
        <v>22</v>
      </c>
      <c r="G627" s="2" t="s">
        <v>16</v>
      </c>
      <c r="H627" s="2" t="s">
        <v>23</v>
      </c>
      <c r="I627" s="2" t="s">
        <v>13</v>
      </c>
      <c r="J627" s="2">
        <v>6.55</v>
      </c>
      <c r="K627" s="2" t="str">
        <f t="shared" si="27"/>
        <v>&gt;5kg</v>
      </c>
      <c r="L627" s="2">
        <f>tdata[[#This Row],[Received_date]]-tdata[[#This Row],[Shipment_Date]]</f>
        <v>1</v>
      </c>
      <c r="M627" s="2">
        <f>VLOOKUP(tdata[[#This Row],[Service_Type]],Table2[#All],2,0)</f>
        <v>5</v>
      </c>
      <c r="N627" s="2" t="str">
        <f>IF(tdata[[#This Row],[Delivery_Days]]&lt;=tdata[[#This Row],[SLA_Days]],"On Time","Late")</f>
        <v>On Time</v>
      </c>
      <c r="O627" s="2">
        <f>VLOOKUP(tdata[[#This Row],[Service_Type]],Table2[#All],4,0)</f>
        <v>9000</v>
      </c>
      <c r="P627" s="2">
        <f>tdata[[#This Row],[price_per_kilo]]*tdata[[#This Row],[Weight_KG]]</f>
        <v>58950</v>
      </c>
      <c r="Q627" s="2" t="str">
        <f>VLOOKUP(tdata[[#This Row],[id_employee]],temployee[#All],2,0)</f>
        <v>Zainal Abidin</v>
      </c>
      <c r="R627" s="2" t="str">
        <f>VLOOKUP(tdata[[#This Row],[id_employee]],temployee[#All],4,0)</f>
        <v>crowd source</v>
      </c>
      <c r="S627" s="9" t="str">
        <f>VLOOKUP(tdata[[#This Row],[id_employee]],temployee[#All],5,0)</f>
        <v>driver</v>
      </c>
    </row>
    <row r="628" spans="2:19" x14ac:dyDescent="0.35">
      <c r="B628" s="8" t="s">
        <v>647</v>
      </c>
      <c r="C628" s="2" t="s">
        <v>1297</v>
      </c>
      <c r="D628" s="5">
        <v>45026</v>
      </c>
      <c r="E628" s="5">
        <f>D628+4</f>
        <v>45030</v>
      </c>
      <c r="F628" s="2" t="s">
        <v>12</v>
      </c>
      <c r="G628" s="2" t="s">
        <v>11</v>
      </c>
      <c r="H628" s="2" t="s">
        <v>1224</v>
      </c>
      <c r="I628" s="2" t="s">
        <v>13</v>
      </c>
      <c r="J628" s="2">
        <v>6</v>
      </c>
      <c r="K628" s="2" t="str">
        <f t="shared" si="27"/>
        <v>&gt;5kg</v>
      </c>
      <c r="L628" s="2">
        <f>tdata[[#This Row],[Received_date]]-tdata[[#This Row],[Shipment_Date]]</f>
        <v>4</v>
      </c>
      <c r="M628" s="2">
        <f>VLOOKUP(tdata[[#This Row],[Service_Type]],Table2[#All],2,0)</f>
        <v>3</v>
      </c>
      <c r="N628" s="2" t="str">
        <f>IF(tdata[[#This Row],[Delivery_Days]]&lt;=tdata[[#This Row],[SLA_Days]],"On Time","Late")</f>
        <v>Late</v>
      </c>
      <c r="O628" s="2">
        <f>VLOOKUP(tdata[[#This Row],[Service_Type]],Table2[#All],4,0)</f>
        <v>10000</v>
      </c>
      <c r="P628" s="2">
        <f>tdata[[#This Row],[price_per_kilo]]*tdata[[#This Row],[Weight_KG]]</f>
        <v>60000</v>
      </c>
      <c r="Q628" s="2" t="str">
        <f>VLOOKUP(tdata[[#This Row],[id_employee]],temployee[#All],2,0)</f>
        <v>Ahmad Fauzi</v>
      </c>
      <c r="R628" s="2" t="str">
        <f>VLOOKUP(tdata[[#This Row],[id_employee]],temployee[#All],4,0)</f>
        <v>internal</v>
      </c>
      <c r="S628" s="9" t="str">
        <f>VLOOKUP(tdata[[#This Row],[id_employee]],temployee[#All],5,0)</f>
        <v>rider</v>
      </c>
    </row>
    <row r="629" spans="2:19" x14ac:dyDescent="0.35">
      <c r="B629" s="8" t="s">
        <v>648</v>
      </c>
      <c r="C629" s="2" t="s">
        <v>1298</v>
      </c>
      <c r="D629" s="5">
        <v>44943</v>
      </c>
      <c r="E629" s="5">
        <v>44954</v>
      </c>
      <c r="F629" s="2" t="s">
        <v>30</v>
      </c>
      <c r="G629" s="2" t="s">
        <v>12</v>
      </c>
      <c r="H629" s="2" t="s">
        <v>23</v>
      </c>
      <c r="I629" s="2" t="s">
        <v>17</v>
      </c>
      <c r="J629" s="2">
        <v>1.3</v>
      </c>
      <c r="K629" s="2" t="str">
        <f t="shared" si="27"/>
        <v>&lt; 5kg</v>
      </c>
      <c r="L629" s="2">
        <f>tdata[[#This Row],[Received_date]]-tdata[[#This Row],[Shipment_Date]]</f>
        <v>11</v>
      </c>
      <c r="M629" s="2">
        <f>VLOOKUP(tdata[[#This Row],[Service_Type]],Table2[#All],2,0)</f>
        <v>5</v>
      </c>
      <c r="N629" s="2" t="str">
        <f>IF(tdata[[#This Row],[Delivery_Days]]&lt;=tdata[[#This Row],[SLA_Days]],"On Time","Late")</f>
        <v>Late</v>
      </c>
      <c r="O629" s="2">
        <f>VLOOKUP(tdata[[#This Row],[Service_Type]],Table2[#All],4,0)</f>
        <v>9000</v>
      </c>
      <c r="P629" s="2">
        <f>tdata[[#This Row],[price_per_kilo]]*tdata[[#This Row],[Weight_KG]]</f>
        <v>11700</v>
      </c>
      <c r="Q629" s="2" t="str">
        <f>VLOOKUP(tdata[[#This Row],[id_employee]],temployee[#All],2,0)</f>
        <v>Bayu Ramadhan</v>
      </c>
      <c r="R629" s="2" t="str">
        <f>VLOOKUP(tdata[[#This Row],[id_employee]],temployee[#All],4,0)</f>
        <v>crowd source</v>
      </c>
      <c r="S629" s="9" t="str">
        <f>VLOOKUP(tdata[[#This Row],[id_employee]],temployee[#All],5,0)</f>
        <v>rider</v>
      </c>
    </row>
    <row r="630" spans="2:19" x14ac:dyDescent="0.35">
      <c r="B630" s="8" t="s">
        <v>649</v>
      </c>
      <c r="C630" s="2" t="s">
        <v>1299</v>
      </c>
      <c r="D630" s="5">
        <v>45127</v>
      </c>
      <c r="E630" s="5">
        <f>D630+4</f>
        <v>45131</v>
      </c>
      <c r="F630" s="2" t="s">
        <v>32</v>
      </c>
      <c r="G630" s="2" t="s">
        <v>12</v>
      </c>
      <c r="H630" s="2" t="s">
        <v>1224</v>
      </c>
      <c r="I630" s="2" t="s">
        <v>17</v>
      </c>
      <c r="J630" s="2">
        <v>8.09</v>
      </c>
      <c r="K630" s="2" t="str">
        <f t="shared" si="27"/>
        <v>&gt;5kg</v>
      </c>
      <c r="L630" s="2">
        <f>tdata[[#This Row],[Received_date]]-tdata[[#This Row],[Shipment_Date]]</f>
        <v>4</v>
      </c>
      <c r="M630" s="2">
        <f>VLOOKUP(tdata[[#This Row],[Service_Type]],Table2[#All],2,0)</f>
        <v>3</v>
      </c>
      <c r="N630" s="2" t="str">
        <f>IF(tdata[[#This Row],[Delivery_Days]]&lt;=tdata[[#This Row],[SLA_Days]],"On Time","Late")</f>
        <v>Late</v>
      </c>
      <c r="O630" s="2">
        <f>VLOOKUP(tdata[[#This Row],[Service_Type]],Table2[#All],4,0)</f>
        <v>10000</v>
      </c>
      <c r="P630" s="2">
        <f>tdata[[#This Row],[price_per_kilo]]*tdata[[#This Row],[Weight_KG]]</f>
        <v>80900</v>
      </c>
      <c r="Q630" s="2" t="str">
        <f>VLOOKUP(tdata[[#This Row],[id_employee]],temployee[#All],2,0)</f>
        <v>Cindy Oktavia</v>
      </c>
      <c r="R630" s="2" t="str">
        <f>VLOOKUP(tdata[[#This Row],[id_employee]],temployee[#All],4,0)</f>
        <v>internal</v>
      </c>
      <c r="S630" s="9" t="str">
        <f>VLOOKUP(tdata[[#This Row],[id_employee]],temployee[#All],5,0)</f>
        <v>rider</v>
      </c>
    </row>
    <row r="631" spans="2:19" x14ac:dyDescent="0.35">
      <c r="B631" s="8" t="s">
        <v>650</v>
      </c>
      <c r="C631" s="2" t="s">
        <v>1300</v>
      </c>
      <c r="D631" s="5">
        <v>44993</v>
      </c>
      <c r="E631" s="5">
        <v>45004</v>
      </c>
      <c r="F631" s="2" t="s">
        <v>16</v>
      </c>
      <c r="G631" s="2" t="s">
        <v>49</v>
      </c>
      <c r="H631" s="2" t="s">
        <v>1223</v>
      </c>
      <c r="I631" s="2" t="s">
        <v>13</v>
      </c>
      <c r="J631" s="2">
        <v>6.88</v>
      </c>
      <c r="K631" s="2" t="str">
        <f t="shared" si="27"/>
        <v>&gt;5kg</v>
      </c>
      <c r="L631" s="2">
        <f>tdata[[#This Row],[Received_date]]-tdata[[#This Row],[Shipment_Date]]</f>
        <v>11</v>
      </c>
      <c r="M631" s="2">
        <f>VLOOKUP(tdata[[#This Row],[Service_Type]],Table2[#All],2,0)</f>
        <v>1</v>
      </c>
      <c r="N631" s="2" t="str">
        <f>IF(tdata[[#This Row],[Delivery_Days]]&lt;=tdata[[#This Row],[SLA_Days]],"On Time","Late")</f>
        <v>Late</v>
      </c>
      <c r="O631" s="2">
        <f>VLOOKUP(tdata[[#This Row],[Service_Type]],Table2[#All],4,0)</f>
        <v>12000</v>
      </c>
      <c r="P631" s="2">
        <f>tdata[[#This Row],[price_per_kilo]]*tdata[[#This Row],[Weight_KG]]</f>
        <v>82560</v>
      </c>
      <c r="Q631" s="2" t="str">
        <f>VLOOKUP(tdata[[#This Row],[id_employee]],temployee[#All],2,0)</f>
        <v>Dian Pramudya</v>
      </c>
      <c r="R631" s="2" t="str">
        <f>VLOOKUP(tdata[[#This Row],[id_employee]],temployee[#All],4,0)</f>
        <v>crowd source</v>
      </c>
      <c r="S631" s="9" t="str">
        <f>VLOOKUP(tdata[[#This Row],[id_employee]],temployee[#All],5,0)</f>
        <v>driver</v>
      </c>
    </row>
    <row r="632" spans="2:19" x14ac:dyDescent="0.35">
      <c r="B632" s="8" t="s">
        <v>651</v>
      </c>
      <c r="C632" s="2" t="s">
        <v>1301</v>
      </c>
      <c r="D632" s="5">
        <v>45485</v>
      </c>
      <c r="E632" s="5">
        <v>45489</v>
      </c>
      <c r="F632" s="2" t="s">
        <v>26</v>
      </c>
      <c r="G632" s="2" t="s">
        <v>49</v>
      </c>
      <c r="H632" s="2" t="s">
        <v>1224</v>
      </c>
      <c r="I632" s="2" t="s">
        <v>17</v>
      </c>
      <c r="J632" s="2">
        <v>6.49</v>
      </c>
      <c r="K632" s="2" t="str">
        <f t="shared" si="27"/>
        <v>&gt;5kg</v>
      </c>
      <c r="L632" s="2">
        <f>tdata[[#This Row],[Received_date]]-tdata[[#This Row],[Shipment_Date]]</f>
        <v>4</v>
      </c>
      <c r="M632" s="2">
        <f>VLOOKUP(tdata[[#This Row],[Service_Type]],Table2[#All],2,0)</f>
        <v>3</v>
      </c>
      <c r="N632" s="2" t="str">
        <f>IF(tdata[[#This Row],[Delivery_Days]]&lt;=tdata[[#This Row],[SLA_Days]],"On Time","Late")</f>
        <v>Late</v>
      </c>
      <c r="O632" s="2">
        <f>VLOOKUP(tdata[[#This Row],[Service_Type]],Table2[#All],4,0)</f>
        <v>10000</v>
      </c>
      <c r="P632" s="2">
        <f>tdata[[#This Row],[price_per_kilo]]*tdata[[#This Row],[Weight_KG]]</f>
        <v>64900</v>
      </c>
      <c r="Q632" s="2" t="str">
        <f>VLOOKUP(tdata[[#This Row],[id_employee]],temployee[#All],2,0)</f>
        <v>Erwin Kurniawan</v>
      </c>
      <c r="R632" s="2" t="str">
        <f>VLOOKUP(tdata[[#This Row],[id_employee]],temployee[#All],4,0)</f>
        <v>internal</v>
      </c>
      <c r="S632" s="9" t="str">
        <f>VLOOKUP(tdata[[#This Row],[id_employee]],temployee[#All],5,0)</f>
        <v>driver</v>
      </c>
    </row>
    <row r="633" spans="2:19" x14ac:dyDescent="0.35">
      <c r="B633" s="8" t="s">
        <v>652</v>
      </c>
      <c r="C633" s="2" t="s">
        <v>1302</v>
      </c>
      <c r="D633" s="5">
        <v>45538</v>
      </c>
      <c r="E633" s="5">
        <v>45538</v>
      </c>
      <c r="F633" s="2" t="s">
        <v>49</v>
      </c>
      <c r="G633" s="2" t="s">
        <v>15</v>
      </c>
      <c r="H633" s="2" t="s">
        <v>23</v>
      </c>
      <c r="I633" s="2" t="s">
        <v>17</v>
      </c>
      <c r="J633" s="2">
        <v>4.21</v>
      </c>
      <c r="K633" s="2" t="str">
        <f t="shared" si="27"/>
        <v>&lt; 5kg</v>
      </c>
      <c r="L633" s="2">
        <f>tdata[[#This Row],[Received_date]]-tdata[[#This Row],[Shipment_Date]]</f>
        <v>0</v>
      </c>
      <c r="M633" s="2">
        <f>VLOOKUP(tdata[[#This Row],[Service_Type]],Table2[#All],2,0)</f>
        <v>5</v>
      </c>
      <c r="N633" s="2" t="str">
        <f>IF(tdata[[#This Row],[Delivery_Days]]&lt;=tdata[[#This Row],[SLA_Days]],"On Time","Late")</f>
        <v>On Time</v>
      </c>
      <c r="O633" s="2">
        <f>VLOOKUP(tdata[[#This Row],[Service_Type]],Table2[#All],4,0)</f>
        <v>9000</v>
      </c>
      <c r="P633" s="2">
        <f>tdata[[#This Row],[price_per_kilo]]*tdata[[#This Row],[Weight_KG]]</f>
        <v>37890</v>
      </c>
      <c r="Q633" s="2" t="str">
        <f>VLOOKUP(tdata[[#This Row],[id_employee]],temployee[#All],2,0)</f>
        <v>Fitri Handayani</v>
      </c>
      <c r="R633" s="2" t="str">
        <f>VLOOKUP(tdata[[#This Row],[id_employee]],temployee[#All],4,0)</f>
        <v>crowd source</v>
      </c>
      <c r="S633" s="9" t="str">
        <f>VLOOKUP(tdata[[#This Row],[id_employee]],temployee[#All],5,0)</f>
        <v>rider</v>
      </c>
    </row>
    <row r="634" spans="2:19" x14ac:dyDescent="0.35">
      <c r="B634" s="8" t="s">
        <v>653</v>
      </c>
      <c r="C634" s="2" t="s">
        <v>1303</v>
      </c>
      <c r="D634" s="5">
        <v>45137</v>
      </c>
      <c r="E634" s="5">
        <f>D634+4</f>
        <v>45141</v>
      </c>
      <c r="F634" s="2" t="s">
        <v>11</v>
      </c>
      <c r="G634" s="2" t="s">
        <v>26</v>
      </c>
      <c r="H634" s="2" t="s">
        <v>1224</v>
      </c>
      <c r="I634" s="2" t="s">
        <v>13</v>
      </c>
      <c r="J634" s="2">
        <v>6.9</v>
      </c>
      <c r="K634" s="2" t="str">
        <f t="shared" si="27"/>
        <v>&gt;5kg</v>
      </c>
      <c r="L634" s="2">
        <f>tdata[[#This Row],[Received_date]]-tdata[[#This Row],[Shipment_Date]]</f>
        <v>4</v>
      </c>
      <c r="M634" s="2">
        <f>VLOOKUP(tdata[[#This Row],[Service_Type]],Table2[#All],2,0)</f>
        <v>3</v>
      </c>
      <c r="N634" s="2" t="str">
        <f>IF(tdata[[#This Row],[Delivery_Days]]&lt;=tdata[[#This Row],[SLA_Days]],"On Time","Late")</f>
        <v>Late</v>
      </c>
      <c r="O634" s="2">
        <f>VLOOKUP(tdata[[#This Row],[Service_Type]],Table2[#All],4,0)</f>
        <v>10000</v>
      </c>
      <c r="P634" s="2">
        <f>tdata[[#This Row],[price_per_kilo]]*tdata[[#This Row],[Weight_KG]]</f>
        <v>69000</v>
      </c>
      <c r="Q634" s="2" t="str">
        <f>VLOOKUP(tdata[[#This Row],[id_employee]],temployee[#All],2,0)</f>
        <v>Gilang Saputra</v>
      </c>
      <c r="R634" s="2" t="str">
        <f>VLOOKUP(tdata[[#This Row],[id_employee]],temployee[#All],4,0)</f>
        <v>internal</v>
      </c>
      <c r="S634" s="9" t="str">
        <f>VLOOKUP(tdata[[#This Row],[id_employee]],temployee[#All],5,0)</f>
        <v>rider</v>
      </c>
    </row>
    <row r="635" spans="2:19" x14ac:dyDescent="0.35">
      <c r="B635" s="8" t="s">
        <v>654</v>
      </c>
      <c r="C635" s="2" t="s">
        <v>1304</v>
      </c>
      <c r="D635" s="5">
        <v>45413</v>
      </c>
      <c r="E635" s="5">
        <v>45414</v>
      </c>
      <c r="F635" s="2" t="s">
        <v>15</v>
      </c>
      <c r="G635" s="2" t="s">
        <v>16</v>
      </c>
      <c r="H635" s="2" t="s">
        <v>1223</v>
      </c>
      <c r="I635" s="2" t="s">
        <v>13</v>
      </c>
      <c r="J635" s="2">
        <v>6.23</v>
      </c>
      <c r="K635" s="2" t="str">
        <f t="shared" si="27"/>
        <v>&gt;5kg</v>
      </c>
      <c r="L635" s="2">
        <f>tdata[[#This Row],[Received_date]]-tdata[[#This Row],[Shipment_Date]]</f>
        <v>1</v>
      </c>
      <c r="M635" s="2">
        <f>VLOOKUP(tdata[[#This Row],[Service_Type]],Table2[#All],2,0)</f>
        <v>1</v>
      </c>
      <c r="N635" s="2" t="str">
        <f>IF(tdata[[#This Row],[Delivery_Days]]&lt;=tdata[[#This Row],[SLA_Days]],"On Time","Late")</f>
        <v>On Time</v>
      </c>
      <c r="O635" s="2">
        <f>VLOOKUP(tdata[[#This Row],[Service_Type]],Table2[#All],4,0)</f>
        <v>12000</v>
      </c>
      <c r="P635" s="2">
        <f>tdata[[#This Row],[price_per_kilo]]*tdata[[#This Row],[Weight_KG]]</f>
        <v>74760</v>
      </c>
      <c r="Q635" s="2" t="str">
        <f>VLOOKUP(tdata[[#This Row],[id_employee]],temployee[#All],2,0)</f>
        <v>Hariyanto</v>
      </c>
      <c r="R635" s="2" t="str">
        <f>VLOOKUP(tdata[[#This Row],[id_employee]],temployee[#All],4,0)</f>
        <v>crowd source</v>
      </c>
      <c r="S635" s="9" t="str">
        <f>VLOOKUP(tdata[[#This Row],[id_employee]],temployee[#All],5,0)</f>
        <v>driver</v>
      </c>
    </row>
    <row r="636" spans="2:19" x14ac:dyDescent="0.35">
      <c r="B636" s="8" t="s">
        <v>655</v>
      </c>
      <c r="C636" s="2" t="s">
        <v>1305</v>
      </c>
      <c r="D636" s="5">
        <v>45578</v>
      </c>
      <c r="E636" s="5">
        <f>D636+4</f>
        <v>45582</v>
      </c>
      <c r="F636" s="2" t="s">
        <v>20</v>
      </c>
      <c r="G636" s="2" t="s">
        <v>49</v>
      </c>
      <c r="H636" s="2" t="s">
        <v>23</v>
      </c>
      <c r="I636" s="2" t="s">
        <v>13</v>
      </c>
      <c r="J636" s="2">
        <v>6.34</v>
      </c>
      <c r="K636" s="2" t="str">
        <f t="shared" si="27"/>
        <v>&gt;5kg</v>
      </c>
      <c r="L636" s="2">
        <f>tdata[[#This Row],[Received_date]]-tdata[[#This Row],[Shipment_Date]]</f>
        <v>4</v>
      </c>
      <c r="M636" s="2">
        <f>VLOOKUP(tdata[[#This Row],[Service_Type]],Table2[#All],2,0)</f>
        <v>5</v>
      </c>
      <c r="N636" s="2" t="str">
        <f>IF(tdata[[#This Row],[Delivery_Days]]&lt;=tdata[[#This Row],[SLA_Days]],"On Time","Late")</f>
        <v>On Time</v>
      </c>
      <c r="O636" s="2">
        <f>VLOOKUP(tdata[[#This Row],[Service_Type]],Table2[#All],4,0)</f>
        <v>9000</v>
      </c>
      <c r="P636" s="2">
        <f>tdata[[#This Row],[price_per_kilo]]*tdata[[#This Row],[Weight_KG]]</f>
        <v>57060</v>
      </c>
      <c r="Q636" s="2" t="str">
        <f>VLOOKUP(tdata[[#This Row],[id_employee]],temployee[#All],2,0)</f>
        <v>Intan Maharani</v>
      </c>
      <c r="R636" s="2" t="str">
        <f>VLOOKUP(tdata[[#This Row],[id_employee]],temployee[#All],4,0)</f>
        <v>internal</v>
      </c>
      <c r="S636" s="9" t="str">
        <f>VLOOKUP(tdata[[#This Row],[id_employee]],temployee[#All],5,0)</f>
        <v>rider</v>
      </c>
    </row>
    <row r="637" spans="2:19" x14ac:dyDescent="0.35">
      <c r="B637" s="8" t="s">
        <v>656</v>
      </c>
      <c r="C637" s="2" t="s">
        <v>1306</v>
      </c>
      <c r="D637" s="5">
        <v>45176</v>
      </c>
      <c r="E637" s="5">
        <v>45185</v>
      </c>
      <c r="F637" s="2" t="s">
        <v>22</v>
      </c>
      <c r="G637" s="2" t="s">
        <v>26</v>
      </c>
      <c r="H637" s="2" t="s">
        <v>23</v>
      </c>
      <c r="I637" s="2" t="s">
        <v>17</v>
      </c>
      <c r="J637" s="2">
        <v>4.99</v>
      </c>
      <c r="K637" s="2" t="str">
        <f t="shared" si="27"/>
        <v>&lt; 5kg</v>
      </c>
      <c r="L637" s="2">
        <f>tdata[[#This Row],[Received_date]]-tdata[[#This Row],[Shipment_Date]]</f>
        <v>9</v>
      </c>
      <c r="M637" s="2">
        <f>VLOOKUP(tdata[[#This Row],[Service_Type]],Table2[#All],2,0)</f>
        <v>5</v>
      </c>
      <c r="N637" s="2" t="str">
        <f>IF(tdata[[#This Row],[Delivery_Days]]&lt;=tdata[[#This Row],[SLA_Days]],"On Time","Late")</f>
        <v>Late</v>
      </c>
      <c r="O637" s="2">
        <f>VLOOKUP(tdata[[#This Row],[Service_Type]],Table2[#All],4,0)</f>
        <v>9000</v>
      </c>
      <c r="P637" s="2">
        <f>tdata[[#This Row],[price_per_kilo]]*tdata[[#This Row],[Weight_KG]]</f>
        <v>44910</v>
      </c>
      <c r="Q637" s="2" t="str">
        <f>VLOOKUP(tdata[[#This Row],[id_employee]],temployee[#All],2,0)</f>
        <v>Jefri Alamsyah</v>
      </c>
      <c r="R637" s="2" t="str">
        <f>VLOOKUP(tdata[[#This Row],[id_employee]],temployee[#All],4,0)</f>
        <v>internal</v>
      </c>
      <c r="S637" s="9" t="str">
        <f>VLOOKUP(tdata[[#This Row],[id_employee]],temployee[#All],5,0)</f>
        <v>driver</v>
      </c>
    </row>
    <row r="638" spans="2:19" x14ac:dyDescent="0.35">
      <c r="B638" s="8" t="s">
        <v>657</v>
      </c>
      <c r="C638" s="2" t="s">
        <v>1307</v>
      </c>
      <c r="D638" s="5">
        <v>45555</v>
      </c>
      <c r="E638" s="5">
        <v>45555</v>
      </c>
      <c r="F638" s="2" t="s">
        <v>12</v>
      </c>
      <c r="G638" s="2" t="s">
        <v>11</v>
      </c>
      <c r="H638" s="2" t="s">
        <v>1224</v>
      </c>
      <c r="I638" s="2" t="s">
        <v>17</v>
      </c>
      <c r="J638" s="2">
        <v>2.2200000000000002</v>
      </c>
      <c r="K638" s="2" t="str">
        <f t="shared" si="27"/>
        <v>&lt; 5kg</v>
      </c>
      <c r="L638" s="2">
        <f>tdata[[#This Row],[Received_date]]-tdata[[#This Row],[Shipment_Date]]</f>
        <v>0</v>
      </c>
      <c r="M638" s="2">
        <f>VLOOKUP(tdata[[#This Row],[Service_Type]],Table2[#All],2,0)</f>
        <v>3</v>
      </c>
      <c r="N638" s="2" t="str">
        <f>IF(tdata[[#This Row],[Delivery_Days]]&lt;=tdata[[#This Row],[SLA_Days]],"On Time","Late")</f>
        <v>On Time</v>
      </c>
      <c r="O638" s="2">
        <f>VLOOKUP(tdata[[#This Row],[Service_Type]],Table2[#All],4,0)</f>
        <v>10000</v>
      </c>
      <c r="P638" s="2">
        <f>tdata[[#This Row],[price_per_kilo]]*tdata[[#This Row],[Weight_KG]]</f>
        <v>22200.000000000004</v>
      </c>
      <c r="Q638" s="2" t="str">
        <f>VLOOKUP(tdata[[#This Row],[id_employee]],temployee[#All],2,0)</f>
        <v>Kartika Sari</v>
      </c>
      <c r="R638" s="2" t="str">
        <f>VLOOKUP(tdata[[#This Row],[id_employee]],temployee[#All],4,0)</f>
        <v>crowd source</v>
      </c>
      <c r="S638" s="9" t="str">
        <f>VLOOKUP(tdata[[#This Row],[id_employee]],temployee[#All],5,0)</f>
        <v>rider</v>
      </c>
    </row>
    <row r="639" spans="2:19" x14ac:dyDescent="0.35">
      <c r="B639" s="8" t="s">
        <v>658</v>
      </c>
      <c r="C639" s="2" t="s">
        <v>1308</v>
      </c>
      <c r="D639" s="5">
        <v>44967</v>
      </c>
      <c r="E639" s="5">
        <v>44968</v>
      </c>
      <c r="F639" s="2" t="s">
        <v>30</v>
      </c>
      <c r="G639" s="2" t="s">
        <v>11</v>
      </c>
      <c r="H639" s="2" t="s">
        <v>1223</v>
      </c>
      <c r="I639" s="2" t="s">
        <v>13</v>
      </c>
      <c r="J639" s="2">
        <v>3.99</v>
      </c>
      <c r="K639" s="2" t="str">
        <f t="shared" si="27"/>
        <v>&lt; 5kg</v>
      </c>
      <c r="L639" s="2">
        <f>tdata[[#This Row],[Received_date]]-tdata[[#This Row],[Shipment_Date]]</f>
        <v>1</v>
      </c>
      <c r="M639" s="2">
        <f>VLOOKUP(tdata[[#This Row],[Service_Type]],Table2[#All],2,0)</f>
        <v>1</v>
      </c>
      <c r="N639" s="2" t="str">
        <f>IF(tdata[[#This Row],[Delivery_Days]]&lt;=tdata[[#This Row],[SLA_Days]],"On Time","Late")</f>
        <v>On Time</v>
      </c>
      <c r="O639" s="2">
        <f>VLOOKUP(tdata[[#This Row],[Service_Type]],Table2[#All],4,0)</f>
        <v>12000</v>
      </c>
      <c r="P639" s="2">
        <f>tdata[[#This Row],[price_per_kilo]]*tdata[[#This Row],[Weight_KG]]</f>
        <v>47880</v>
      </c>
      <c r="Q639" s="2" t="str">
        <f>VLOOKUP(tdata[[#This Row],[id_employee]],temployee[#All],2,0)</f>
        <v>Lukman Hakim</v>
      </c>
      <c r="R639" s="2" t="str">
        <f>VLOOKUP(tdata[[#This Row],[id_employee]],temployee[#All],4,0)</f>
        <v>internal</v>
      </c>
      <c r="S639" s="9" t="str">
        <f>VLOOKUP(tdata[[#This Row],[id_employee]],temployee[#All],5,0)</f>
        <v>driver</v>
      </c>
    </row>
    <row r="640" spans="2:19" x14ac:dyDescent="0.35">
      <c r="B640" s="8" t="s">
        <v>659</v>
      </c>
      <c r="C640" s="2" t="s">
        <v>1309</v>
      </c>
      <c r="D640" s="5">
        <v>45353</v>
      </c>
      <c r="E640" s="5">
        <v>45361</v>
      </c>
      <c r="F640" s="2" t="s">
        <v>32</v>
      </c>
      <c r="G640" s="2" t="s">
        <v>12</v>
      </c>
      <c r="H640" s="2" t="s">
        <v>1224</v>
      </c>
      <c r="I640" s="2" t="s">
        <v>13</v>
      </c>
      <c r="J640" s="2">
        <v>7.83</v>
      </c>
      <c r="K640" s="2" t="str">
        <f t="shared" si="27"/>
        <v>&gt;5kg</v>
      </c>
      <c r="L640" s="2">
        <f>tdata[[#This Row],[Received_date]]-tdata[[#This Row],[Shipment_Date]]</f>
        <v>8</v>
      </c>
      <c r="M640" s="2">
        <f>VLOOKUP(tdata[[#This Row],[Service_Type]],Table2[#All],2,0)</f>
        <v>3</v>
      </c>
      <c r="N640" s="2" t="str">
        <f>IF(tdata[[#This Row],[Delivery_Days]]&lt;=tdata[[#This Row],[SLA_Days]],"On Time","Late")</f>
        <v>Late</v>
      </c>
      <c r="O640" s="2">
        <f>VLOOKUP(tdata[[#This Row],[Service_Type]],Table2[#All],4,0)</f>
        <v>10000</v>
      </c>
      <c r="P640" s="2">
        <f>tdata[[#This Row],[price_per_kilo]]*tdata[[#This Row],[Weight_KG]]</f>
        <v>78300</v>
      </c>
      <c r="Q640" s="2" t="str">
        <f>VLOOKUP(tdata[[#This Row],[id_employee]],temployee[#All],2,0)</f>
        <v>Mega Puspitasari</v>
      </c>
      <c r="R640" s="2" t="str">
        <f>VLOOKUP(tdata[[#This Row],[id_employee]],temployee[#All],4,0)</f>
        <v>internal</v>
      </c>
      <c r="S640" s="9" t="str">
        <f>VLOOKUP(tdata[[#This Row],[id_employee]],temployee[#All],5,0)</f>
        <v>rider</v>
      </c>
    </row>
    <row r="641" spans="2:19" x14ac:dyDescent="0.35">
      <c r="B641" s="8" t="s">
        <v>660</v>
      </c>
      <c r="C641" s="2" t="s">
        <v>1310</v>
      </c>
      <c r="D641" s="5">
        <v>45283</v>
      </c>
      <c r="E641" s="5">
        <v>45284</v>
      </c>
      <c r="F641" s="2" t="s">
        <v>16</v>
      </c>
      <c r="G641" s="2" t="s">
        <v>15</v>
      </c>
      <c r="H641" s="2" t="s">
        <v>1224</v>
      </c>
      <c r="I641" s="2" t="s">
        <v>17</v>
      </c>
      <c r="J641" s="2">
        <v>8.19</v>
      </c>
      <c r="K641" s="2" t="str">
        <f t="shared" si="27"/>
        <v>&gt;5kg</v>
      </c>
      <c r="L641" s="2">
        <f>tdata[[#This Row],[Received_date]]-tdata[[#This Row],[Shipment_Date]]</f>
        <v>1</v>
      </c>
      <c r="M641" s="2">
        <f>VLOOKUP(tdata[[#This Row],[Service_Type]],Table2[#All],2,0)</f>
        <v>3</v>
      </c>
      <c r="N641" s="2" t="str">
        <f>IF(tdata[[#This Row],[Delivery_Days]]&lt;=tdata[[#This Row],[SLA_Days]],"On Time","Late")</f>
        <v>On Time</v>
      </c>
      <c r="O641" s="2">
        <f>VLOOKUP(tdata[[#This Row],[Service_Type]],Table2[#All],4,0)</f>
        <v>10000</v>
      </c>
      <c r="P641" s="2">
        <f>tdata[[#This Row],[price_per_kilo]]*tdata[[#This Row],[Weight_KG]]</f>
        <v>81900</v>
      </c>
      <c r="Q641" s="2" t="str">
        <f>VLOOKUP(tdata[[#This Row],[id_employee]],temployee[#All],2,0)</f>
        <v>Niko Prasetyo</v>
      </c>
      <c r="R641" s="2" t="str">
        <f>VLOOKUP(tdata[[#This Row],[id_employee]],temployee[#All],4,0)</f>
        <v>crowd source</v>
      </c>
      <c r="S641" s="9" t="str">
        <f>VLOOKUP(tdata[[#This Row],[id_employee]],temployee[#All],5,0)</f>
        <v>driver</v>
      </c>
    </row>
    <row r="642" spans="2:19" x14ac:dyDescent="0.35">
      <c r="B642" s="8" t="s">
        <v>661</v>
      </c>
      <c r="C642" s="2" t="s">
        <v>1311</v>
      </c>
      <c r="D642" s="5">
        <v>45378</v>
      </c>
      <c r="E642" s="5">
        <f>D642+4</f>
        <v>45382</v>
      </c>
      <c r="F642" s="2" t="s">
        <v>26</v>
      </c>
      <c r="G642" s="2" t="s">
        <v>16</v>
      </c>
      <c r="H642" s="2" t="s">
        <v>1224</v>
      </c>
      <c r="I642" s="2" t="s">
        <v>17</v>
      </c>
      <c r="J642" s="2">
        <v>6.89</v>
      </c>
      <c r="K642" s="2" t="str">
        <f t="shared" si="27"/>
        <v>&gt;5kg</v>
      </c>
      <c r="L642" s="2">
        <f>tdata[[#This Row],[Received_date]]-tdata[[#This Row],[Shipment_Date]]</f>
        <v>4</v>
      </c>
      <c r="M642" s="2">
        <f>VLOOKUP(tdata[[#This Row],[Service_Type]],Table2[#All],2,0)</f>
        <v>3</v>
      </c>
      <c r="N642" s="2" t="str">
        <f>IF(tdata[[#This Row],[Delivery_Days]]&lt;=tdata[[#This Row],[SLA_Days]],"On Time","Late")</f>
        <v>Late</v>
      </c>
      <c r="O642" s="2">
        <f>VLOOKUP(tdata[[#This Row],[Service_Type]],Table2[#All],4,0)</f>
        <v>10000</v>
      </c>
      <c r="P642" s="2">
        <f>tdata[[#This Row],[price_per_kilo]]*tdata[[#This Row],[Weight_KG]]</f>
        <v>68900</v>
      </c>
      <c r="Q642" s="2" t="str">
        <f>VLOOKUP(tdata[[#This Row],[id_employee]],temployee[#All],2,0)</f>
        <v>Olivia Putri</v>
      </c>
      <c r="R642" s="2" t="str">
        <f>VLOOKUP(tdata[[#This Row],[id_employee]],temployee[#All],4,0)</f>
        <v>internal</v>
      </c>
      <c r="S642" s="9" t="str">
        <f>VLOOKUP(tdata[[#This Row],[id_employee]],temployee[#All],5,0)</f>
        <v>rider</v>
      </c>
    </row>
    <row r="643" spans="2:19" x14ac:dyDescent="0.35">
      <c r="B643" s="8" t="s">
        <v>662</v>
      </c>
      <c r="C643" s="2" t="s">
        <v>1312</v>
      </c>
      <c r="D643" s="5">
        <v>44961</v>
      </c>
      <c r="E643" s="5">
        <v>44961</v>
      </c>
      <c r="F643" s="2" t="s">
        <v>49</v>
      </c>
      <c r="G643" s="2" t="s">
        <v>11</v>
      </c>
      <c r="H643" s="2" t="s">
        <v>1223</v>
      </c>
      <c r="I643" s="2" t="s">
        <v>13</v>
      </c>
      <c r="J643" s="2">
        <v>7.68</v>
      </c>
      <c r="K643" s="2" t="str">
        <f t="shared" si="27"/>
        <v>&gt;5kg</v>
      </c>
      <c r="L643" s="2">
        <f>tdata[[#This Row],[Received_date]]-tdata[[#This Row],[Shipment_Date]]</f>
        <v>0</v>
      </c>
      <c r="M643" s="2">
        <f>VLOOKUP(tdata[[#This Row],[Service_Type]],Table2[#All],2,0)</f>
        <v>1</v>
      </c>
      <c r="N643" s="2" t="str">
        <f>IF(tdata[[#This Row],[Delivery_Days]]&lt;=tdata[[#This Row],[SLA_Days]],"On Time","Late")</f>
        <v>On Time</v>
      </c>
      <c r="O643" s="2">
        <f>VLOOKUP(tdata[[#This Row],[Service_Type]],Table2[#All],4,0)</f>
        <v>12000</v>
      </c>
      <c r="P643" s="2">
        <f>tdata[[#This Row],[price_per_kilo]]*tdata[[#This Row],[Weight_KG]]</f>
        <v>92160</v>
      </c>
      <c r="Q643" s="2" t="str">
        <f>VLOOKUP(tdata[[#This Row],[id_employee]],temployee[#All],2,0)</f>
        <v>Prasetyo Utomo</v>
      </c>
      <c r="R643" s="2" t="str">
        <f>VLOOKUP(tdata[[#This Row],[id_employee]],temployee[#All],4,0)</f>
        <v>internal</v>
      </c>
      <c r="S643" s="9" t="str">
        <f>VLOOKUP(tdata[[#This Row],[id_employee]],temployee[#All],5,0)</f>
        <v>driver</v>
      </c>
    </row>
    <row r="644" spans="2:19" x14ac:dyDescent="0.35">
      <c r="B644" s="8" t="s">
        <v>663</v>
      </c>
      <c r="C644" s="2" t="s">
        <v>1313</v>
      </c>
      <c r="D644" s="5">
        <v>45262</v>
      </c>
      <c r="E644" s="5">
        <f>D644+4</f>
        <v>45266</v>
      </c>
      <c r="F644" s="2" t="s">
        <v>11</v>
      </c>
      <c r="G644" s="2" t="s">
        <v>16</v>
      </c>
      <c r="H644" s="2" t="s">
        <v>1224</v>
      </c>
      <c r="I644" s="2" t="s">
        <v>17</v>
      </c>
      <c r="J644" s="2">
        <v>6.4</v>
      </c>
      <c r="K644" s="2" t="str">
        <f t="shared" si="27"/>
        <v>&gt;5kg</v>
      </c>
      <c r="L644" s="2">
        <f>tdata[[#This Row],[Received_date]]-tdata[[#This Row],[Shipment_Date]]</f>
        <v>4</v>
      </c>
      <c r="M644" s="2">
        <f>VLOOKUP(tdata[[#This Row],[Service_Type]],Table2[#All],2,0)</f>
        <v>3</v>
      </c>
      <c r="N644" s="2" t="str">
        <f>IF(tdata[[#This Row],[Delivery_Days]]&lt;=tdata[[#This Row],[SLA_Days]],"On Time","Late")</f>
        <v>Late</v>
      </c>
      <c r="O644" s="2">
        <f>VLOOKUP(tdata[[#This Row],[Service_Type]],Table2[#All],4,0)</f>
        <v>10000</v>
      </c>
      <c r="P644" s="2">
        <f>tdata[[#This Row],[price_per_kilo]]*tdata[[#This Row],[Weight_KG]]</f>
        <v>64000</v>
      </c>
      <c r="Q644" s="2" t="str">
        <f>VLOOKUP(tdata[[#This Row],[id_employee]],temployee[#All],2,0)</f>
        <v>Qori Annisa</v>
      </c>
      <c r="R644" s="2" t="str">
        <f>VLOOKUP(tdata[[#This Row],[id_employee]],temployee[#All],4,0)</f>
        <v>crowd source</v>
      </c>
      <c r="S644" s="9" t="str">
        <f>VLOOKUP(tdata[[#This Row],[id_employee]],temployee[#All],5,0)</f>
        <v>rider</v>
      </c>
    </row>
    <row r="645" spans="2:19" x14ac:dyDescent="0.35">
      <c r="B645" s="8" t="s">
        <v>664</v>
      </c>
      <c r="C645" s="2" t="s">
        <v>1314</v>
      </c>
      <c r="D645" s="5">
        <v>45605</v>
      </c>
      <c r="E645" s="5">
        <v>45606</v>
      </c>
      <c r="F645" s="2" t="s">
        <v>15</v>
      </c>
      <c r="G645" s="2" t="s">
        <v>26</v>
      </c>
      <c r="H645" s="2" t="s">
        <v>1224</v>
      </c>
      <c r="I645" s="2" t="s">
        <v>13</v>
      </c>
      <c r="J645" s="2">
        <v>7.03</v>
      </c>
      <c r="K645" s="2" t="str">
        <f t="shared" ref="K645:K708" si="28">IF(J645&lt;5,"&lt; 5kg", "&gt;5kg")</f>
        <v>&gt;5kg</v>
      </c>
      <c r="L645" s="2">
        <f>tdata[[#This Row],[Received_date]]-tdata[[#This Row],[Shipment_Date]]</f>
        <v>1</v>
      </c>
      <c r="M645" s="2">
        <f>VLOOKUP(tdata[[#This Row],[Service_Type]],Table2[#All],2,0)</f>
        <v>3</v>
      </c>
      <c r="N645" s="2" t="str">
        <f>IF(tdata[[#This Row],[Delivery_Days]]&lt;=tdata[[#This Row],[SLA_Days]],"On Time","Late")</f>
        <v>On Time</v>
      </c>
      <c r="O645" s="2">
        <f>VLOOKUP(tdata[[#This Row],[Service_Type]],Table2[#All],4,0)</f>
        <v>10000</v>
      </c>
      <c r="P645" s="2">
        <f>tdata[[#This Row],[price_per_kilo]]*tdata[[#This Row],[Weight_KG]]</f>
        <v>70300</v>
      </c>
      <c r="Q645" s="2" t="str">
        <f>VLOOKUP(tdata[[#This Row],[id_employee]],temployee[#All],2,0)</f>
        <v>Rangga Saptonugroho</v>
      </c>
      <c r="R645" s="2" t="str">
        <f>VLOOKUP(tdata[[#This Row],[id_employee]],temployee[#All],4,0)</f>
        <v>crowd source</v>
      </c>
      <c r="S645" s="9" t="str">
        <f>VLOOKUP(tdata[[#This Row],[id_employee]],temployee[#All],5,0)</f>
        <v>driver</v>
      </c>
    </row>
    <row r="646" spans="2:19" x14ac:dyDescent="0.35">
      <c r="B646" s="8" t="s">
        <v>665</v>
      </c>
      <c r="C646" s="2" t="s">
        <v>1315</v>
      </c>
      <c r="D646" s="5">
        <v>45185</v>
      </c>
      <c r="E646" s="5">
        <f>D646+4</f>
        <v>45189</v>
      </c>
      <c r="F646" s="2" t="s">
        <v>20</v>
      </c>
      <c r="G646" s="2" t="s">
        <v>15</v>
      </c>
      <c r="H646" s="2" t="s">
        <v>1224</v>
      </c>
      <c r="I646" s="2" t="s">
        <v>17</v>
      </c>
      <c r="J646" s="2">
        <v>9.91</v>
      </c>
      <c r="K646" s="2" t="str">
        <f t="shared" si="28"/>
        <v>&gt;5kg</v>
      </c>
      <c r="L646" s="2">
        <f>tdata[[#This Row],[Received_date]]-tdata[[#This Row],[Shipment_Date]]</f>
        <v>4</v>
      </c>
      <c r="M646" s="2">
        <f>VLOOKUP(tdata[[#This Row],[Service_Type]],Table2[#All],2,0)</f>
        <v>3</v>
      </c>
      <c r="N646" s="2" t="str">
        <f>IF(tdata[[#This Row],[Delivery_Days]]&lt;=tdata[[#This Row],[SLA_Days]],"On Time","Late")</f>
        <v>Late</v>
      </c>
      <c r="O646" s="2">
        <f>VLOOKUP(tdata[[#This Row],[Service_Type]],Table2[#All],4,0)</f>
        <v>10000</v>
      </c>
      <c r="P646" s="2">
        <f>tdata[[#This Row],[price_per_kilo]]*tdata[[#This Row],[Weight_KG]]</f>
        <v>99100</v>
      </c>
      <c r="Q646" s="2" t="str">
        <f>VLOOKUP(tdata[[#This Row],[id_employee]],temployee[#All],2,0)</f>
        <v>Sinta Dewi</v>
      </c>
      <c r="R646" s="2" t="str">
        <f>VLOOKUP(tdata[[#This Row],[id_employee]],temployee[#All],4,0)</f>
        <v>internal</v>
      </c>
      <c r="S646" s="9" t="str">
        <f>VLOOKUP(tdata[[#This Row],[id_employee]],temployee[#All],5,0)</f>
        <v>rider</v>
      </c>
    </row>
    <row r="647" spans="2:19" x14ac:dyDescent="0.35">
      <c r="B647" s="8" t="s">
        <v>666</v>
      </c>
      <c r="C647" s="2" t="s">
        <v>1316</v>
      </c>
      <c r="D647" s="5">
        <v>45160</v>
      </c>
      <c r="E647" s="5">
        <v>45163</v>
      </c>
      <c r="F647" s="2" t="s">
        <v>22</v>
      </c>
      <c r="G647" s="2" t="s">
        <v>12</v>
      </c>
      <c r="H647" s="2" t="s">
        <v>1224</v>
      </c>
      <c r="I647" s="2" t="s">
        <v>17</v>
      </c>
      <c r="J647" s="2">
        <v>5.1100000000000003</v>
      </c>
      <c r="K647" s="2" t="str">
        <f t="shared" si="28"/>
        <v>&gt;5kg</v>
      </c>
      <c r="L647" s="2">
        <f>tdata[[#This Row],[Received_date]]-tdata[[#This Row],[Shipment_Date]]</f>
        <v>3</v>
      </c>
      <c r="M647" s="2">
        <f>VLOOKUP(tdata[[#This Row],[Service_Type]],Table2[#All],2,0)</f>
        <v>3</v>
      </c>
      <c r="N647" s="2" t="str">
        <f>IF(tdata[[#This Row],[Delivery_Days]]&lt;=tdata[[#This Row],[SLA_Days]],"On Time","Late")</f>
        <v>On Time</v>
      </c>
      <c r="O647" s="2">
        <f>VLOOKUP(tdata[[#This Row],[Service_Type]],Table2[#All],4,0)</f>
        <v>10000</v>
      </c>
      <c r="P647" s="2">
        <f>tdata[[#This Row],[price_per_kilo]]*tdata[[#This Row],[Weight_KG]]</f>
        <v>51100</v>
      </c>
      <c r="Q647" s="2" t="str">
        <f>VLOOKUP(tdata[[#This Row],[id_employee]],temployee[#All],2,0)</f>
        <v>Taufik Hidayat</v>
      </c>
      <c r="R647" s="2" t="str">
        <f>VLOOKUP(tdata[[#This Row],[id_employee]],temployee[#All],4,0)</f>
        <v>internal</v>
      </c>
      <c r="S647" s="9" t="str">
        <f>VLOOKUP(tdata[[#This Row],[id_employee]],temployee[#All],5,0)</f>
        <v>driver</v>
      </c>
    </row>
    <row r="648" spans="2:19" x14ac:dyDescent="0.35">
      <c r="B648" s="8" t="s">
        <v>667</v>
      </c>
      <c r="C648" s="2" t="s">
        <v>1317</v>
      </c>
      <c r="D648" s="5">
        <v>45007</v>
      </c>
      <c r="E648" s="5">
        <f t="shared" ref="E648:E649" si="29">D648+4</f>
        <v>45011</v>
      </c>
      <c r="F648" s="2" t="s">
        <v>12</v>
      </c>
      <c r="G648" s="2" t="s">
        <v>49</v>
      </c>
      <c r="H648" s="2" t="s">
        <v>23</v>
      </c>
      <c r="I648" s="2" t="s">
        <v>17</v>
      </c>
      <c r="J648" s="2">
        <v>6.11</v>
      </c>
      <c r="K648" s="2" t="str">
        <f t="shared" si="28"/>
        <v>&gt;5kg</v>
      </c>
      <c r="L648" s="2">
        <f>tdata[[#This Row],[Received_date]]-tdata[[#This Row],[Shipment_Date]]</f>
        <v>4</v>
      </c>
      <c r="M648" s="2">
        <f>VLOOKUP(tdata[[#This Row],[Service_Type]],Table2[#All],2,0)</f>
        <v>5</v>
      </c>
      <c r="N648" s="2" t="str">
        <f>IF(tdata[[#This Row],[Delivery_Days]]&lt;=tdata[[#This Row],[SLA_Days]],"On Time","Late")</f>
        <v>On Time</v>
      </c>
      <c r="O648" s="2">
        <f>VLOOKUP(tdata[[#This Row],[Service_Type]],Table2[#All],4,0)</f>
        <v>9000</v>
      </c>
      <c r="P648" s="2">
        <f>tdata[[#This Row],[price_per_kilo]]*tdata[[#This Row],[Weight_KG]]</f>
        <v>54990</v>
      </c>
      <c r="Q648" s="2" t="str">
        <f>VLOOKUP(tdata[[#This Row],[id_employee]],temployee[#All],2,0)</f>
        <v>Usman Ali</v>
      </c>
      <c r="R648" s="2" t="str">
        <f>VLOOKUP(tdata[[#This Row],[id_employee]],temployee[#All],4,0)</f>
        <v>crowd source</v>
      </c>
      <c r="S648" s="9" t="str">
        <f>VLOOKUP(tdata[[#This Row],[id_employee]],temployee[#All],5,0)</f>
        <v>rider</v>
      </c>
    </row>
    <row r="649" spans="2:19" x14ac:dyDescent="0.35">
      <c r="B649" s="8" t="s">
        <v>668</v>
      </c>
      <c r="C649" s="2" t="s">
        <v>1318</v>
      </c>
      <c r="D649" s="5">
        <v>45389</v>
      </c>
      <c r="E649" s="5">
        <f t="shared" si="29"/>
        <v>45393</v>
      </c>
      <c r="F649" s="2" t="s">
        <v>30</v>
      </c>
      <c r="G649" s="2" t="s">
        <v>11</v>
      </c>
      <c r="H649" s="2" t="s">
        <v>23</v>
      </c>
      <c r="I649" s="2" t="s">
        <v>13</v>
      </c>
      <c r="J649" s="2">
        <v>5.23</v>
      </c>
      <c r="K649" s="2" t="str">
        <f t="shared" si="28"/>
        <v>&gt;5kg</v>
      </c>
      <c r="L649" s="2">
        <f>tdata[[#This Row],[Received_date]]-tdata[[#This Row],[Shipment_Date]]</f>
        <v>4</v>
      </c>
      <c r="M649" s="2">
        <f>VLOOKUP(tdata[[#This Row],[Service_Type]],Table2[#All],2,0)</f>
        <v>5</v>
      </c>
      <c r="N649" s="2" t="str">
        <f>IF(tdata[[#This Row],[Delivery_Days]]&lt;=tdata[[#This Row],[SLA_Days]],"On Time","Late")</f>
        <v>On Time</v>
      </c>
      <c r="O649" s="2">
        <f>VLOOKUP(tdata[[#This Row],[Service_Type]],Table2[#All],4,0)</f>
        <v>9000</v>
      </c>
      <c r="P649" s="2">
        <f>tdata[[#This Row],[price_per_kilo]]*tdata[[#This Row],[Weight_KG]]</f>
        <v>47070.000000000007</v>
      </c>
      <c r="Q649" s="2" t="str">
        <f>VLOOKUP(tdata[[#This Row],[id_employee]],temployee[#All],2,0)</f>
        <v>Vivi Lestari</v>
      </c>
      <c r="R649" s="2" t="str">
        <f>VLOOKUP(tdata[[#This Row],[id_employee]],temployee[#All],4,0)</f>
        <v>internal</v>
      </c>
      <c r="S649" s="9" t="str">
        <f>VLOOKUP(tdata[[#This Row],[id_employee]],temployee[#All],5,0)</f>
        <v>rider</v>
      </c>
    </row>
    <row r="650" spans="2:19" x14ac:dyDescent="0.35">
      <c r="B650" s="8" t="s">
        <v>669</v>
      </c>
      <c r="C650" s="2" t="s">
        <v>1319</v>
      </c>
      <c r="D650" s="5">
        <v>45309</v>
      </c>
      <c r="E650" s="5">
        <v>45316</v>
      </c>
      <c r="F650" s="2" t="s">
        <v>32</v>
      </c>
      <c r="G650" s="2" t="s">
        <v>12</v>
      </c>
      <c r="H650" s="2" t="s">
        <v>1224</v>
      </c>
      <c r="I650" s="2" t="s">
        <v>13</v>
      </c>
      <c r="J650" s="2">
        <v>2.7</v>
      </c>
      <c r="K650" s="2" t="str">
        <f t="shared" si="28"/>
        <v>&lt; 5kg</v>
      </c>
      <c r="L650" s="2">
        <f>tdata[[#This Row],[Received_date]]-tdata[[#This Row],[Shipment_Date]]</f>
        <v>7</v>
      </c>
      <c r="M650" s="2">
        <f>VLOOKUP(tdata[[#This Row],[Service_Type]],Table2[#All],2,0)</f>
        <v>3</v>
      </c>
      <c r="N650" s="2" t="str">
        <f>IF(tdata[[#This Row],[Delivery_Days]]&lt;=tdata[[#This Row],[SLA_Days]],"On Time","Late")</f>
        <v>Late</v>
      </c>
      <c r="O650" s="2">
        <f>VLOOKUP(tdata[[#This Row],[Service_Type]],Table2[#All],4,0)</f>
        <v>10000</v>
      </c>
      <c r="P650" s="2">
        <f>tdata[[#This Row],[price_per_kilo]]*tdata[[#This Row],[Weight_KG]]</f>
        <v>27000</v>
      </c>
      <c r="Q650" s="2" t="str">
        <f>VLOOKUP(tdata[[#This Row],[id_employee]],temployee[#All],2,0)</f>
        <v>Wawan Setiabudi</v>
      </c>
      <c r="R650" s="2" t="str">
        <f>VLOOKUP(tdata[[#This Row],[id_employee]],temployee[#All],4,0)</f>
        <v>internal</v>
      </c>
      <c r="S650" s="9" t="str">
        <f>VLOOKUP(tdata[[#This Row],[id_employee]],temployee[#All],5,0)</f>
        <v>driver</v>
      </c>
    </row>
    <row r="651" spans="2:19" x14ac:dyDescent="0.35">
      <c r="B651" s="8" t="s">
        <v>670</v>
      </c>
      <c r="C651" s="2" t="s">
        <v>1320</v>
      </c>
      <c r="D651" s="5">
        <v>45017</v>
      </c>
      <c r="E651" s="5">
        <v>45022</v>
      </c>
      <c r="F651" s="2" t="s">
        <v>16</v>
      </c>
      <c r="G651" s="2" t="s">
        <v>49</v>
      </c>
      <c r="H651" s="2" t="s">
        <v>1223</v>
      </c>
      <c r="I651" s="2" t="s">
        <v>17</v>
      </c>
      <c r="J651" s="2">
        <v>7.03</v>
      </c>
      <c r="K651" s="2" t="str">
        <f t="shared" si="28"/>
        <v>&gt;5kg</v>
      </c>
      <c r="L651" s="2">
        <f>tdata[[#This Row],[Received_date]]-tdata[[#This Row],[Shipment_Date]]</f>
        <v>5</v>
      </c>
      <c r="M651" s="2">
        <f>VLOOKUP(tdata[[#This Row],[Service_Type]],Table2[#All],2,0)</f>
        <v>1</v>
      </c>
      <c r="N651" s="2" t="str">
        <f>IF(tdata[[#This Row],[Delivery_Days]]&lt;=tdata[[#This Row],[SLA_Days]],"On Time","Late")</f>
        <v>Late</v>
      </c>
      <c r="O651" s="2">
        <f>VLOOKUP(tdata[[#This Row],[Service_Type]],Table2[#All],4,0)</f>
        <v>12000</v>
      </c>
      <c r="P651" s="2">
        <f>tdata[[#This Row],[price_per_kilo]]*tdata[[#This Row],[Weight_KG]]</f>
        <v>84360</v>
      </c>
      <c r="Q651" s="2" t="str">
        <f>VLOOKUP(tdata[[#This Row],[id_employee]],temployee[#All],2,0)</f>
        <v>Xenia Maharani</v>
      </c>
      <c r="R651" s="2" t="str">
        <f>VLOOKUP(tdata[[#This Row],[id_employee]],temployee[#All],4,0)</f>
        <v>crowd source</v>
      </c>
      <c r="S651" s="9" t="str">
        <f>VLOOKUP(tdata[[#This Row],[id_employee]],temployee[#All],5,0)</f>
        <v>rider</v>
      </c>
    </row>
    <row r="652" spans="2:19" x14ac:dyDescent="0.35">
      <c r="B652" s="8" t="s">
        <v>671</v>
      </c>
      <c r="C652" s="2" t="s">
        <v>1321</v>
      </c>
      <c r="D652" s="5">
        <v>45233</v>
      </c>
      <c r="E652" s="5">
        <v>45238</v>
      </c>
      <c r="F652" s="2" t="s">
        <v>26</v>
      </c>
      <c r="G652" s="2" t="s">
        <v>32</v>
      </c>
      <c r="H652" s="2" t="s">
        <v>23</v>
      </c>
      <c r="I652" s="2" t="s">
        <v>13</v>
      </c>
      <c r="J652" s="2">
        <v>3.97</v>
      </c>
      <c r="K652" s="2" t="str">
        <f t="shared" si="28"/>
        <v>&lt; 5kg</v>
      </c>
      <c r="L652" s="2">
        <f>tdata[[#This Row],[Received_date]]-tdata[[#This Row],[Shipment_Date]]</f>
        <v>5</v>
      </c>
      <c r="M652" s="2">
        <f>VLOOKUP(tdata[[#This Row],[Service_Type]],Table2[#All],2,0)</f>
        <v>5</v>
      </c>
      <c r="N652" s="2" t="str">
        <f>IF(tdata[[#This Row],[Delivery_Days]]&lt;=tdata[[#This Row],[SLA_Days]],"On Time","Late")</f>
        <v>On Time</v>
      </c>
      <c r="O652" s="2">
        <f>VLOOKUP(tdata[[#This Row],[Service_Type]],Table2[#All],4,0)</f>
        <v>9000</v>
      </c>
      <c r="P652" s="2">
        <f>tdata[[#This Row],[price_per_kilo]]*tdata[[#This Row],[Weight_KG]]</f>
        <v>35730</v>
      </c>
      <c r="Q652" s="2" t="str">
        <f>VLOOKUP(tdata[[#This Row],[id_employee]],temployee[#All],2,0)</f>
        <v>Yoga Pradana</v>
      </c>
      <c r="R652" s="2" t="str">
        <f>VLOOKUP(tdata[[#This Row],[id_employee]],temployee[#All],4,0)</f>
        <v>internal</v>
      </c>
      <c r="S652" s="9" t="str">
        <f>VLOOKUP(tdata[[#This Row],[id_employee]],temployee[#All],5,0)</f>
        <v>rider</v>
      </c>
    </row>
    <row r="653" spans="2:19" x14ac:dyDescent="0.35">
      <c r="B653" s="8" t="s">
        <v>672</v>
      </c>
      <c r="C653" s="2" t="s">
        <v>1322</v>
      </c>
      <c r="D653" s="5">
        <v>45585</v>
      </c>
      <c r="E653" s="5">
        <v>45592</v>
      </c>
      <c r="F653" s="2" t="s">
        <v>49</v>
      </c>
      <c r="G653" s="2" t="s">
        <v>12</v>
      </c>
      <c r="H653" s="2" t="s">
        <v>1224</v>
      </c>
      <c r="I653" s="2" t="s">
        <v>17</v>
      </c>
      <c r="J653" s="2">
        <v>2.75</v>
      </c>
      <c r="K653" s="2" t="str">
        <f t="shared" si="28"/>
        <v>&lt; 5kg</v>
      </c>
      <c r="L653" s="2">
        <f>tdata[[#This Row],[Received_date]]-tdata[[#This Row],[Shipment_Date]]</f>
        <v>7</v>
      </c>
      <c r="M653" s="2">
        <f>VLOOKUP(tdata[[#This Row],[Service_Type]],Table2[#All],2,0)</f>
        <v>3</v>
      </c>
      <c r="N653" s="2" t="str">
        <f>IF(tdata[[#This Row],[Delivery_Days]]&lt;=tdata[[#This Row],[SLA_Days]],"On Time","Late")</f>
        <v>Late</v>
      </c>
      <c r="O653" s="2">
        <f>VLOOKUP(tdata[[#This Row],[Service_Type]],Table2[#All],4,0)</f>
        <v>10000</v>
      </c>
      <c r="P653" s="2">
        <f>tdata[[#This Row],[price_per_kilo]]*tdata[[#This Row],[Weight_KG]]</f>
        <v>27500</v>
      </c>
      <c r="Q653" s="2" t="str">
        <f>VLOOKUP(tdata[[#This Row],[id_employee]],temployee[#All],2,0)</f>
        <v>Zulfikar Ramadhan</v>
      </c>
      <c r="R653" s="2" t="str">
        <f>VLOOKUP(tdata[[#This Row],[id_employee]],temployee[#All],4,0)</f>
        <v>crowd source</v>
      </c>
      <c r="S653" s="9" t="str">
        <f>VLOOKUP(tdata[[#This Row],[id_employee]],temployee[#All],5,0)</f>
        <v>driver</v>
      </c>
    </row>
    <row r="654" spans="2:19" x14ac:dyDescent="0.35">
      <c r="B654" s="8" t="s">
        <v>673</v>
      </c>
      <c r="C654" s="2" t="s">
        <v>1323</v>
      </c>
      <c r="D654" s="5">
        <v>45068</v>
      </c>
      <c r="E654" s="5">
        <f>D654+4</f>
        <v>45072</v>
      </c>
      <c r="F654" s="2" t="s">
        <v>11</v>
      </c>
      <c r="G654" s="2" t="s">
        <v>11</v>
      </c>
      <c r="H654" s="2" t="s">
        <v>1224</v>
      </c>
      <c r="I654" s="2" t="s">
        <v>17</v>
      </c>
      <c r="J654" s="2">
        <v>10.029999999999999</v>
      </c>
      <c r="K654" s="2" t="str">
        <f t="shared" si="28"/>
        <v>&gt;5kg</v>
      </c>
      <c r="L654" s="2">
        <f>tdata[[#This Row],[Received_date]]-tdata[[#This Row],[Shipment_Date]]</f>
        <v>4</v>
      </c>
      <c r="M654" s="2">
        <f>VLOOKUP(tdata[[#This Row],[Service_Type]],Table2[#All],2,0)</f>
        <v>3</v>
      </c>
      <c r="N654" s="2" t="str">
        <f>IF(tdata[[#This Row],[Delivery_Days]]&lt;=tdata[[#This Row],[SLA_Days]],"On Time","Late")</f>
        <v>Late</v>
      </c>
      <c r="O654" s="2">
        <f>VLOOKUP(tdata[[#This Row],[Service_Type]],Table2[#All],4,0)</f>
        <v>10000</v>
      </c>
      <c r="P654" s="2">
        <f>tdata[[#This Row],[price_per_kilo]]*tdata[[#This Row],[Weight_KG]]</f>
        <v>100300</v>
      </c>
      <c r="Q654" s="2" t="str">
        <f>VLOOKUP(tdata[[#This Row],[id_employee]],temployee[#All],2,0)</f>
        <v>Aditya Saputra</v>
      </c>
      <c r="R654" s="2" t="str">
        <f>VLOOKUP(tdata[[#This Row],[id_employee]],temployee[#All],4,0)</f>
        <v>internal</v>
      </c>
      <c r="S654" s="9" t="str">
        <f>VLOOKUP(tdata[[#This Row],[id_employee]],temployee[#All],5,0)</f>
        <v>rider</v>
      </c>
    </row>
    <row r="655" spans="2:19" x14ac:dyDescent="0.35">
      <c r="B655" s="8" t="s">
        <v>674</v>
      </c>
      <c r="C655" s="2" t="s">
        <v>1324</v>
      </c>
      <c r="D655" s="5">
        <v>45073</v>
      </c>
      <c r="E655" s="5">
        <v>45081</v>
      </c>
      <c r="F655" s="2" t="s">
        <v>15</v>
      </c>
      <c r="G655" s="2" t="s">
        <v>22</v>
      </c>
      <c r="H655" s="2" t="s">
        <v>1224</v>
      </c>
      <c r="I655" s="2" t="s">
        <v>17</v>
      </c>
      <c r="J655" s="2">
        <v>6.26</v>
      </c>
      <c r="K655" s="2" t="str">
        <f t="shared" si="28"/>
        <v>&gt;5kg</v>
      </c>
      <c r="L655" s="2">
        <f>tdata[[#This Row],[Received_date]]-tdata[[#This Row],[Shipment_Date]]</f>
        <v>8</v>
      </c>
      <c r="M655" s="2">
        <f>VLOOKUP(tdata[[#This Row],[Service_Type]],Table2[#All],2,0)</f>
        <v>3</v>
      </c>
      <c r="N655" s="2" t="str">
        <f>IF(tdata[[#This Row],[Delivery_Days]]&lt;=tdata[[#This Row],[SLA_Days]],"On Time","Late")</f>
        <v>Late</v>
      </c>
      <c r="O655" s="2">
        <f>VLOOKUP(tdata[[#This Row],[Service_Type]],Table2[#All],4,0)</f>
        <v>10000</v>
      </c>
      <c r="P655" s="2">
        <f>tdata[[#This Row],[price_per_kilo]]*tdata[[#This Row],[Weight_KG]]</f>
        <v>62600</v>
      </c>
      <c r="Q655" s="2" t="str">
        <f>VLOOKUP(tdata[[#This Row],[id_employee]],temployee[#All],2,0)</f>
        <v>Bella Oktaviani</v>
      </c>
      <c r="R655" s="2" t="str">
        <f>VLOOKUP(tdata[[#This Row],[id_employee]],temployee[#All],4,0)</f>
        <v>internal</v>
      </c>
      <c r="S655" s="9" t="str">
        <f>VLOOKUP(tdata[[#This Row],[id_employee]],temployee[#All],5,0)</f>
        <v>rider</v>
      </c>
    </row>
    <row r="656" spans="2:19" x14ac:dyDescent="0.35">
      <c r="B656" s="8" t="s">
        <v>675</v>
      </c>
      <c r="C656" s="2" t="s">
        <v>1325</v>
      </c>
      <c r="D656" s="5">
        <v>45572</v>
      </c>
      <c r="E656" s="5">
        <v>45573</v>
      </c>
      <c r="F656" s="2" t="s">
        <v>20</v>
      </c>
      <c r="G656" s="2" t="s">
        <v>11</v>
      </c>
      <c r="H656" s="2" t="s">
        <v>1223</v>
      </c>
      <c r="I656" s="2" t="s">
        <v>13</v>
      </c>
      <c r="J656" s="2">
        <v>9.32</v>
      </c>
      <c r="K656" s="2" t="str">
        <f t="shared" si="28"/>
        <v>&gt;5kg</v>
      </c>
      <c r="L656" s="2">
        <f>tdata[[#This Row],[Received_date]]-tdata[[#This Row],[Shipment_Date]]</f>
        <v>1</v>
      </c>
      <c r="M656" s="2">
        <f>VLOOKUP(tdata[[#This Row],[Service_Type]],Table2[#All],2,0)</f>
        <v>1</v>
      </c>
      <c r="N656" s="2" t="str">
        <f>IF(tdata[[#This Row],[Delivery_Days]]&lt;=tdata[[#This Row],[SLA_Days]],"On Time","Late")</f>
        <v>On Time</v>
      </c>
      <c r="O656" s="2">
        <f>VLOOKUP(tdata[[#This Row],[Service_Type]],Table2[#All],4,0)</f>
        <v>12000</v>
      </c>
      <c r="P656" s="2">
        <f>tdata[[#This Row],[price_per_kilo]]*tdata[[#This Row],[Weight_KG]]</f>
        <v>111840</v>
      </c>
      <c r="Q656" s="2" t="str">
        <f>VLOOKUP(tdata[[#This Row],[id_employee]],temployee[#All],2,0)</f>
        <v>Chandra Wijaya</v>
      </c>
      <c r="R656" s="2" t="str">
        <f>VLOOKUP(tdata[[#This Row],[id_employee]],temployee[#All],4,0)</f>
        <v>crowd source</v>
      </c>
      <c r="S656" s="9" t="str">
        <f>VLOOKUP(tdata[[#This Row],[id_employee]],temployee[#All],5,0)</f>
        <v>driver</v>
      </c>
    </row>
    <row r="657" spans="2:19" x14ac:dyDescent="0.35">
      <c r="B657" s="8" t="s">
        <v>676</v>
      </c>
      <c r="C657" s="2" t="s">
        <v>1326</v>
      </c>
      <c r="D657" s="5">
        <v>45647</v>
      </c>
      <c r="E657" s="5">
        <f>D657+4</f>
        <v>45651</v>
      </c>
      <c r="F657" s="2" t="s">
        <v>22</v>
      </c>
      <c r="G657" s="2" t="s">
        <v>15</v>
      </c>
      <c r="H657" s="2" t="s">
        <v>1224</v>
      </c>
      <c r="I657" s="2" t="s">
        <v>17</v>
      </c>
      <c r="J657" s="2">
        <v>9.26</v>
      </c>
      <c r="K657" s="2" t="str">
        <f t="shared" si="28"/>
        <v>&gt;5kg</v>
      </c>
      <c r="L657" s="2">
        <f>tdata[[#This Row],[Received_date]]-tdata[[#This Row],[Shipment_Date]]</f>
        <v>4</v>
      </c>
      <c r="M657" s="2">
        <f>VLOOKUP(tdata[[#This Row],[Service_Type]],Table2[#All],2,0)</f>
        <v>3</v>
      </c>
      <c r="N657" s="2" t="str">
        <f>IF(tdata[[#This Row],[Delivery_Days]]&lt;=tdata[[#This Row],[SLA_Days]],"On Time","Late")</f>
        <v>Late</v>
      </c>
      <c r="O657" s="2">
        <f>VLOOKUP(tdata[[#This Row],[Service_Type]],Table2[#All],4,0)</f>
        <v>10000</v>
      </c>
      <c r="P657" s="2">
        <f>tdata[[#This Row],[price_per_kilo]]*tdata[[#This Row],[Weight_KG]]</f>
        <v>92600</v>
      </c>
      <c r="Q657" s="2" t="str">
        <f>VLOOKUP(tdata[[#This Row],[id_employee]],temployee[#All],2,0)</f>
        <v>Dewi Sartika</v>
      </c>
      <c r="R657" s="2" t="str">
        <f>VLOOKUP(tdata[[#This Row],[id_employee]],temployee[#All],4,0)</f>
        <v>internal</v>
      </c>
      <c r="S657" s="9" t="str">
        <f>VLOOKUP(tdata[[#This Row],[id_employee]],temployee[#All],5,0)</f>
        <v>rider</v>
      </c>
    </row>
    <row r="658" spans="2:19" x14ac:dyDescent="0.35">
      <c r="B658" s="8" t="s">
        <v>677</v>
      </c>
      <c r="C658" s="2" t="s">
        <v>1327</v>
      </c>
      <c r="D658" s="5">
        <v>45071</v>
      </c>
      <c r="E658" s="5">
        <v>45076</v>
      </c>
      <c r="F658" s="2" t="s">
        <v>12</v>
      </c>
      <c r="G658" s="2" t="s">
        <v>22</v>
      </c>
      <c r="H658" s="2" t="s">
        <v>1223</v>
      </c>
      <c r="I658" s="2" t="s">
        <v>17</v>
      </c>
      <c r="J658" s="2">
        <v>9.8000000000000007</v>
      </c>
      <c r="K658" s="2" t="str">
        <f t="shared" si="28"/>
        <v>&gt;5kg</v>
      </c>
      <c r="L658" s="2">
        <f>tdata[[#This Row],[Received_date]]-tdata[[#This Row],[Shipment_Date]]</f>
        <v>5</v>
      </c>
      <c r="M658" s="2">
        <f>VLOOKUP(tdata[[#This Row],[Service_Type]],Table2[#All],2,0)</f>
        <v>1</v>
      </c>
      <c r="N658" s="2" t="str">
        <f>IF(tdata[[#This Row],[Delivery_Days]]&lt;=tdata[[#This Row],[SLA_Days]],"On Time","Late")</f>
        <v>Late</v>
      </c>
      <c r="O658" s="2">
        <f>VLOOKUP(tdata[[#This Row],[Service_Type]],Table2[#All],4,0)</f>
        <v>12000</v>
      </c>
      <c r="P658" s="2">
        <f>tdata[[#This Row],[price_per_kilo]]*tdata[[#This Row],[Weight_KG]]</f>
        <v>117600.00000000001</v>
      </c>
      <c r="Q658" s="2" t="str">
        <f>VLOOKUP(tdata[[#This Row],[id_employee]],temployee[#All],2,0)</f>
        <v>Edi Kurniawan</v>
      </c>
      <c r="R658" s="2" t="str">
        <f>VLOOKUP(tdata[[#This Row],[id_employee]],temployee[#All],4,0)</f>
        <v>internal</v>
      </c>
      <c r="S658" s="9" t="str">
        <f>VLOOKUP(tdata[[#This Row],[id_employee]],temployee[#All],5,0)</f>
        <v>driver</v>
      </c>
    </row>
    <row r="659" spans="2:19" x14ac:dyDescent="0.35">
      <c r="B659" s="8" t="s">
        <v>678</v>
      </c>
      <c r="C659" s="2" t="s">
        <v>1328</v>
      </c>
      <c r="D659" s="5">
        <v>45383</v>
      </c>
      <c r="E659" s="5">
        <f>D659+4</f>
        <v>45387</v>
      </c>
      <c r="F659" s="2" t="s">
        <v>30</v>
      </c>
      <c r="G659" s="2" t="s">
        <v>12</v>
      </c>
      <c r="H659" s="2" t="s">
        <v>1224</v>
      </c>
      <c r="I659" s="2" t="s">
        <v>13</v>
      </c>
      <c r="J659" s="2">
        <v>9.99</v>
      </c>
      <c r="K659" s="2" t="str">
        <f t="shared" si="28"/>
        <v>&gt;5kg</v>
      </c>
      <c r="L659" s="2">
        <f>tdata[[#This Row],[Received_date]]-tdata[[#This Row],[Shipment_Date]]</f>
        <v>4</v>
      </c>
      <c r="M659" s="2">
        <f>VLOOKUP(tdata[[#This Row],[Service_Type]],Table2[#All],2,0)</f>
        <v>3</v>
      </c>
      <c r="N659" s="2" t="str">
        <f>IF(tdata[[#This Row],[Delivery_Days]]&lt;=tdata[[#This Row],[SLA_Days]],"On Time","Late")</f>
        <v>Late</v>
      </c>
      <c r="O659" s="2">
        <f>VLOOKUP(tdata[[#This Row],[Service_Type]],Table2[#All],4,0)</f>
        <v>10000</v>
      </c>
      <c r="P659" s="2">
        <f>tdata[[#This Row],[price_per_kilo]]*tdata[[#This Row],[Weight_KG]]</f>
        <v>99900</v>
      </c>
      <c r="Q659" s="2" t="str">
        <f>VLOOKUP(tdata[[#This Row],[id_employee]],temployee[#All],2,0)</f>
        <v>Farah Nabila</v>
      </c>
      <c r="R659" s="2" t="str">
        <f>VLOOKUP(tdata[[#This Row],[id_employee]],temployee[#All],4,0)</f>
        <v>crowd source</v>
      </c>
      <c r="S659" s="9" t="str">
        <f>VLOOKUP(tdata[[#This Row],[id_employee]],temployee[#All],5,0)</f>
        <v>rider</v>
      </c>
    </row>
    <row r="660" spans="2:19" x14ac:dyDescent="0.35">
      <c r="B660" s="8" t="s">
        <v>679</v>
      </c>
      <c r="C660" s="2" t="s">
        <v>1329</v>
      </c>
      <c r="D660" s="5">
        <v>45494</v>
      </c>
      <c r="E660" s="5">
        <v>45499</v>
      </c>
      <c r="F660" s="2" t="s">
        <v>32</v>
      </c>
      <c r="G660" s="2" t="s">
        <v>49</v>
      </c>
      <c r="H660" s="2" t="s">
        <v>1224</v>
      </c>
      <c r="I660" s="2" t="s">
        <v>17</v>
      </c>
      <c r="J660" s="2">
        <v>6.79</v>
      </c>
      <c r="K660" s="2" t="str">
        <f t="shared" si="28"/>
        <v>&gt;5kg</v>
      </c>
      <c r="L660" s="2">
        <f>tdata[[#This Row],[Received_date]]-tdata[[#This Row],[Shipment_Date]]</f>
        <v>5</v>
      </c>
      <c r="M660" s="2">
        <f>VLOOKUP(tdata[[#This Row],[Service_Type]],Table2[#All],2,0)</f>
        <v>3</v>
      </c>
      <c r="N660" s="2" t="str">
        <f>IF(tdata[[#This Row],[Delivery_Days]]&lt;=tdata[[#This Row],[SLA_Days]],"On Time","Late")</f>
        <v>Late</v>
      </c>
      <c r="O660" s="2">
        <f>VLOOKUP(tdata[[#This Row],[Service_Type]],Table2[#All],4,0)</f>
        <v>10000</v>
      </c>
      <c r="P660" s="2">
        <f>tdata[[#This Row],[price_per_kilo]]*tdata[[#This Row],[Weight_KG]]</f>
        <v>67900</v>
      </c>
      <c r="Q660" s="2" t="str">
        <f>VLOOKUP(tdata[[#This Row],[id_employee]],temployee[#All],2,0)</f>
        <v>Galih Pratomo</v>
      </c>
      <c r="R660" s="2" t="str">
        <f>VLOOKUP(tdata[[#This Row],[id_employee]],temployee[#All],4,0)</f>
        <v>internal</v>
      </c>
      <c r="S660" s="9" t="str">
        <f>VLOOKUP(tdata[[#This Row],[id_employee]],temployee[#All],5,0)</f>
        <v>rider</v>
      </c>
    </row>
    <row r="661" spans="2:19" x14ac:dyDescent="0.35">
      <c r="B661" s="8" t="s">
        <v>680</v>
      </c>
      <c r="C661" s="2" t="s">
        <v>1330</v>
      </c>
      <c r="D661" s="5">
        <v>45406</v>
      </c>
      <c r="E661" s="5">
        <v>45412</v>
      </c>
      <c r="F661" s="2" t="s">
        <v>16</v>
      </c>
      <c r="G661" s="2" t="s">
        <v>49</v>
      </c>
      <c r="H661" s="2" t="s">
        <v>1224</v>
      </c>
      <c r="I661" s="2" t="s">
        <v>17</v>
      </c>
      <c r="J661" s="2">
        <v>3.13</v>
      </c>
      <c r="K661" s="2" t="str">
        <f t="shared" si="28"/>
        <v>&lt; 5kg</v>
      </c>
      <c r="L661" s="2">
        <f>tdata[[#This Row],[Received_date]]-tdata[[#This Row],[Shipment_Date]]</f>
        <v>6</v>
      </c>
      <c r="M661" s="2">
        <f>VLOOKUP(tdata[[#This Row],[Service_Type]],Table2[#All],2,0)</f>
        <v>3</v>
      </c>
      <c r="N661" s="2" t="str">
        <f>IF(tdata[[#This Row],[Delivery_Days]]&lt;=tdata[[#This Row],[SLA_Days]],"On Time","Late")</f>
        <v>Late</v>
      </c>
      <c r="O661" s="2">
        <f>VLOOKUP(tdata[[#This Row],[Service_Type]],Table2[#All],4,0)</f>
        <v>10000</v>
      </c>
      <c r="P661" s="2">
        <f>tdata[[#This Row],[price_per_kilo]]*tdata[[#This Row],[Weight_KG]]</f>
        <v>31300</v>
      </c>
      <c r="Q661" s="2" t="str">
        <f>VLOOKUP(tdata[[#This Row],[id_employee]],temployee[#All],2,0)</f>
        <v>Hadi Purnomo</v>
      </c>
      <c r="R661" s="2" t="str">
        <f>VLOOKUP(tdata[[#This Row],[id_employee]],temployee[#All],4,0)</f>
        <v>crowd source</v>
      </c>
      <c r="S661" s="9" t="str">
        <f>VLOOKUP(tdata[[#This Row],[id_employee]],temployee[#All],5,0)</f>
        <v>driver</v>
      </c>
    </row>
    <row r="662" spans="2:19" x14ac:dyDescent="0.35">
      <c r="B662" s="8" t="s">
        <v>681</v>
      </c>
      <c r="C662" s="2" t="s">
        <v>1331</v>
      </c>
      <c r="D662" s="5">
        <v>45244</v>
      </c>
      <c r="E662" s="5">
        <v>45253</v>
      </c>
      <c r="F662" s="2" t="s">
        <v>26</v>
      </c>
      <c r="G662" s="2" t="s">
        <v>26</v>
      </c>
      <c r="H662" s="2" t="s">
        <v>1224</v>
      </c>
      <c r="I662" s="2" t="s">
        <v>13</v>
      </c>
      <c r="J662" s="2">
        <v>4.51</v>
      </c>
      <c r="K662" s="2" t="str">
        <f t="shared" si="28"/>
        <v>&lt; 5kg</v>
      </c>
      <c r="L662" s="2">
        <f>tdata[[#This Row],[Received_date]]-tdata[[#This Row],[Shipment_Date]]</f>
        <v>9</v>
      </c>
      <c r="M662" s="2">
        <f>VLOOKUP(tdata[[#This Row],[Service_Type]],Table2[#All],2,0)</f>
        <v>3</v>
      </c>
      <c r="N662" s="2" t="str">
        <f>IF(tdata[[#This Row],[Delivery_Days]]&lt;=tdata[[#This Row],[SLA_Days]],"On Time","Late")</f>
        <v>Late</v>
      </c>
      <c r="O662" s="2">
        <f>VLOOKUP(tdata[[#This Row],[Service_Type]],Table2[#All],4,0)</f>
        <v>10000</v>
      </c>
      <c r="P662" s="2">
        <f>tdata[[#This Row],[price_per_kilo]]*tdata[[#This Row],[Weight_KG]]</f>
        <v>45100</v>
      </c>
      <c r="Q662" s="2" t="str">
        <f>VLOOKUP(tdata[[#This Row],[id_employee]],temployee[#All],2,0)</f>
        <v>Ika Lestari</v>
      </c>
      <c r="R662" s="2" t="str">
        <f>VLOOKUP(tdata[[#This Row],[id_employee]],temployee[#All],4,0)</f>
        <v>internal</v>
      </c>
      <c r="S662" s="9" t="str">
        <f>VLOOKUP(tdata[[#This Row],[id_employee]],temployee[#All],5,0)</f>
        <v>rider</v>
      </c>
    </row>
    <row r="663" spans="2:19" x14ac:dyDescent="0.35">
      <c r="B663" s="8" t="s">
        <v>682</v>
      </c>
      <c r="C663" s="2" t="s">
        <v>1332</v>
      </c>
      <c r="D663" s="5">
        <v>45225</v>
      </c>
      <c r="E663" s="5">
        <v>45232</v>
      </c>
      <c r="F663" s="2" t="s">
        <v>49</v>
      </c>
      <c r="G663" s="2" t="s">
        <v>32</v>
      </c>
      <c r="H663" s="2" t="s">
        <v>23</v>
      </c>
      <c r="I663" s="2" t="s">
        <v>17</v>
      </c>
      <c r="J663" s="2">
        <v>2.83</v>
      </c>
      <c r="K663" s="2" t="str">
        <f t="shared" si="28"/>
        <v>&lt; 5kg</v>
      </c>
      <c r="L663" s="2">
        <f>tdata[[#This Row],[Received_date]]-tdata[[#This Row],[Shipment_Date]]</f>
        <v>7</v>
      </c>
      <c r="M663" s="2">
        <f>VLOOKUP(tdata[[#This Row],[Service_Type]],Table2[#All],2,0)</f>
        <v>5</v>
      </c>
      <c r="N663" s="2" t="str">
        <f>IF(tdata[[#This Row],[Delivery_Days]]&lt;=tdata[[#This Row],[SLA_Days]],"On Time","Late")</f>
        <v>Late</v>
      </c>
      <c r="O663" s="2">
        <f>VLOOKUP(tdata[[#This Row],[Service_Type]],Table2[#All],4,0)</f>
        <v>9000</v>
      </c>
      <c r="P663" s="2">
        <f>tdata[[#This Row],[price_per_kilo]]*tdata[[#This Row],[Weight_KG]]</f>
        <v>25470</v>
      </c>
      <c r="Q663" s="2" t="str">
        <f>VLOOKUP(tdata[[#This Row],[id_employee]],temployee[#All],2,0)</f>
        <v>Jamil Akbar</v>
      </c>
      <c r="R663" s="2" t="str">
        <f>VLOOKUP(tdata[[#This Row],[id_employee]],temployee[#All],4,0)</f>
        <v>internal</v>
      </c>
      <c r="S663" s="9" t="str">
        <f>VLOOKUP(tdata[[#This Row],[id_employee]],temployee[#All],5,0)</f>
        <v>driver</v>
      </c>
    </row>
    <row r="664" spans="2:19" x14ac:dyDescent="0.35">
      <c r="B664" s="8" t="s">
        <v>683</v>
      </c>
      <c r="C664" s="2" t="s">
        <v>1333</v>
      </c>
      <c r="D664" s="5">
        <v>45437</v>
      </c>
      <c r="E664" s="5">
        <v>45437</v>
      </c>
      <c r="F664" s="2" t="s">
        <v>11</v>
      </c>
      <c r="G664" s="2" t="s">
        <v>12</v>
      </c>
      <c r="H664" s="2" t="s">
        <v>1224</v>
      </c>
      <c r="I664" s="2" t="s">
        <v>13</v>
      </c>
      <c r="J664" s="2">
        <v>2.15</v>
      </c>
      <c r="K664" s="2" t="str">
        <f t="shared" si="28"/>
        <v>&lt; 5kg</v>
      </c>
      <c r="L664" s="2">
        <f>tdata[[#This Row],[Received_date]]-tdata[[#This Row],[Shipment_Date]]</f>
        <v>0</v>
      </c>
      <c r="M664" s="2">
        <f>VLOOKUP(tdata[[#This Row],[Service_Type]],Table2[#All],2,0)</f>
        <v>3</v>
      </c>
      <c r="N664" s="2" t="str">
        <f>IF(tdata[[#This Row],[Delivery_Days]]&lt;=tdata[[#This Row],[SLA_Days]],"On Time","Late")</f>
        <v>On Time</v>
      </c>
      <c r="O664" s="2">
        <f>VLOOKUP(tdata[[#This Row],[Service_Type]],Table2[#All],4,0)</f>
        <v>10000</v>
      </c>
      <c r="P664" s="2">
        <f>tdata[[#This Row],[price_per_kilo]]*tdata[[#This Row],[Weight_KG]]</f>
        <v>21500</v>
      </c>
      <c r="Q664" s="2" t="str">
        <f>VLOOKUP(tdata[[#This Row],[id_employee]],temployee[#All],2,0)</f>
        <v>Kevin Sanjaya</v>
      </c>
      <c r="R664" s="2" t="str">
        <f>VLOOKUP(tdata[[#This Row],[id_employee]],temployee[#All],4,0)</f>
        <v>crowd source</v>
      </c>
      <c r="S664" s="9" t="str">
        <f>VLOOKUP(tdata[[#This Row],[id_employee]],temployee[#All],5,0)</f>
        <v>rider</v>
      </c>
    </row>
    <row r="665" spans="2:19" x14ac:dyDescent="0.35">
      <c r="B665" s="8" t="s">
        <v>684</v>
      </c>
      <c r="C665" s="2" t="s">
        <v>1334</v>
      </c>
      <c r="D665" s="5">
        <v>45120</v>
      </c>
      <c r="E665" s="5">
        <f>D665+4</f>
        <v>45124</v>
      </c>
      <c r="F665" s="2" t="s">
        <v>15</v>
      </c>
      <c r="G665" s="2" t="s">
        <v>11</v>
      </c>
      <c r="H665" s="2" t="s">
        <v>1224</v>
      </c>
      <c r="I665" s="2" t="s">
        <v>17</v>
      </c>
      <c r="J665" s="2">
        <v>7.81</v>
      </c>
      <c r="K665" s="2" t="str">
        <f t="shared" si="28"/>
        <v>&gt;5kg</v>
      </c>
      <c r="L665" s="2">
        <f>tdata[[#This Row],[Received_date]]-tdata[[#This Row],[Shipment_Date]]</f>
        <v>4</v>
      </c>
      <c r="M665" s="2">
        <f>VLOOKUP(tdata[[#This Row],[Service_Type]],Table2[#All],2,0)</f>
        <v>3</v>
      </c>
      <c r="N665" s="2" t="str">
        <f>IF(tdata[[#This Row],[Delivery_Days]]&lt;=tdata[[#This Row],[SLA_Days]],"On Time","Late")</f>
        <v>Late</v>
      </c>
      <c r="O665" s="2">
        <f>VLOOKUP(tdata[[#This Row],[Service_Type]],Table2[#All],4,0)</f>
        <v>10000</v>
      </c>
      <c r="P665" s="2">
        <f>tdata[[#This Row],[price_per_kilo]]*tdata[[#This Row],[Weight_KG]]</f>
        <v>78100</v>
      </c>
      <c r="Q665" s="2" t="str">
        <f>VLOOKUP(tdata[[#This Row],[id_employee]],temployee[#All],2,0)</f>
        <v>Laila Nuraini</v>
      </c>
      <c r="R665" s="2" t="str">
        <f>VLOOKUP(tdata[[#This Row],[id_employee]],temployee[#All],4,0)</f>
        <v>internal</v>
      </c>
      <c r="S665" s="9" t="str">
        <f>VLOOKUP(tdata[[#This Row],[id_employee]],temployee[#All],5,0)</f>
        <v>rider</v>
      </c>
    </row>
    <row r="666" spans="2:19" x14ac:dyDescent="0.35">
      <c r="B666" s="8" t="s">
        <v>685</v>
      </c>
      <c r="C666" s="2" t="s">
        <v>1335</v>
      </c>
      <c r="D666" s="5">
        <v>45392</v>
      </c>
      <c r="E666" s="5">
        <v>45392</v>
      </c>
      <c r="F666" s="2" t="s">
        <v>20</v>
      </c>
      <c r="G666" s="2" t="s">
        <v>16</v>
      </c>
      <c r="H666" s="2" t="s">
        <v>23</v>
      </c>
      <c r="I666" s="2" t="s">
        <v>13</v>
      </c>
      <c r="J666" s="2">
        <v>4.7699999999999996</v>
      </c>
      <c r="K666" s="2" t="str">
        <f t="shared" si="28"/>
        <v>&lt; 5kg</v>
      </c>
      <c r="L666" s="2">
        <f>tdata[[#This Row],[Received_date]]-tdata[[#This Row],[Shipment_Date]]</f>
        <v>0</v>
      </c>
      <c r="M666" s="2">
        <f>VLOOKUP(tdata[[#This Row],[Service_Type]],Table2[#All],2,0)</f>
        <v>5</v>
      </c>
      <c r="N666" s="2" t="str">
        <f>IF(tdata[[#This Row],[Delivery_Days]]&lt;=tdata[[#This Row],[SLA_Days]],"On Time","Late")</f>
        <v>On Time</v>
      </c>
      <c r="O666" s="2">
        <f>VLOOKUP(tdata[[#This Row],[Service_Type]],Table2[#All],4,0)</f>
        <v>9000</v>
      </c>
      <c r="P666" s="2">
        <f>tdata[[#This Row],[price_per_kilo]]*tdata[[#This Row],[Weight_KG]]</f>
        <v>42929.999999999993</v>
      </c>
      <c r="Q666" s="2" t="str">
        <f>VLOOKUP(tdata[[#This Row],[id_employee]],temployee[#All],2,0)</f>
        <v>Miko Setiawan</v>
      </c>
      <c r="R666" s="2" t="str">
        <f>VLOOKUP(tdata[[#This Row],[id_employee]],temployee[#All],4,0)</f>
        <v>crowd source</v>
      </c>
      <c r="S666" s="9" t="str">
        <f>VLOOKUP(tdata[[#This Row],[id_employee]],temployee[#All],5,0)</f>
        <v>driver</v>
      </c>
    </row>
    <row r="667" spans="2:19" x14ac:dyDescent="0.35">
      <c r="B667" s="8" t="s">
        <v>686</v>
      </c>
      <c r="C667" s="2" t="s">
        <v>1336</v>
      </c>
      <c r="D667" s="5">
        <v>45400</v>
      </c>
      <c r="E667" s="5">
        <f>D667+4</f>
        <v>45404</v>
      </c>
      <c r="F667" s="2" t="s">
        <v>22</v>
      </c>
      <c r="G667" s="2" t="s">
        <v>11</v>
      </c>
      <c r="H667" s="2" t="s">
        <v>23</v>
      </c>
      <c r="I667" s="2" t="s">
        <v>13</v>
      </c>
      <c r="J667" s="2">
        <v>7.77</v>
      </c>
      <c r="K667" s="2" t="str">
        <f t="shared" si="28"/>
        <v>&gt;5kg</v>
      </c>
      <c r="L667" s="2">
        <f>tdata[[#This Row],[Received_date]]-tdata[[#This Row],[Shipment_Date]]</f>
        <v>4</v>
      </c>
      <c r="M667" s="2">
        <f>VLOOKUP(tdata[[#This Row],[Service_Type]],Table2[#All],2,0)</f>
        <v>5</v>
      </c>
      <c r="N667" s="2" t="str">
        <f>IF(tdata[[#This Row],[Delivery_Days]]&lt;=tdata[[#This Row],[SLA_Days]],"On Time","Late")</f>
        <v>On Time</v>
      </c>
      <c r="O667" s="2">
        <f>VLOOKUP(tdata[[#This Row],[Service_Type]],Table2[#All],4,0)</f>
        <v>9000</v>
      </c>
      <c r="P667" s="2">
        <f>tdata[[#This Row],[price_per_kilo]]*tdata[[#This Row],[Weight_KG]]</f>
        <v>69930</v>
      </c>
      <c r="Q667" s="2" t="str">
        <f>VLOOKUP(tdata[[#This Row],[id_employee]],temployee[#All],2,0)</f>
        <v>Nisa Aulia</v>
      </c>
      <c r="R667" s="2" t="str">
        <f>VLOOKUP(tdata[[#This Row],[id_employee]],temployee[#All],4,0)</f>
        <v>internal</v>
      </c>
      <c r="S667" s="9" t="str">
        <f>VLOOKUP(tdata[[#This Row],[id_employee]],temployee[#All],5,0)</f>
        <v>rider</v>
      </c>
    </row>
    <row r="668" spans="2:19" x14ac:dyDescent="0.35">
      <c r="B668" s="8" t="s">
        <v>687</v>
      </c>
      <c r="C668" s="2" t="s">
        <v>1337</v>
      </c>
      <c r="D668" s="5">
        <v>45544</v>
      </c>
      <c r="E668" s="5">
        <v>45547</v>
      </c>
      <c r="F668" s="2" t="s">
        <v>12</v>
      </c>
      <c r="G668" s="2" t="s">
        <v>30</v>
      </c>
      <c r="H668" s="2" t="s">
        <v>1224</v>
      </c>
      <c r="I668" s="2" t="s">
        <v>17</v>
      </c>
      <c r="J668" s="2">
        <v>7.65</v>
      </c>
      <c r="K668" s="2" t="str">
        <f t="shared" si="28"/>
        <v>&gt;5kg</v>
      </c>
      <c r="L668" s="2">
        <f>tdata[[#This Row],[Received_date]]-tdata[[#This Row],[Shipment_Date]]</f>
        <v>3</v>
      </c>
      <c r="M668" s="2">
        <f>VLOOKUP(tdata[[#This Row],[Service_Type]],Table2[#All],2,0)</f>
        <v>3</v>
      </c>
      <c r="N668" s="2" t="str">
        <f>IF(tdata[[#This Row],[Delivery_Days]]&lt;=tdata[[#This Row],[SLA_Days]],"On Time","Late")</f>
        <v>On Time</v>
      </c>
      <c r="O668" s="2">
        <f>VLOOKUP(tdata[[#This Row],[Service_Type]],Table2[#All],4,0)</f>
        <v>10000</v>
      </c>
      <c r="P668" s="2">
        <f>tdata[[#This Row],[price_per_kilo]]*tdata[[#This Row],[Weight_KG]]</f>
        <v>76500</v>
      </c>
      <c r="Q668" s="2" t="str">
        <f>VLOOKUP(tdata[[#This Row],[id_employee]],temployee[#All],2,0)</f>
        <v>Oki Pramono</v>
      </c>
      <c r="R668" s="2" t="str">
        <f>VLOOKUP(tdata[[#This Row],[id_employee]],temployee[#All],4,0)</f>
        <v>internal</v>
      </c>
      <c r="S668" s="9" t="str">
        <f>VLOOKUP(tdata[[#This Row],[id_employee]],temployee[#All],5,0)</f>
        <v>driver</v>
      </c>
    </row>
    <row r="669" spans="2:19" x14ac:dyDescent="0.35">
      <c r="B669" s="8" t="s">
        <v>688</v>
      </c>
      <c r="C669" s="2" t="s">
        <v>1338</v>
      </c>
      <c r="D669" s="5">
        <v>45367</v>
      </c>
      <c r="E669" s="5">
        <v>45372</v>
      </c>
      <c r="F669" s="2" t="s">
        <v>30</v>
      </c>
      <c r="G669" s="2" t="s">
        <v>30</v>
      </c>
      <c r="H669" s="2" t="s">
        <v>1224</v>
      </c>
      <c r="I669" s="2" t="s">
        <v>13</v>
      </c>
      <c r="J669" s="2">
        <v>3.24</v>
      </c>
      <c r="K669" s="2" t="str">
        <f t="shared" si="28"/>
        <v>&lt; 5kg</v>
      </c>
      <c r="L669" s="2">
        <f>tdata[[#This Row],[Received_date]]-tdata[[#This Row],[Shipment_Date]]</f>
        <v>5</v>
      </c>
      <c r="M669" s="2">
        <f>VLOOKUP(tdata[[#This Row],[Service_Type]],Table2[#All],2,0)</f>
        <v>3</v>
      </c>
      <c r="N669" s="2" t="str">
        <f>IF(tdata[[#This Row],[Delivery_Days]]&lt;=tdata[[#This Row],[SLA_Days]],"On Time","Late")</f>
        <v>Late</v>
      </c>
      <c r="O669" s="2">
        <f>VLOOKUP(tdata[[#This Row],[Service_Type]],Table2[#All],4,0)</f>
        <v>10000</v>
      </c>
      <c r="P669" s="2">
        <f>tdata[[#This Row],[price_per_kilo]]*tdata[[#This Row],[Weight_KG]]</f>
        <v>32400.000000000004</v>
      </c>
      <c r="Q669" s="2" t="str">
        <f>VLOOKUP(tdata[[#This Row],[id_employee]],temployee[#All],2,0)</f>
        <v>Putra Mahendra</v>
      </c>
      <c r="R669" s="2" t="str">
        <f>VLOOKUP(tdata[[#This Row],[id_employee]],temployee[#All],4,0)</f>
        <v>crowd source</v>
      </c>
      <c r="S669" s="9" t="str">
        <f>VLOOKUP(tdata[[#This Row],[id_employee]],temployee[#All],5,0)</f>
        <v>rider</v>
      </c>
    </row>
    <row r="670" spans="2:19" x14ac:dyDescent="0.35">
      <c r="B670" s="8" t="s">
        <v>689</v>
      </c>
      <c r="C670" s="2" t="s">
        <v>1339</v>
      </c>
      <c r="D670" s="5">
        <v>44939</v>
      </c>
      <c r="E670" s="5">
        <v>44944</v>
      </c>
      <c r="F670" s="2" t="s">
        <v>32</v>
      </c>
      <c r="G670" s="2" t="s">
        <v>12</v>
      </c>
      <c r="H670" s="2" t="s">
        <v>1224</v>
      </c>
      <c r="I670" s="2" t="s">
        <v>13</v>
      </c>
      <c r="J670" s="2">
        <v>2.5099999999999998</v>
      </c>
      <c r="K670" s="2" t="str">
        <f t="shared" si="28"/>
        <v>&lt; 5kg</v>
      </c>
      <c r="L670" s="2">
        <f>tdata[[#This Row],[Received_date]]-tdata[[#This Row],[Shipment_Date]]</f>
        <v>5</v>
      </c>
      <c r="M670" s="2">
        <f>VLOOKUP(tdata[[#This Row],[Service_Type]],Table2[#All],2,0)</f>
        <v>3</v>
      </c>
      <c r="N670" s="2" t="str">
        <f>IF(tdata[[#This Row],[Delivery_Days]]&lt;=tdata[[#This Row],[SLA_Days]],"On Time","Late")</f>
        <v>Late</v>
      </c>
      <c r="O670" s="2">
        <f>VLOOKUP(tdata[[#This Row],[Service_Type]],Table2[#All],4,0)</f>
        <v>10000</v>
      </c>
      <c r="P670" s="2">
        <f>tdata[[#This Row],[price_per_kilo]]*tdata[[#This Row],[Weight_KG]]</f>
        <v>25099.999999999996</v>
      </c>
      <c r="Q670" s="2" t="str">
        <f>VLOOKUP(tdata[[#This Row],[id_employee]],temployee[#All],2,0)</f>
        <v>Qolbi Ramadhani</v>
      </c>
      <c r="R670" s="2" t="str">
        <f>VLOOKUP(tdata[[#This Row],[id_employee]],temployee[#All],4,0)</f>
        <v>internal</v>
      </c>
      <c r="S670" s="9" t="str">
        <f>VLOOKUP(tdata[[#This Row],[id_employee]],temployee[#All],5,0)</f>
        <v>rider</v>
      </c>
    </row>
    <row r="671" spans="2:19" x14ac:dyDescent="0.35">
      <c r="B671" s="8" t="s">
        <v>690</v>
      </c>
      <c r="C671" s="2" t="s">
        <v>1340</v>
      </c>
      <c r="D671" s="5">
        <v>45077</v>
      </c>
      <c r="E671" s="5">
        <v>45079</v>
      </c>
      <c r="F671" s="2" t="s">
        <v>16</v>
      </c>
      <c r="G671" s="2" t="s">
        <v>20</v>
      </c>
      <c r="H671" s="2" t="s">
        <v>1224</v>
      </c>
      <c r="I671" s="2" t="s">
        <v>13</v>
      </c>
      <c r="J671" s="2">
        <v>1.87</v>
      </c>
      <c r="K671" s="2" t="str">
        <f t="shared" si="28"/>
        <v>&lt; 5kg</v>
      </c>
      <c r="L671" s="2">
        <f>tdata[[#This Row],[Received_date]]-tdata[[#This Row],[Shipment_Date]]</f>
        <v>2</v>
      </c>
      <c r="M671" s="2">
        <f>VLOOKUP(tdata[[#This Row],[Service_Type]],Table2[#All],2,0)</f>
        <v>3</v>
      </c>
      <c r="N671" s="2" t="str">
        <f>IF(tdata[[#This Row],[Delivery_Days]]&lt;=tdata[[#This Row],[SLA_Days]],"On Time","Late")</f>
        <v>On Time</v>
      </c>
      <c r="O671" s="2">
        <f>VLOOKUP(tdata[[#This Row],[Service_Type]],Table2[#All],4,0)</f>
        <v>10000</v>
      </c>
      <c r="P671" s="2">
        <f>tdata[[#This Row],[price_per_kilo]]*tdata[[#This Row],[Weight_KG]]</f>
        <v>18700</v>
      </c>
      <c r="Q671" s="2" t="str">
        <f>VLOOKUP(tdata[[#This Row],[id_employee]],temployee[#All],2,0)</f>
        <v>Reza Firmansyah</v>
      </c>
      <c r="R671" s="2" t="str">
        <f>VLOOKUP(tdata[[#This Row],[id_employee]],temployee[#All],4,0)</f>
        <v>crowd source</v>
      </c>
      <c r="S671" s="9" t="str">
        <f>VLOOKUP(tdata[[#This Row],[id_employee]],temployee[#All],5,0)</f>
        <v>driver</v>
      </c>
    </row>
    <row r="672" spans="2:19" x14ac:dyDescent="0.35">
      <c r="B672" s="8" t="s">
        <v>691</v>
      </c>
      <c r="C672" s="2" t="s">
        <v>1341</v>
      </c>
      <c r="D672" s="5">
        <v>45501</v>
      </c>
      <c r="E672" s="5">
        <v>45502</v>
      </c>
      <c r="F672" s="2" t="s">
        <v>26</v>
      </c>
      <c r="G672" s="2" t="s">
        <v>11</v>
      </c>
      <c r="H672" s="2" t="s">
        <v>23</v>
      </c>
      <c r="I672" s="2" t="s">
        <v>17</v>
      </c>
      <c r="J672" s="2">
        <v>4.1900000000000004</v>
      </c>
      <c r="K672" s="2" t="str">
        <f t="shared" si="28"/>
        <v>&lt; 5kg</v>
      </c>
      <c r="L672" s="2">
        <f>tdata[[#This Row],[Received_date]]-tdata[[#This Row],[Shipment_Date]]</f>
        <v>1</v>
      </c>
      <c r="M672" s="2">
        <f>VLOOKUP(tdata[[#This Row],[Service_Type]],Table2[#All],2,0)</f>
        <v>5</v>
      </c>
      <c r="N672" s="2" t="str">
        <f>IF(tdata[[#This Row],[Delivery_Days]]&lt;=tdata[[#This Row],[SLA_Days]],"On Time","Late")</f>
        <v>On Time</v>
      </c>
      <c r="O672" s="2">
        <f>VLOOKUP(tdata[[#This Row],[Service_Type]],Table2[#All],4,0)</f>
        <v>9000</v>
      </c>
      <c r="P672" s="2">
        <f>tdata[[#This Row],[price_per_kilo]]*tdata[[#This Row],[Weight_KG]]</f>
        <v>37710</v>
      </c>
      <c r="Q672" s="2" t="str">
        <f>VLOOKUP(tdata[[#This Row],[id_employee]],temployee[#All],2,0)</f>
        <v>Siska Amelia</v>
      </c>
      <c r="R672" s="2" t="str">
        <f>VLOOKUP(tdata[[#This Row],[id_employee]],temployee[#All],4,0)</f>
        <v>internal</v>
      </c>
      <c r="S672" s="9" t="str">
        <f>VLOOKUP(tdata[[#This Row],[id_employee]],temployee[#All],5,0)</f>
        <v>rider</v>
      </c>
    </row>
    <row r="673" spans="2:19" x14ac:dyDescent="0.35">
      <c r="B673" s="8" t="s">
        <v>692</v>
      </c>
      <c r="C673" s="2" t="s">
        <v>1342</v>
      </c>
      <c r="D673" s="5">
        <v>44983</v>
      </c>
      <c r="E673" s="5">
        <v>44989</v>
      </c>
      <c r="F673" s="2" t="s">
        <v>49</v>
      </c>
      <c r="G673" s="2" t="s">
        <v>32</v>
      </c>
      <c r="H673" s="2" t="s">
        <v>1223</v>
      </c>
      <c r="I673" s="2" t="s">
        <v>17</v>
      </c>
      <c r="J673" s="2">
        <v>8.92</v>
      </c>
      <c r="K673" s="2" t="str">
        <f t="shared" si="28"/>
        <v>&gt;5kg</v>
      </c>
      <c r="L673" s="2">
        <f>tdata[[#This Row],[Received_date]]-tdata[[#This Row],[Shipment_Date]]</f>
        <v>6</v>
      </c>
      <c r="M673" s="2">
        <f>VLOOKUP(tdata[[#This Row],[Service_Type]],Table2[#All],2,0)</f>
        <v>1</v>
      </c>
      <c r="N673" s="2" t="str">
        <f>IF(tdata[[#This Row],[Delivery_Days]]&lt;=tdata[[#This Row],[SLA_Days]],"On Time","Late")</f>
        <v>Late</v>
      </c>
      <c r="O673" s="2">
        <f>VLOOKUP(tdata[[#This Row],[Service_Type]],Table2[#All],4,0)</f>
        <v>12000</v>
      </c>
      <c r="P673" s="2">
        <f>tdata[[#This Row],[price_per_kilo]]*tdata[[#This Row],[Weight_KG]]</f>
        <v>107040</v>
      </c>
      <c r="Q673" s="2" t="str">
        <f>VLOOKUP(tdata[[#This Row],[id_employee]],temployee[#All],2,0)</f>
        <v>Tri Wibowo</v>
      </c>
      <c r="R673" s="2" t="str">
        <f>VLOOKUP(tdata[[#This Row],[id_employee]],temployee[#All],4,0)</f>
        <v>internal</v>
      </c>
      <c r="S673" s="9" t="str">
        <f>VLOOKUP(tdata[[#This Row],[id_employee]],temployee[#All],5,0)</f>
        <v>driver</v>
      </c>
    </row>
    <row r="674" spans="2:19" x14ac:dyDescent="0.35">
      <c r="B674" s="8" t="s">
        <v>693</v>
      </c>
      <c r="C674" s="2" t="s">
        <v>1343</v>
      </c>
      <c r="D674" s="5">
        <v>44932</v>
      </c>
      <c r="E674" s="5">
        <f>D674+4</f>
        <v>44936</v>
      </c>
      <c r="F674" s="2" t="s">
        <v>11</v>
      </c>
      <c r="G674" s="2" t="s">
        <v>16</v>
      </c>
      <c r="H674" s="2" t="s">
        <v>1223</v>
      </c>
      <c r="I674" s="2" t="s">
        <v>13</v>
      </c>
      <c r="J674" s="2">
        <v>7.91</v>
      </c>
      <c r="K674" s="2" t="str">
        <f t="shared" si="28"/>
        <v>&gt;5kg</v>
      </c>
      <c r="L674" s="2">
        <f>tdata[[#This Row],[Received_date]]-tdata[[#This Row],[Shipment_Date]]</f>
        <v>4</v>
      </c>
      <c r="M674" s="2">
        <f>VLOOKUP(tdata[[#This Row],[Service_Type]],Table2[#All],2,0)</f>
        <v>1</v>
      </c>
      <c r="N674" s="2" t="str">
        <f>IF(tdata[[#This Row],[Delivery_Days]]&lt;=tdata[[#This Row],[SLA_Days]],"On Time","Late")</f>
        <v>Late</v>
      </c>
      <c r="O674" s="2">
        <f>VLOOKUP(tdata[[#This Row],[Service_Type]],Table2[#All],4,0)</f>
        <v>12000</v>
      </c>
      <c r="P674" s="2">
        <f>tdata[[#This Row],[price_per_kilo]]*tdata[[#This Row],[Weight_KG]]</f>
        <v>94920</v>
      </c>
      <c r="Q674" s="2" t="str">
        <f>VLOOKUP(tdata[[#This Row],[id_employee]],temployee[#All],2,0)</f>
        <v>Ubay Prakoso</v>
      </c>
      <c r="R674" s="2" t="str">
        <f>VLOOKUP(tdata[[#This Row],[id_employee]],temployee[#All],4,0)</f>
        <v>crowd source</v>
      </c>
      <c r="S674" s="9" t="str">
        <f>VLOOKUP(tdata[[#This Row],[id_employee]],temployee[#All],5,0)</f>
        <v>rider</v>
      </c>
    </row>
    <row r="675" spans="2:19" x14ac:dyDescent="0.35">
      <c r="B675" s="8" t="s">
        <v>694</v>
      </c>
      <c r="C675" s="2" t="s">
        <v>1344</v>
      </c>
      <c r="D675" s="5">
        <v>45234</v>
      </c>
      <c r="E675" s="5">
        <v>45241</v>
      </c>
      <c r="F675" s="2" t="s">
        <v>15</v>
      </c>
      <c r="G675" s="2" t="s">
        <v>26</v>
      </c>
      <c r="H675" s="2" t="s">
        <v>1223</v>
      </c>
      <c r="I675" s="2" t="s">
        <v>17</v>
      </c>
      <c r="J675" s="2">
        <v>10.42</v>
      </c>
      <c r="K675" s="2" t="str">
        <f t="shared" si="28"/>
        <v>&gt;5kg</v>
      </c>
      <c r="L675" s="2">
        <f>tdata[[#This Row],[Received_date]]-tdata[[#This Row],[Shipment_Date]]</f>
        <v>7</v>
      </c>
      <c r="M675" s="2">
        <f>VLOOKUP(tdata[[#This Row],[Service_Type]],Table2[#All],2,0)</f>
        <v>1</v>
      </c>
      <c r="N675" s="2" t="str">
        <f>IF(tdata[[#This Row],[Delivery_Days]]&lt;=tdata[[#This Row],[SLA_Days]],"On Time","Late")</f>
        <v>Late</v>
      </c>
      <c r="O675" s="2">
        <f>VLOOKUP(tdata[[#This Row],[Service_Type]],Table2[#All],4,0)</f>
        <v>12000</v>
      </c>
      <c r="P675" s="2">
        <f>tdata[[#This Row],[price_per_kilo]]*tdata[[#This Row],[Weight_KG]]</f>
        <v>125040</v>
      </c>
      <c r="Q675" s="2" t="str">
        <f>VLOOKUP(tdata[[#This Row],[id_employee]],temployee[#All],2,0)</f>
        <v>Vania Putri</v>
      </c>
      <c r="R675" s="2" t="str">
        <f>VLOOKUP(tdata[[#This Row],[id_employee]],temployee[#All],4,0)</f>
        <v>internal</v>
      </c>
      <c r="S675" s="9" t="str">
        <f>VLOOKUP(tdata[[#This Row],[id_employee]],temployee[#All],5,0)</f>
        <v>rider</v>
      </c>
    </row>
    <row r="676" spans="2:19" x14ac:dyDescent="0.35">
      <c r="B676" s="8" t="s">
        <v>695</v>
      </c>
      <c r="C676" s="2" t="s">
        <v>1345</v>
      </c>
      <c r="D676" s="5">
        <v>45530</v>
      </c>
      <c r="E676" s="5">
        <v>45532</v>
      </c>
      <c r="F676" s="2" t="s">
        <v>20</v>
      </c>
      <c r="G676" s="2" t="s">
        <v>32</v>
      </c>
      <c r="H676" s="2" t="s">
        <v>1224</v>
      </c>
      <c r="I676" s="2" t="s">
        <v>17</v>
      </c>
      <c r="J676" s="2">
        <v>10.16</v>
      </c>
      <c r="K676" s="2" t="str">
        <f t="shared" si="28"/>
        <v>&gt;5kg</v>
      </c>
      <c r="L676" s="2">
        <f>tdata[[#This Row],[Received_date]]-tdata[[#This Row],[Shipment_Date]]</f>
        <v>2</v>
      </c>
      <c r="M676" s="2">
        <f>VLOOKUP(tdata[[#This Row],[Service_Type]],Table2[#All],2,0)</f>
        <v>3</v>
      </c>
      <c r="N676" s="2" t="str">
        <f>IF(tdata[[#This Row],[Delivery_Days]]&lt;=tdata[[#This Row],[SLA_Days]],"On Time","Late")</f>
        <v>On Time</v>
      </c>
      <c r="O676" s="2">
        <f>VLOOKUP(tdata[[#This Row],[Service_Type]],Table2[#All],4,0)</f>
        <v>10000</v>
      </c>
      <c r="P676" s="2">
        <f>tdata[[#This Row],[price_per_kilo]]*tdata[[#This Row],[Weight_KG]]</f>
        <v>101600</v>
      </c>
      <c r="Q676" s="2" t="str">
        <f>VLOOKUP(tdata[[#This Row],[id_employee]],temployee[#All],2,0)</f>
        <v>Wira Nugraha</v>
      </c>
      <c r="R676" s="2" t="str">
        <f>VLOOKUP(tdata[[#This Row],[id_employee]],temployee[#All],4,0)</f>
        <v>internal</v>
      </c>
      <c r="S676" s="9" t="str">
        <f>VLOOKUP(tdata[[#This Row],[id_employee]],temployee[#All],5,0)</f>
        <v>driver</v>
      </c>
    </row>
    <row r="677" spans="2:19" x14ac:dyDescent="0.35">
      <c r="B677" s="8" t="s">
        <v>696</v>
      </c>
      <c r="C677" s="2" t="s">
        <v>1346</v>
      </c>
      <c r="D677" s="5">
        <v>45147</v>
      </c>
      <c r="E677" s="5">
        <v>45152</v>
      </c>
      <c r="F677" s="2" t="s">
        <v>22</v>
      </c>
      <c r="G677" s="2" t="s">
        <v>20</v>
      </c>
      <c r="H677" s="2" t="s">
        <v>23</v>
      </c>
      <c r="I677" s="2" t="s">
        <v>13</v>
      </c>
      <c r="J677" s="2">
        <v>10.23</v>
      </c>
      <c r="K677" s="2" t="str">
        <f t="shared" si="28"/>
        <v>&gt;5kg</v>
      </c>
      <c r="L677" s="2">
        <f>tdata[[#This Row],[Received_date]]-tdata[[#This Row],[Shipment_Date]]</f>
        <v>5</v>
      </c>
      <c r="M677" s="2">
        <f>VLOOKUP(tdata[[#This Row],[Service_Type]],Table2[#All],2,0)</f>
        <v>5</v>
      </c>
      <c r="N677" s="2" t="str">
        <f>IF(tdata[[#This Row],[Delivery_Days]]&lt;=tdata[[#This Row],[SLA_Days]],"On Time","Late")</f>
        <v>On Time</v>
      </c>
      <c r="O677" s="2">
        <f>VLOOKUP(tdata[[#This Row],[Service_Type]],Table2[#All],4,0)</f>
        <v>9000</v>
      </c>
      <c r="P677" s="2">
        <f>tdata[[#This Row],[price_per_kilo]]*tdata[[#This Row],[Weight_KG]]</f>
        <v>92070</v>
      </c>
      <c r="Q677" s="2" t="str">
        <f>VLOOKUP(tdata[[#This Row],[id_employee]],temployee[#All],2,0)</f>
        <v>Xaverius Adi</v>
      </c>
      <c r="R677" s="2" t="str">
        <f>VLOOKUP(tdata[[#This Row],[id_employee]],temployee[#All],4,0)</f>
        <v>crowd source</v>
      </c>
      <c r="S677" s="9" t="str">
        <f>VLOOKUP(tdata[[#This Row],[id_employee]],temployee[#All],5,0)</f>
        <v>driver</v>
      </c>
    </row>
    <row r="678" spans="2:19" x14ac:dyDescent="0.35">
      <c r="B678" s="8" t="s">
        <v>697</v>
      </c>
      <c r="C678" s="2" t="s">
        <v>1347</v>
      </c>
      <c r="D678" s="5">
        <v>45211</v>
      </c>
      <c r="E678" s="5">
        <v>45216</v>
      </c>
      <c r="F678" s="2" t="s">
        <v>12</v>
      </c>
      <c r="G678" s="2" t="s">
        <v>49</v>
      </c>
      <c r="H678" s="2" t="s">
        <v>1224</v>
      </c>
      <c r="I678" s="2" t="s">
        <v>17</v>
      </c>
      <c r="J678" s="2">
        <v>1.39</v>
      </c>
      <c r="K678" s="2" t="str">
        <f t="shared" si="28"/>
        <v>&lt; 5kg</v>
      </c>
      <c r="L678" s="2">
        <f>tdata[[#This Row],[Received_date]]-tdata[[#This Row],[Shipment_Date]]</f>
        <v>5</v>
      </c>
      <c r="M678" s="2">
        <f>VLOOKUP(tdata[[#This Row],[Service_Type]],Table2[#All],2,0)</f>
        <v>3</v>
      </c>
      <c r="N678" s="2" t="str">
        <f>IF(tdata[[#This Row],[Delivery_Days]]&lt;=tdata[[#This Row],[SLA_Days]],"On Time","Late")</f>
        <v>Late</v>
      </c>
      <c r="O678" s="2">
        <f>VLOOKUP(tdata[[#This Row],[Service_Type]],Table2[#All],4,0)</f>
        <v>10000</v>
      </c>
      <c r="P678" s="2">
        <f>tdata[[#This Row],[price_per_kilo]]*tdata[[#This Row],[Weight_KG]]</f>
        <v>13899.999999999998</v>
      </c>
      <c r="Q678" s="2" t="str">
        <f>VLOOKUP(tdata[[#This Row],[id_employee]],temployee[#All],2,0)</f>
        <v>Yuliana Kartini</v>
      </c>
      <c r="R678" s="2" t="str">
        <f>VLOOKUP(tdata[[#This Row],[id_employee]],temployee[#All],4,0)</f>
        <v>internal</v>
      </c>
      <c r="S678" s="9" t="str">
        <f>VLOOKUP(tdata[[#This Row],[id_employee]],temployee[#All],5,0)</f>
        <v>rider</v>
      </c>
    </row>
    <row r="679" spans="2:19" x14ac:dyDescent="0.35">
      <c r="B679" s="8" t="s">
        <v>698</v>
      </c>
      <c r="C679" s="2" t="s">
        <v>1348</v>
      </c>
      <c r="D679" s="5">
        <v>45086</v>
      </c>
      <c r="E679" s="5">
        <v>45094</v>
      </c>
      <c r="F679" s="2" t="s">
        <v>30</v>
      </c>
      <c r="G679" s="2" t="s">
        <v>30</v>
      </c>
      <c r="H679" s="2" t="s">
        <v>23</v>
      </c>
      <c r="I679" s="2" t="s">
        <v>17</v>
      </c>
      <c r="J679" s="2">
        <v>1.57</v>
      </c>
      <c r="K679" s="2" t="str">
        <f t="shared" si="28"/>
        <v>&lt; 5kg</v>
      </c>
      <c r="L679" s="2">
        <f>tdata[[#This Row],[Received_date]]-tdata[[#This Row],[Shipment_Date]]</f>
        <v>8</v>
      </c>
      <c r="M679" s="2">
        <f>VLOOKUP(tdata[[#This Row],[Service_Type]],Table2[#All],2,0)</f>
        <v>5</v>
      </c>
      <c r="N679" s="2" t="str">
        <f>IF(tdata[[#This Row],[Delivery_Days]]&lt;=tdata[[#This Row],[SLA_Days]],"On Time","Late")</f>
        <v>Late</v>
      </c>
      <c r="O679" s="2">
        <f>VLOOKUP(tdata[[#This Row],[Service_Type]],Table2[#All],4,0)</f>
        <v>9000</v>
      </c>
      <c r="P679" s="2">
        <f>tdata[[#This Row],[price_per_kilo]]*tdata[[#This Row],[Weight_KG]]</f>
        <v>14130</v>
      </c>
      <c r="Q679" s="2" t="str">
        <f>VLOOKUP(tdata[[#This Row],[id_employee]],temployee[#All],2,0)</f>
        <v>Zaki Alamsyah</v>
      </c>
      <c r="R679" s="2" t="str">
        <f>VLOOKUP(tdata[[#This Row],[id_employee]],temployee[#All],4,0)</f>
        <v>internal</v>
      </c>
      <c r="S679" s="9" t="str">
        <f>VLOOKUP(tdata[[#This Row],[id_employee]],temployee[#All],5,0)</f>
        <v>rider</v>
      </c>
    </row>
    <row r="680" spans="2:19" x14ac:dyDescent="0.35">
      <c r="B680" s="8" t="s">
        <v>699</v>
      </c>
      <c r="C680" s="2" t="s">
        <v>1349</v>
      </c>
      <c r="D680" s="5">
        <v>45560</v>
      </c>
      <c r="E680" s="5">
        <v>45567</v>
      </c>
      <c r="F680" s="2" t="s">
        <v>32</v>
      </c>
      <c r="G680" s="2" t="s">
        <v>32</v>
      </c>
      <c r="H680" s="2" t="s">
        <v>23</v>
      </c>
      <c r="I680" s="2" t="s">
        <v>13</v>
      </c>
      <c r="J680" s="2">
        <v>4.72</v>
      </c>
      <c r="K680" s="2" t="str">
        <f t="shared" si="28"/>
        <v>&lt; 5kg</v>
      </c>
      <c r="L680" s="2">
        <f>tdata[[#This Row],[Received_date]]-tdata[[#This Row],[Shipment_Date]]</f>
        <v>7</v>
      </c>
      <c r="M680" s="2">
        <f>VLOOKUP(tdata[[#This Row],[Service_Type]],Table2[#All],2,0)</f>
        <v>5</v>
      </c>
      <c r="N680" s="2" t="str">
        <f>IF(tdata[[#This Row],[Delivery_Days]]&lt;=tdata[[#This Row],[SLA_Days]],"On Time","Late")</f>
        <v>Late</v>
      </c>
      <c r="O680" s="2">
        <f>VLOOKUP(tdata[[#This Row],[Service_Type]],Table2[#All],4,0)</f>
        <v>9000</v>
      </c>
      <c r="P680" s="2">
        <f>tdata[[#This Row],[price_per_kilo]]*tdata[[#This Row],[Weight_KG]]</f>
        <v>42480</v>
      </c>
      <c r="Q680" s="2" t="str">
        <f>VLOOKUP(tdata[[#This Row],[id_employee]],temployee[#All],2,0)</f>
        <v>Arief Setyawan</v>
      </c>
      <c r="R680" s="2" t="str">
        <f>VLOOKUP(tdata[[#This Row],[id_employee]],temployee[#All],4,0)</f>
        <v>crowd source</v>
      </c>
      <c r="S680" s="9" t="str">
        <f>VLOOKUP(tdata[[#This Row],[id_employee]],temployee[#All],5,0)</f>
        <v>driver</v>
      </c>
    </row>
    <row r="681" spans="2:19" x14ac:dyDescent="0.35">
      <c r="B681" s="8" t="s">
        <v>700</v>
      </c>
      <c r="C681" s="2" t="s">
        <v>1350</v>
      </c>
      <c r="D681" s="5">
        <v>45171</v>
      </c>
      <c r="E681" s="5">
        <v>45174</v>
      </c>
      <c r="F681" s="2" t="s">
        <v>16</v>
      </c>
      <c r="G681" s="2" t="s">
        <v>32</v>
      </c>
      <c r="H681" s="2" t="s">
        <v>23</v>
      </c>
      <c r="I681" s="2" t="s">
        <v>13</v>
      </c>
      <c r="J681" s="2">
        <v>3.95</v>
      </c>
      <c r="K681" s="2" t="str">
        <f t="shared" si="28"/>
        <v>&lt; 5kg</v>
      </c>
      <c r="L681" s="2">
        <f>tdata[[#This Row],[Received_date]]-tdata[[#This Row],[Shipment_Date]]</f>
        <v>3</v>
      </c>
      <c r="M681" s="2">
        <f>VLOOKUP(tdata[[#This Row],[Service_Type]],Table2[#All],2,0)</f>
        <v>5</v>
      </c>
      <c r="N681" s="2" t="str">
        <f>IF(tdata[[#This Row],[Delivery_Days]]&lt;=tdata[[#This Row],[SLA_Days]],"On Time","Late")</f>
        <v>On Time</v>
      </c>
      <c r="O681" s="2">
        <f>VLOOKUP(tdata[[#This Row],[Service_Type]],Table2[#All],4,0)</f>
        <v>9000</v>
      </c>
      <c r="P681" s="2">
        <f>tdata[[#This Row],[price_per_kilo]]*tdata[[#This Row],[Weight_KG]]</f>
        <v>35550</v>
      </c>
      <c r="Q681" s="2" t="str">
        <f>VLOOKUP(tdata[[#This Row],[id_employee]],temployee[#All],2,0)</f>
        <v>Bunga Cahyani</v>
      </c>
      <c r="R681" s="2" t="str">
        <f>VLOOKUP(tdata[[#This Row],[id_employee]],temployee[#All],4,0)</f>
        <v>internal</v>
      </c>
      <c r="S681" s="9" t="str">
        <f>VLOOKUP(tdata[[#This Row],[id_employee]],temployee[#All],5,0)</f>
        <v>rider</v>
      </c>
    </row>
    <row r="682" spans="2:19" x14ac:dyDescent="0.35">
      <c r="B682" s="8" t="s">
        <v>701</v>
      </c>
      <c r="C682" s="2" t="s">
        <v>1351</v>
      </c>
      <c r="D682" s="5">
        <v>44927</v>
      </c>
      <c r="E682" s="5">
        <v>44930</v>
      </c>
      <c r="F682" s="2" t="s">
        <v>26</v>
      </c>
      <c r="G682" s="2" t="s">
        <v>32</v>
      </c>
      <c r="H682" s="2" t="s">
        <v>23</v>
      </c>
      <c r="I682" s="2" t="s">
        <v>13</v>
      </c>
      <c r="J682" s="2">
        <v>4.7699999999999996</v>
      </c>
      <c r="K682" s="2" t="str">
        <f t="shared" si="28"/>
        <v>&lt; 5kg</v>
      </c>
      <c r="L682" s="2">
        <f>tdata[[#This Row],[Received_date]]-tdata[[#This Row],[Shipment_Date]]</f>
        <v>3</v>
      </c>
      <c r="M682" s="2">
        <f>VLOOKUP(tdata[[#This Row],[Service_Type]],Table2[#All],2,0)</f>
        <v>5</v>
      </c>
      <c r="N682" s="2" t="str">
        <f>IF(tdata[[#This Row],[Delivery_Days]]&lt;=tdata[[#This Row],[SLA_Days]],"On Time","Late")</f>
        <v>On Time</v>
      </c>
      <c r="O682" s="2">
        <f>VLOOKUP(tdata[[#This Row],[Service_Type]],Table2[#All],4,0)</f>
        <v>9000</v>
      </c>
      <c r="P682" s="2">
        <f>tdata[[#This Row],[price_per_kilo]]*tdata[[#This Row],[Weight_KG]]</f>
        <v>42929.999999999993</v>
      </c>
      <c r="Q682" s="2" t="str">
        <f>VLOOKUP(tdata[[#This Row],[id_employee]],temployee[#All],2,0)</f>
        <v>Cahyo Prabowo</v>
      </c>
      <c r="R682" s="2" t="str">
        <f>VLOOKUP(tdata[[#This Row],[id_employee]],temployee[#All],4,0)</f>
        <v>internal</v>
      </c>
      <c r="S682" s="9" t="str">
        <f>VLOOKUP(tdata[[#This Row],[id_employee]],temployee[#All],5,0)</f>
        <v>driver</v>
      </c>
    </row>
    <row r="683" spans="2:19" x14ac:dyDescent="0.35">
      <c r="B683" s="8" t="s">
        <v>702</v>
      </c>
      <c r="C683" s="2" t="s">
        <v>1352</v>
      </c>
      <c r="D683" s="5">
        <v>45393</v>
      </c>
      <c r="E683" s="5">
        <v>45400</v>
      </c>
      <c r="F683" s="2" t="s">
        <v>49</v>
      </c>
      <c r="G683" s="2" t="s">
        <v>22</v>
      </c>
      <c r="H683" s="2" t="s">
        <v>1224</v>
      </c>
      <c r="I683" s="2" t="s">
        <v>17</v>
      </c>
      <c r="J683" s="2">
        <v>7.93</v>
      </c>
      <c r="K683" s="2" t="str">
        <f t="shared" si="28"/>
        <v>&gt;5kg</v>
      </c>
      <c r="L683" s="2">
        <f>tdata[[#This Row],[Received_date]]-tdata[[#This Row],[Shipment_Date]]</f>
        <v>7</v>
      </c>
      <c r="M683" s="2">
        <f>VLOOKUP(tdata[[#This Row],[Service_Type]],Table2[#All],2,0)</f>
        <v>3</v>
      </c>
      <c r="N683" s="2" t="str">
        <f>IF(tdata[[#This Row],[Delivery_Days]]&lt;=tdata[[#This Row],[SLA_Days]],"On Time","Late")</f>
        <v>Late</v>
      </c>
      <c r="O683" s="2">
        <f>VLOOKUP(tdata[[#This Row],[Service_Type]],Table2[#All],4,0)</f>
        <v>10000</v>
      </c>
      <c r="P683" s="2">
        <f>tdata[[#This Row],[price_per_kilo]]*tdata[[#This Row],[Weight_KG]]</f>
        <v>79300</v>
      </c>
      <c r="Q683" s="2" t="str">
        <f>VLOOKUP(tdata[[#This Row],[id_employee]],temployee[#All],2,0)</f>
        <v>Diah Permata</v>
      </c>
      <c r="R683" s="2" t="str">
        <f>VLOOKUP(tdata[[#This Row],[id_employee]],temployee[#All],4,0)</f>
        <v>crowd source</v>
      </c>
      <c r="S683" s="9" t="str">
        <f>VLOOKUP(tdata[[#This Row],[id_employee]],temployee[#All],5,0)</f>
        <v>rider</v>
      </c>
    </row>
    <row r="684" spans="2:19" x14ac:dyDescent="0.35">
      <c r="B684" s="8" t="s">
        <v>703</v>
      </c>
      <c r="C684" s="2" t="s">
        <v>1353</v>
      </c>
      <c r="D684" s="5">
        <v>45563</v>
      </c>
      <c r="E684" s="5">
        <v>45568</v>
      </c>
      <c r="F684" s="2" t="s">
        <v>11</v>
      </c>
      <c r="G684" s="2" t="s">
        <v>30</v>
      </c>
      <c r="H684" s="2" t="s">
        <v>23</v>
      </c>
      <c r="I684" s="2" t="s">
        <v>17</v>
      </c>
      <c r="J684" s="2">
        <v>3.59</v>
      </c>
      <c r="K684" s="2" t="str">
        <f t="shared" si="28"/>
        <v>&lt; 5kg</v>
      </c>
      <c r="L684" s="2">
        <f>tdata[[#This Row],[Received_date]]-tdata[[#This Row],[Shipment_Date]]</f>
        <v>5</v>
      </c>
      <c r="M684" s="2">
        <f>VLOOKUP(tdata[[#This Row],[Service_Type]],Table2[#All],2,0)</f>
        <v>5</v>
      </c>
      <c r="N684" s="2" t="str">
        <f>IF(tdata[[#This Row],[Delivery_Days]]&lt;=tdata[[#This Row],[SLA_Days]],"On Time","Late")</f>
        <v>On Time</v>
      </c>
      <c r="O684" s="2">
        <f>VLOOKUP(tdata[[#This Row],[Service_Type]],Table2[#All],4,0)</f>
        <v>9000</v>
      </c>
      <c r="P684" s="2">
        <f>tdata[[#This Row],[price_per_kilo]]*tdata[[#This Row],[Weight_KG]]</f>
        <v>32310</v>
      </c>
      <c r="Q684" s="2" t="str">
        <f>VLOOKUP(tdata[[#This Row],[id_employee]],temployee[#All],2,0)</f>
        <v>Evania Putri</v>
      </c>
      <c r="R684" s="2" t="str">
        <f>VLOOKUP(tdata[[#This Row],[id_employee]],temployee[#All],4,0)</f>
        <v>internal</v>
      </c>
      <c r="S684" s="9" t="str">
        <f>VLOOKUP(tdata[[#This Row],[id_employee]],temployee[#All],5,0)</f>
        <v>rider</v>
      </c>
    </row>
    <row r="685" spans="2:19" x14ac:dyDescent="0.35">
      <c r="B685" s="8" t="s">
        <v>704</v>
      </c>
      <c r="C685" s="2" t="s">
        <v>1354</v>
      </c>
      <c r="D685" s="5">
        <v>45317</v>
      </c>
      <c r="E685" s="5">
        <v>45319</v>
      </c>
      <c r="F685" s="2" t="s">
        <v>15</v>
      </c>
      <c r="G685" s="2" t="s">
        <v>20</v>
      </c>
      <c r="H685" s="2" t="s">
        <v>23</v>
      </c>
      <c r="I685" s="2" t="s">
        <v>13</v>
      </c>
      <c r="J685" s="2">
        <v>1.47</v>
      </c>
      <c r="K685" s="2" t="str">
        <f t="shared" si="28"/>
        <v>&lt; 5kg</v>
      </c>
      <c r="L685" s="2">
        <f>tdata[[#This Row],[Received_date]]-tdata[[#This Row],[Shipment_Date]]</f>
        <v>2</v>
      </c>
      <c r="M685" s="2">
        <f>VLOOKUP(tdata[[#This Row],[Service_Type]],Table2[#All],2,0)</f>
        <v>5</v>
      </c>
      <c r="N685" s="2" t="str">
        <f>IF(tdata[[#This Row],[Delivery_Days]]&lt;=tdata[[#This Row],[SLA_Days]],"On Time","Late")</f>
        <v>On Time</v>
      </c>
      <c r="O685" s="2">
        <f>VLOOKUP(tdata[[#This Row],[Service_Type]],Table2[#All],4,0)</f>
        <v>9000</v>
      </c>
      <c r="P685" s="2">
        <f>tdata[[#This Row],[price_per_kilo]]*tdata[[#This Row],[Weight_KG]]</f>
        <v>13230</v>
      </c>
      <c r="Q685" s="2" t="str">
        <f>VLOOKUP(tdata[[#This Row],[id_employee]],temployee[#All],2,0)</f>
        <v>Fikri Ramadhan</v>
      </c>
      <c r="R685" s="2" t="str">
        <f>VLOOKUP(tdata[[#This Row],[id_employee]],temployee[#All],4,0)</f>
        <v>crowd source</v>
      </c>
      <c r="S685" s="9" t="str">
        <f>VLOOKUP(tdata[[#This Row],[id_employee]],temployee[#All],5,0)</f>
        <v>driver</v>
      </c>
    </row>
    <row r="686" spans="2:19" x14ac:dyDescent="0.35">
      <c r="B686" s="8" t="s">
        <v>705</v>
      </c>
      <c r="C686" s="2" t="s">
        <v>1355</v>
      </c>
      <c r="D686" s="5">
        <v>45609</v>
      </c>
      <c r="E686" s="5">
        <f>D686+4</f>
        <v>45613</v>
      </c>
      <c r="F686" s="2" t="s">
        <v>20</v>
      </c>
      <c r="G686" s="2" t="s">
        <v>15</v>
      </c>
      <c r="H686" s="2" t="s">
        <v>1223</v>
      </c>
      <c r="I686" s="2" t="s">
        <v>13</v>
      </c>
      <c r="J686" s="2">
        <v>5.9</v>
      </c>
      <c r="K686" s="2" t="str">
        <f t="shared" si="28"/>
        <v>&gt;5kg</v>
      </c>
      <c r="L686" s="2">
        <f>tdata[[#This Row],[Received_date]]-tdata[[#This Row],[Shipment_Date]]</f>
        <v>4</v>
      </c>
      <c r="M686" s="2">
        <f>VLOOKUP(tdata[[#This Row],[Service_Type]],Table2[#All],2,0)</f>
        <v>1</v>
      </c>
      <c r="N686" s="2" t="str">
        <f>IF(tdata[[#This Row],[Delivery_Days]]&lt;=tdata[[#This Row],[SLA_Days]],"On Time","Late")</f>
        <v>Late</v>
      </c>
      <c r="O686" s="2">
        <f>VLOOKUP(tdata[[#This Row],[Service_Type]],Table2[#All],4,0)</f>
        <v>12000</v>
      </c>
      <c r="P686" s="2">
        <f>tdata[[#This Row],[price_per_kilo]]*tdata[[#This Row],[Weight_KG]]</f>
        <v>70800</v>
      </c>
      <c r="Q686" s="2" t="str">
        <f>VLOOKUP(tdata[[#This Row],[id_employee]],temployee[#All],2,0)</f>
        <v>Gilang Ramli</v>
      </c>
      <c r="R686" s="2" t="str">
        <f>VLOOKUP(tdata[[#This Row],[id_employee]],temployee[#All],4,0)</f>
        <v>internal</v>
      </c>
      <c r="S686" s="9" t="str">
        <f>VLOOKUP(tdata[[#This Row],[id_employee]],temployee[#All],5,0)</f>
        <v>rider</v>
      </c>
    </row>
    <row r="687" spans="2:19" x14ac:dyDescent="0.35">
      <c r="B687" s="8" t="s">
        <v>706</v>
      </c>
      <c r="C687" s="2" t="s">
        <v>1356</v>
      </c>
      <c r="D687" s="5">
        <v>45258</v>
      </c>
      <c r="E687" s="5">
        <v>45259</v>
      </c>
      <c r="F687" s="2" t="s">
        <v>22</v>
      </c>
      <c r="G687" s="2" t="s">
        <v>22</v>
      </c>
      <c r="H687" s="2" t="s">
        <v>1224</v>
      </c>
      <c r="I687" s="2" t="s">
        <v>17</v>
      </c>
      <c r="J687" s="2">
        <v>0.73</v>
      </c>
      <c r="K687" s="2" t="str">
        <f t="shared" si="28"/>
        <v>&lt; 5kg</v>
      </c>
      <c r="L687" s="2">
        <f>tdata[[#This Row],[Received_date]]-tdata[[#This Row],[Shipment_Date]]</f>
        <v>1</v>
      </c>
      <c r="M687" s="2">
        <f>VLOOKUP(tdata[[#This Row],[Service_Type]],Table2[#All],2,0)</f>
        <v>3</v>
      </c>
      <c r="N687" s="2" t="str">
        <f>IF(tdata[[#This Row],[Delivery_Days]]&lt;=tdata[[#This Row],[SLA_Days]],"On Time","Late")</f>
        <v>On Time</v>
      </c>
      <c r="O687" s="2">
        <f>VLOOKUP(tdata[[#This Row],[Service_Type]],Table2[#All],4,0)</f>
        <v>10000</v>
      </c>
      <c r="P687" s="2">
        <f>tdata[[#This Row],[price_per_kilo]]*tdata[[#This Row],[Weight_KG]]</f>
        <v>7300</v>
      </c>
      <c r="Q687" s="2" t="str">
        <f>VLOOKUP(tdata[[#This Row],[id_employee]],temployee[#All],2,0)</f>
        <v>Hana Zahra</v>
      </c>
      <c r="R687" s="2" t="str">
        <f>VLOOKUP(tdata[[#This Row],[id_employee]],temployee[#All],4,0)</f>
        <v>internal</v>
      </c>
      <c r="S687" s="9" t="str">
        <f>VLOOKUP(tdata[[#This Row],[id_employee]],temployee[#All],5,0)</f>
        <v>rider</v>
      </c>
    </row>
    <row r="688" spans="2:19" x14ac:dyDescent="0.35">
      <c r="B688" s="8" t="s">
        <v>707</v>
      </c>
      <c r="C688" s="2" t="s">
        <v>1357</v>
      </c>
      <c r="D688" s="5">
        <v>44955</v>
      </c>
      <c r="E688" s="5">
        <v>44964</v>
      </c>
      <c r="F688" s="2" t="s">
        <v>12</v>
      </c>
      <c r="G688" s="2" t="s">
        <v>12</v>
      </c>
      <c r="H688" s="2" t="s">
        <v>23</v>
      </c>
      <c r="I688" s="2" t="s">
        <v>17</v>
      </c>
      <c r="J688" s="2">
        <v>8.5299999999999994</v>
      </c>
      <c r="K688" s="2" t="str">
        <f t="shared" si="28"/>
        <v>&gt;5kg</v>
      </c>
      <c r="L688" s="2">
        <f>tdata[[#This Row],[Received_date]]-tdata[[#This Row],[Shipment_Date]]</f>
        <v>9</v>
      </c>
      <c r="M688" s="2">
        <f>VLOOKUP(tdata[[#This Row],[Service_Type]],Table2[#All],2,0)</f>
        <v>5</v>
      </c>
      <c r="N688" s="2" t="str">
        <f>IF(tdata[[#This Row],[Delivery_Days]]&lt;=tdata[[#This Row],[SLA_Days]],"On Time","Late")</f>
        <v>Late</v>
      </c>
      <c r="O688" s="2">
        <f>VLOOKUP(tdata[[#This Row],[Service_Type]],Table2[#All],4,0)</f>
        <v>9000</v>
      </c>
      <c r="P688" s="2">
        <f>tdata[[#This Row],[price_per_kilo]]*tdata[[#This Row],[Weight_KG]]</f>
        <v>76770</v>
      </c>
      <c r="Q688" s="2" t="str">
        <f>VLOOKUP(tdata[[#This Row],[id_employee]],temployee[#All],2,0)</f>
        <v>Irfan Maulana</v>
      </c>
      <c r="R688" s="2" t="str">
        <f>VLOOKUP(tdata[[#This Row],[id_employee]],temployee[#All],4,0)</f>
        <v>internal</v>
      </c>
      <c r="S688" s="9" t="str">
        <f>VLOOKUP(tdata[[#This Row],[id_employee]],temployee[#All],5,0)</f>
        <v>driver</v>
      </c>
    </row>
    <row r="689" spans="2:19" x14ac:dyDescent="0.35">
      <c r="B689" s="8" t="s">
        <v>708</v>
      </c>
      <c r="C689" s="2" t="s">
        <v>1358</v>
      </c>
      <c r="D689" s="5">
        <v>45309</v>
      </c>
      <c r="E689" s="5">
        <v>45309</v>
      </c>
      <c r="F689" s="2" t="s">
        <v>30</v>
      </c>
      <c r="G689" s="2" t="s">
        <v>32</v>
      </c>
      <c r="H689" s="2" t="s">
        <v>1224</v>
      </c>
      <c r="I689" s="2" t="s">
        <v>17</v>
      </c>
      <c r="J689" s="2">
        <v>0.96</v>
      </c>
      <c r="K689" s="2" t="str">
        <f t="shared" si="28"/>
        <v>&lt; 5kg</v>
      </c>
      <c r="L689" s="2">
        <f>tdata[[#This Row],[Received_date]]-tdata[[#This Row],[Shipment_Date]]</f>
        <v>0</v>
      </c>
      <c r="M689" s="2">
        <f>VLOOKUP(tdata[[#This Row],[Service_Type]],Table2[#All],2,0)</f>
        <v>3</v>
      </c>
      <c r="N689" s="2" t="str">
        <f>IF(tdata[[#This Row],[Delivery_Days]]&lt;=tdata[[#This Row],[SLA_Days]],"On Time","Late")</f>
        <v>On Time</v>
      </c>
      <c r="O689" s="2">
        <f>VLOOKUP(tdata[[#This Row],[Service_Type]],Table2[#All],4,0)</f>
        <v>10000</v>
      </c>
      <c r="P689" s="2">
        <f>tdata[[#This Row],[price_per_kilo]]*tdata[[#This Row],[Weight_KG]]</f>
        <v>9600</v>
      </c>
      <c r="Q689" s="2" t="str">
        <f>VLOOKUP(tdata[[#This Row],[id_employee]],temployee[#All],2,0)</f>
        <v>Jihan Salsabila</v>
      </c>
      <c r="R689" s="2" t="str">
        <f>VLOOKUP(tdata[[#This Row],[id_employee]],temployee[#All],4,0)</f>
        <v>crowd source</v>
      </c>
      <c r="S689" s="9" t="str">
        <f>VLOOKUP(tdata[[#This Row],[id_employee]],temployee[#All],5,0)</f>
        <v>rider</v>
      </c>
    </row>
    <row r="690" spans="2:19" x14ac:dyDescent="0.35">
      <c r="B690" s="8" t="s">
        <v>709</v>
      </c>
      <c r="C690" s="2" t="s">
        <v>1359</v>
      </c>
      <c r="D690" s="5">
        <v>45171</v>
      </c>
      <c r="E690" s="5">
        <v>45174</v>
      </c>
      <c r="F690" s="2" t="s">
        <v>32</v>
      </c>
      <c r="G690" s="2" t="s">
        <v>22</v>
      </c>
      <c r="H690" s="2" t="s">
        <v>1224</v>
      </c>
      <c r="I690" s="2" t="s">
        <v>17</v>
      </c>
      <c r="J690" s="2">
        <v>2.8</v>
      </c>
      <c r="K690" s="2" t="str">
        <f t="shared" si="28"/>
        <v>&lt; 5kg</v>
      </c>
      <c r="L690" s="2">
        <f>tdata[[#This Row],[Received_date]]-tdata[[#This Row],[Shipment_Date]]</f>
        <v>3</v>
      </c>
      <c r="M690" s="2">
        <f>VLOOKUP(tdata[[#This Row],[Service_Type]],Table2[#All],2,0)</f>
        <v>3</v>
      </c>
      <c r="N690" s="2" t="str">
        <f>IF(tdata[[#This Row],[Delivery_Days]]&lt;=tdata[[#This Row],[SLA_Days]],"On Time","Late")</f>
        <v>On Time</v>
      </c>
      <c r="O690" s="2">
        <f>VLOOKUP(tdata[[#This Row],[Service_Type]],Table2[#All],4,0)</f>
        <v>10000</v>
      </c>
      <c r="P690" s="2">
        <f>tdata[[#This Row],[price_per_kilo]]*tdata[[#This Row],[Weight_KG]]</f>
        <v>28000</v>
      </c>
      <c r="Q690" s="2" t="str">
        <f>VLOOKUP(tdata[[#This Row],[id_employee]],temployee[#All],2,0)</f>
        <v>Koko Santoso</v>
      </c>
      <c r="R690" s="2" t="str">
        <f>VLOOKUP(tdata[[#This Row],[id_employee]],temployee[#All],4,0)</f>
        <v>internal</v>
      </c>
      <c r="S690" s="9" t="str">
        <f>VLOOKUP(tdata[[#This Row],[id_employee]],temployee[#All],5,0)</f>
        <v>rider</v>
      </c>
    </row>
    <row r="691" spans="2:19" x14ac:dyDescent="0.35">
      <c r="B691" s="8" t="s">
        <v>710</v>
      </c>
      <c r="C691" s="2" t="s">
        <v>1360</v>
      </c>
      <c r="D691" s="5">
        <v>45326</v>
      </c>
      <c r="E691" s="5">
        <v>45330</v>
      </c>
      <c r="F691" s="2" t="s">
        <v>16</v>
      </c>
      <c r="G691" s="2" t="s">
        <v>22</v>
      </c>
      <c r="H691" s="2" t="s">
        <v>1224</v>
      </c>
      <c r="I691" s="2" t="s">
        <v>17</v>
      </c>
      <c r="J691" s="2">
        <v>3.52</v>
      </c>
      <c r="K691" s="2" t="str">
        <f t="shared" si="28"/>
        <v>&lt; 5kg</v>
      </c>
      <c r="L691" s="2">
        <f>tdata[[#This Row],[Received_date]]-tdata[[#This Row],[Shipment_Date]]</f>
        <v>4</v>
      </c>
      <c r="M691" s="2">
        <f>VLOOKUP(tdata[[#This Row],[Service_Type]],Table2[#All],2,0)</f>
        <v>3</v>
      </c>
      <c r="N691" s="2" t="str">
        <f>IF(tdata[[#This Row],[Delivery_Days]]&lt;=tdata[[#This Row],[SLA_Days]],"On Time","Late")</f>
        <v>Late</v>
      </c>
      <c r="O691" s="2">
        <f>VLOOKUP(tdata[[#This Row],[Service_Type]],Table2[#All],4,0)</f>
        <v>10000</v>
      </c>
      <c r="P691" s="2">
        <f>tdata[[#This Row],[price_per_kilo]]*tdata[[#This Row],[Weight_KG]]</f>
        <v>35200</v>
      </c>
      <c r="Q691" s="2" t="str">
        <f>VLOOKUP(tdata[[#This Row],[id_employee]],temployee[#All],2,0)</f>
        <v>Luthfi Hakim</v>
      </c>
      <c r="R691" s="2" t="str">
        <f>VLOOKUP(tdata[[#This Row],[id_employee]],temployee[#All],4,0)</f>
        <v>crowd source</v>
      </c>
      <c r="S691" s="9" t="str">
        <f>VLOOKUP(tdata[[#This Row],[id_employee]],temployee[#All],5,0)</f>
        <v>driver</v>
      </c>
    </row>
    <row r="692" spans="2:19" x14ac:dyDescent="0.35">
      <c r="B692" s="8" t="s">
        <v>711</v>
      </c>
      <c r="C692" s="2" t="s">
        <v>1361</v>
      </c>
      <c r="D692" s="5">
        <v>45238</v>
      </c>
      <c r="E692" s="5">
        <f>D692+4</f>
        <v>45242</v>
      </c>
      <c r="F692" s="2" t="s">
        <v>26</v>
      </c>
      <c r="G692" s="2" t="s">
        <v>15</v>
      </c>
      <c r="H692" s="2" t="s">
        <v>1223</v>
      </c>
      <c r="I692" s="2" t="s">
        <v>17</v>
      </c>
      <c r="J692" s="2">
        <v>9.27</v>
      </c>
      <c r="K692" s="2" t="str">
        <f t="shared" si="28"/>
        <v>&gt;5kg</v>
      </c>
      <c r="L692" s="2">
        <f>tdata[[#This Row],[Received_date]]-tdata[[#This Row],[Shipment_Date]]</f>
        <v>4</v>
      </c>
      <c r="M692" s="2">
        <f>VLOOKUP(tdata[[#This Row],[Service_Type]],Table2[#All],2,0)</f>
        <v>1</v>
      </c>
      <c r="N692" s="2" t="str">
        <f>IF(tdata[[#This Row],[Delivery_Days]]&lt;=tdata[[#This Row],[SLA_Days]],"On Time","Late")</f>
        <v>Late</v>
      </c>
      <c r="O692" s="2">
        <f>VLOOKUP(tdata[[#This Row],[Service_Type]],Table2[#All],4,0)</f>
        <v>12000</v>
      </c>
      <c r="P692" s="2">
        <f>tdata[[#This Row],[price_per_kilo]]*tdata[[#This Row],[Weight_KG]]</f>
        <v>111240</v>
      </c>
      <c r="Q692" s="2" t="str">
        <f>VLOOKUP(tdata[[#This Row],[id_employee]],temployee[#All],2,0)</f>
        <v>Melati Anggraini</v>
      </c>
      <c r="R692" s="2" t="str">
        <f>VLOOKUP(tdata[[#This Row],[id_employee]],temployee[#All],4,0)</f>
        <v>internal</v>
      </c>
      <c r="S692" s="9" t="str">
        <f>VLOOKUP(tdata[[#This Row],[id_employee]],temployee[#All],5,0)</f>
        <v>rider</v>
      </c>
    </row>
    <row r="693" spans="2:19" x14ac:dyDescent="0.35">
      <c r="B693" s="8" t="s">
        <v>712</v>
      </c>
      <c r="C693" s="2" t="s">
        <v>1362</v>
      </c>
      <c r="D693" s="5">
        <v>45205</v>
      </c>
      <c r="E693" s="5">
        <v>45212</v>
      </c>
      <c r="F693" s="2" t="s">
        <v>49</v>
      </c>
      <c r="G693" s="2" t="s">
        <v>22</v>
      </c>
      <c r="H693" s="2" t="s">
        <v>1224</v>
      </c>
      <c r="I693" s="2" t="s">
        <v>13</v>
      </c>
      <c r="J693" s="2">
        <v>1.1100000000000001</v>
      </c>
      <c r="K693" s="2" t="str">
        <f t="shared" si="28"/>
        <v>&lt; 5kg</v>
      </c>
      <c r="L693" s="2">
        <f>tdata[[#This Row],[Received_date]]-tdata[[#This Row],[Shipment_Date]]</f>
        <v>7</v>
      </c>
      <c r="M693" s="2">
        <f>VLOOKUP(tdata[[#This Row],[Service_Type]],Table2[#All],2,0)</f>
        <v>3</v>
      </c>
      <c r="N693" s="2" t="str">
        <f>IF(tdata[[#This Row],[Delivery_Days]]&lt;=tdata[[#This Row],[SLA_Days]],"On Time","Late")</f>
        <v>Late</v>
      </c>
      <c r="O693" s="2">
        <f>VLOOKUP(tdata[[#This Row],[Service_Type]],Table2[#All],4,0)</f>
        <v>10000</v>
      </c>
      <c r="P693" s="2">
        <f>tdata[[#This Row],[price_per_kilo]]*tdata[[#This Row],[Weight_KG]]</f>
        <v>11100.000000000002</v>
      </c>
      <c r="Q693" s="2" t="str">
        <f>VLOOKUP(tdata[[#This Row],[id_employee]],temployee[#All],2,0)</f>
        <v>Naufal Rizky</v>
      </c>
      <c r="R693" s="2" t="str">
        <f>VLOOKUP(tdata[[#This Row],[id_employee]],temployee[#All],4,0)</f>
        <v>internal</v>
      </c>
      <c r="S693" s="9" t="str">
        <f>VLOOKUP(tdata[[#This Row],[id_employee]],temployee[#All],5,0)</f>
        <v>driver</v>
      </c>
    </row>
    <row r="694" spans="2:19" x14ac:dyDescent="0.35">
      <c r="B694" s="8" t="s">
        <v>713</v>
      </c>
      <c r="C694" s="2" t="s">
        <v>1363</v>
      </c>
      <c r="D694" s="5">
        <v>45221</v>
      </c>
      <c r="E694" s="5">
        <v>45222</v>
      </c>
      <c r="F694" s="2" t="s">
        <v>11</v>
      </c>
      <c r="G694" s="2" t="s">
        <v>15</v>
      </c>
      <c r="H694" s="2" t="s">
        <v>1224</v>
      </c>
      <c r="I694" s="2" t="s">
        <v>13</v>
      </c>
      <c r="J694" s="2">
        <v>1.52</v>
      </c>
      <c r="K694" s="2" t="str">
        <f t="shared" si="28"/>
        <v>&lt; 5kg</v>
      </c>
      <c r="L694" s="2">
        <f>tdata[[#This Row],[Received_date]]-tdata[[#This Row],[Shipment_Date]]</f>
        <v>1</v>
      </c>
      <c r="M694" s="2">
        <f>VLOOKUP(tdata[[#This Row],[Service_Type]],Table2[#All],2,0)</f>
        <v>3</v>
      </c>
      <c r="N694" s="2" t="str">
        <f>IF(tdata[[#This Row],[Delivery_Days]]&lt;=tdata[[#This Row],[SLA_Days]],"On Time","Late")</f>
        <v>On Time</v>
      </c>
      <c r="O694" s="2">
        <f>VLOOKUP(tdata[[#This Row],[Service_Type]],Table2[#All],4,0)</f>
        <v>10000</v>
      </c>
      <c r="P694" s="2">
        <f>tdata[[#This Row],[price_per_kilo]]*tdata[[#This Row],[Weight_KG]]</f>
        <v>15200</v>
      </c>
      <c r="Q694" s="2" t="str">
        <f>VLOOKUP(tdata[[#This Row],[id_employee]],temployee[#All],2,0)</f>
        <v>Olin Febriani</v>
      </c>
      <c r="R694" s="2" t="str">
        <f>VLOOKUP(tdata[[#This Row],[id_employee]],temployee[#All],4,0)</f>
        <v>crowd source</v>
      </c>
      <c r="S694" s="9" t="str">
        <f>VLOOKUP(tdata[[#This Row],[id_employee]],temployee[#All],5,0)</f>
        <v>rider</v>
      </c>
    </row>
    <row r="695" spans="2:19" x14ac:dyDescent="0.35">
      <c r="B695" s="8" t="s">
        <v>714</v>
      </c>
      <c r="C695" s="2" t="s">
        <v>1364</v>
      </c>
      <c r="D695" s="5">
        <v>44933</v>
      </c>
      <c r="E695" s="5">
        <v>44933</v>
      </c>
      <c r="F695" s="2" t="s">
        <v>15</v>
      </c>
      <c r="G695" s="2" t="s">
        <v>11</v>
      </c>
      <c r="H695" s="2" t="s">
        <v>1223</v>
      </c>
      <c r="I695" s="2" t="s">
        <v>17</v>
      </c>
      <c r="J695" s="2">
        <v>7.19</v>
      </c>
      <c r="K695" s="2" t="str">
        <f t="shared" si="28"/>
        <v>&gt;5kg</v>
      </c>
      <c r="L695" s="2">
        <f>tdata[[#This Row],[Received_date]]-tdata[[#This Row],[Shipment_Date]]</f>
        <v>0</v>
      </c>
      <c r="M695" s="2">
        <f>VLOOKUP(tdata[[#This Row],[Service_Type]],Table2[#All],2,0)</f>
        <v>1</v>
      </c>
      <c r="N695" s="2" t="str">
        <f>IF(tdata[[#This Row],[Delivery_Days]]&lt;=tdata[[#This Row],[SLA_Days]],"On Time","Late")</f>
        <v>On Time</v>
      </c>
      <c r="O695" s="2">
        <f>VLOOKUP(tdata[[#This Row],[Service_Type]],Table2[#All],4,0)</f>
        <v>12000</v>
      </c>
      <c r="P695" s="2">
        <f>tdata[[#This Row],[price_per_kilo]]*tdata[[#This Row],[Weight_KG]]</f>
        <v>86280</v>
      </c>
      <c r="Q695" s="2" t="str">
        <f>VLOOKUP(tdata[[#This Row],[id_employee]],temployee[#All],2,0)</f>
        <v>Praditya Wicaksono</v>
      </c>
      <c r="R695" s="2" t="str">
        <f>VLOOKUP(tdata[[#This Row],[id_employee]],temployee[#All],4,0)</f>
        <v>internal</v>
      </c>
      <c r="S695" s="9" t="str">
        <f>VLOOKUP(tdata[[#This Row],[id_employee]],temployee[#All],5,0)</f>
        <v>driver</v>
      </c>
    </row>
    <row r="696" spans="2:19" x14ac:dyDescent="0.35">
      <c r="B696" s="8" t="s">
        <v>715</v>
      </c>
      <c r="C696" s="2" t="s">
        <v>1365</v>
      </c>
      <c r="D696" s="5">
        <v>45200</v>
      </c>
      <c r="E696" s="5">
        <f>D696+4</f>
        <v>45204</v>
      </c>
      <c r="F696" s="2" t="s">
        <v>20</v>
      </c>
      <c r="G696" s="2" t="s">
        <v>20</v>
      </c>
      <c r="H696" s="2" t="s">
        <v>23</v>
      </c>
      <c r="I696" s="2" t="s">
        <v>17</v>
      </c>
      <c r="J696" s="2">
        <v>8.4499999999999993</v>
      </c>
      <c r="K696" s="2" t="str">
        <f t="shared" si="28"/>
        <v>&gt;5kg</v>
      </c>
      <c r="L696" s="2">
        <f>tdata[[#This Row],[Received_date]]-tdata[[#This Row],[Shipment_Date]]</f>
        <v>4</v>
      </c>
      <c r="M696" s="2">
        <f>VLOOKUP(tdata[[#This Row],[Service_Type]],Table2[#All],2,0)</f>
        <v>5</v>
      </c>
      <c r="N696" s="2" t="str">
        <f>IF(tdata[[#This Row],[Delivery_Days]]&lt;=tdata[[#This Row],[SLA_Days]],"On Time","Late")</f>
        <v>On Time</v>
      </c>
      <c r="O696" s="2">
        <f>VLOOKUP(tdata[[#This Row],[Service_Type]],Table2[#All],4,0)</f>
        <v>9000</v>
      </c>
      <c r="P696" s="2">
        <f>tdata[[#This Row],[price_per_kilo]]*tdata[[#This Row],[Weight_KG]]</f>
        <v>76050</v>
      </c>
      <c r="Q696" s="2" t="str">
        <f>VLOOKUP(tdata[[#This Row],[id_employee]],temployee[#All],2,0)</f>
        <v>Qory Azzahra</v>
      </c>
      <c r="R696" s="2" t="str">
        <f>VLOOKUP(tdata[[#This Row],[id_employee]],temployee[#All],4,0)</f>
        <v>internal</v>
      </c>
      <c r="S696" s="9" t="str">
        <f>VLOOKUP(tdata[[#This Row],[id_employee]],temployee[#All],5,0)</f>
        <v>rider</v>
      </c>
    </row>
    <row r="697" spans="2:19" x14ac:dyDescent="0.35">
      <c r="B697" s="8" t="s">
        <v>716</v>
      </c>
      <c r="C697" s="2" t="s">
        <v>1366</v>
      </c>
      <c r="D697" s="5">
        <v>45059</v>
      </c>
      <c r="E697" s="5">
        <v>45064</v>
      </c>
      <c r="F697" s="2" t="s">
        <v>22</v>
      </c>
      <c r="G697" s="2" t="s">
        <v>16</v>
      </c>
      <c r="H697" s="2" t="s">
        <v>23</v>
      </c>
      <c r="I697" s="2" t="s">
        <v>13</v>
      </c>
      <c r="J697" s="2">
        <v>6.8</v>
      </c>
      <c r="K697" s="2" t="str">
        <f t="shared" si="28"/>
        <v>&gt;5kg</v>
      </c>
      <c r="L697" s="2">
        <f>tdata[[#This Row],[Received_date]]-tdata[[#This Row],[Shipment_Date]]</f>
        <v>5</v>
      </c>
      <c r="M697" s="2">
        <f>VLOOKUP(tdata[[#This Row],[Service_Type]],Table2[#All],2,0)</f>
        <v>5</v>
      </c>
      <c r="N697" s="2" t="str">
        <f>IF(tdata[[#This Row],[Delivery_Days]]&lt;=tdata[[#This Row],[SLA_Days]],"On Time","Late")</f>
        <v>On Time</v>
      </c>
      <c r="O697" s="2">
        <f>VLOOKUP(tdata[[#This Row],[Service_Type]],Table2[#All],4,0)</f>
        <v>9000</v>
      </c>
      <c r="P697" s="2">
        <f>tdata[[#This Row],[price_per_kilo]]*tdata[[#This Row],[Weight_KG]]</f>
        <v>61200</v>
      </c>
      <c r="Q697" s="2" t="str">
        <f>VLOOKUP(tdata[[#This Row],[id_employee]],temployee[#All],2,0)</f>
        <v>Rendi Saputra</v>
      </c>
      <c r="R697" s="2" t="str">
        <f>VLOOKUP(tdata[[#This Row],[id_employee]],temployee[#All],4,0)</f>
        <v>crowd source</v>
      </c>
      <c r="S697" s="9" t="str">
        <f>VLOOKUP(tdata[[#This Row],[id_employee]],temployee[#All],5,0)</f>
        <v>driver</v>
      </c>
    </row>
    <row r="698" spans="2:19" x14ac:dyDescent="0.35">
      <c r="B698" s="8" t="s">
        <v>717</v>
      </c>
      <c r="C698" s="2" t="s">
        <v>1367</v>
      </c>
      <c r="D698" s="5">
        <v>45476</v>
      </c>
      <c r="E698" s="5">
        <v>45477</v>
      </c>
      <c r="F698" s="2" t="s">
        <v>12</v>
      </c>
      <c r="G698" s="2" t="s">
        <v>12</v>
      </c>
      <c r="H698" s="2" t="s">
        <v>1223</v>
      </c>
      <c r="I698" s="2" t="s">
        <v>13</v>
      </c>
      <c r="J698" s="2">
        <v>3.76</v>
      </c>
      <c r="K698" s="2" t="str">
        <f t="shared" si="28"/>
        <v>&lt; 5kg</v>
      </c>
      <c r="L698" s="2">
        <f>tdata[[#This Row],[Received_date]]-tdata[[#This Row],[Shipment_Date]]</f>
        <v>1</v>
      </c>
      <c r="M698" s="2">
        <f>VLOOKUP(tdata[[#This Row],[Service_Type]],Table2[#All],2,0)</f>
        <v>1</v>
      </c>
      <c r="N698" s="2" t="str">
        <f>IF(tdata[[#This Row],[Delivery_Days]]&lt;=tdata[[#This Row],[SLA_Days]],"On Time","Late")</f>
        <v>On Time</v>
      </c>
      <c r="O698" s="2">
        <f>VLOOKUP(tdata[[#This Row],[Service_Type]],Table2[#All],4,0)</f>
        <v>12000</v>
      </c>
      <c r="P698" s="2">
        <f>tdata[[#This Row],[price_per_kilo]]*tdata[[#This Row],[Weight_KG]]</f>
        <v>45120</v>
      </c>
      <c r="Q698" s="2" t="str">
        <f>VLOOKUP(tdata[[#This Row],[id_employee]],temployee[#All],2,0)</f>
        <v>Salma Nuraini</v>
      </c>
      <c r="R698" s="2" t="str">
        <f>VLOOKUP(tdata[[#This Row],[id_employee]],temployee[#All],4,0)</f>
        <v>internal</v>
      </c>
      <c r="S698" s="9" t="str">
        <f>VLOOKUP(tdata[[#This Row],[id_employee]],temployee[#All],5,0)</f>
        <v>rider</v>
      </c>
    </row>
    <row r="699" spans="2:19" x14ac:dyDescent="0.35">
      <c r="B699" s="8" t="s">
        <v>718</v>
      </c>
      <c r="C699" s="2" t="s">
        <v>1368</v>
      </c>
      <c r="D699" s="5">
        <v>45369</v>
      </c>
      <c r="E699" s="5">
        <v>45371</v>
      </c>
      <c r="F699" s="2" t="s">
        <v>30</v>
      </c>
      <c r="G699" s="2" t="s">
        <v>12</v>
      </c>
      <c r="H699" s="2" t="s">
        <v>1223</v>
      </c>
      <c r="I699" s="2" t="s">
        <v>17</v>
      </c>
      <c r="J699" s="2">
        <v>6.27</v>
      </c>
      <c r="K699" s="2" t="str">
        <f t="shared" si="28"/>
        <v>&gt;5kg</v>
      </c>
      <c r="L699" s="2">
        <f>tdata[[#This Row],[Received_date]]-tdata[[#This Row],[Shipment_Date]]</f>
        <v>2</v>
      </c>
      <c r="M699" s="2">
        <f>VLOOKUP(tdata[[#This Row],[Service_Type]],Table2[#All],2,0)</f>
        <v>1</v>
      </c>
      <c r="N699" s="2" t="str">
        <f>IF(tdata[[#This Row],[Delivery_Days]]&lt;=tdata[[#This Row],[SLA_Days]],"On Time","Late")</f>
        <v>Late</v>
      </c>
      <c r="O699" s="2">
        <f>VLOOKUP(tdata[[#This Row],[Service_Type]],Table2[#All],4,0)</f>
        <v>12000</v>
      </c>
      <c r="P699" s="2">
        <f>tdata[[#This Row],[price_per_kilo]]*tdata[[#This Row],[Weight_KG]]</f>
        <v>75240</v>
      </c>
      <c r="Q699" s="2" t="str">
        <f>VLOOKUP(tdata[[#This Row],[id_employee]],temployee[#All],2,0)</f>
        <v>Tegar Prakoso</v>
      </c>
      <c r="R699" s="2" t="str">
        <f>VLOOKUP(tdata[[#This Row],[id_employee]],temployee[#All],4,0)</f>
        <v>internal</v>
      </c>
      <c r="S699" s="9" t="str">
        <f>VLOOKUP(tdata[[#This Row],[id_employee]],temployee[#All],5,0)</f>
        <v>driver</v>
      </c>
    </row>
    <row r="700" spans="2:19" x14ac:dyDescent="0.35">
      <c r="B700" s="8" t="s">
        <v>719</v>
      </c>
      <c r="C700" s="2" t="s">
        <v>1369</v>
      </c>
      <c r="D700" s="5">
        <v>45449</v>
      </c>
      <c r="E700" s="5">
        <f>D700+4</f>
        <v>45453</v>
      </c>
      <c r="F700" s="2" t="s">
        <v>32</v>
      </c>
      <c r="G700" s="2" t="s">
        <v>30</v>
      </c>
      <c r="H700" s="2" t="s">
        <v>1224</v>
      </c>
      <c r="I700" s="2" t="s">
        <v>13</v>
      </c>
      <c r="J700" s="2">
        <v>8.9499999999999993</v>
      </c>
      <c r="K700" s="2" t="str">
        <f t="shared" si="28"/>
        <v>&gt;5kg</v>
      </c>
      <c r="L700" s="2">
        <f>tdata[[#This Row],[Received_date]]-tdata[[#This Row],[Shipment_Date]]</f>
        <v>4</v>
      </c>
      <c r="M700" s="2">
        <f>VLOOKUP(tdata[[#This Row],[Service_Type]],Table2[#All],2,0)</f>
        <v>3</v>
      </c>
      <c r="N700" s="2" t="str">
        <f>IF(tdata[[#This Row],[Delivery_Days]]&lt;=tdata[[#This Row],[SLA_Days]],"On Time","Late")</f>
        <v>Late</v>
      </c>
      <c r="O700" s="2">
        <f>VLOOKUP(tdata[[#This Row],[Service_Type]],Table2[#All],4,0)</f>
        <v>10000</v>
      </c>
      <c r="P700" s="2">
        <f>tdata[[#This Row],[price_per_kilo]]*tdata[[#This Row],[Weight_KG]]</f>
        <v>89500</v>
      </c>
      <c r="Q700" s="2" t="str">
        <f>VLOOKUP(tdata[[#This Row],[id_employee]],temployee[#All],2,0)</f>
        <v>Ulfa Khairunnisa</v>
      </c>
      <c r="R700" s="2" t="str">
        <f>VLOOKUP(tdata[[#This Row],[id_employee]],temployee[#All],4,0)</f>
        <v>crowd source</v>
      </c>
      <c r="S700" s="9" t="str">
        <f>VLOOKUP(tdata[[#This Row],[id_employee]],temployee[#All],5,0)</f>
        <v>rider</v>
      </c>
    </row>
    <row r="701" spans="2:19" x14ac:dyDescent="0.35">
      <c r="B701" s="8" t="s">
        <v>720</v>
      </c>
      <c r="C701" s="2" t="s">
        <v>1370</v>
      </c>
      <c r="D701" s="5">
        <v>45338</v>
      </c>
      <c r="E701" s="5">
        <v>45348</v>
      </c>
      <c r="F701" s="2" t="s">
        <v>16</v>
      </c>
      <c r="G701" s="2" t="s">
        <v>20</v>
      </c>
      <c r="H701" s="2" t="s">
        <v>1224</v>
      </c>
      <c r="I701" s="2" t="s">
        <v>17</v>
      </c>
      <c r="J701" s="2">
        <v>0.85</v>
      </c>
      <c r="K701" s="2" t="str">
        <f t="shared" si="28"/>
        <v>&lt; 5kg</v>
      </c>
      <c r="L701" s="2">
        <f>tdata[[#This Row],[Received_date]]-tdata[[#This Row],[Shipment_Date]]</f>
        <v>10</v>
      </c>
      <c r="M701" s="2">
        <f>VLOOKUP(tdata[[#This Row],[Service_Type]],Table2[#All],2,0)</f>
        <v>3</v>
      </c>
      <c r="N701" s="2" t="str">
        <f>IF(tdata[[#This Row],[Delivery_Days]]&lt;=tdata[[#This Row],[SLA_Days]],"On Time","Late")</f>
        <v>Late</v>
      </c>
      <c r="O701" s="2">
        <f>VLOOKUP(tdata[[#This Row],[Service_Type]],Table2[#All],4,0)</f>
        <v>10000</v>
      </c>
      <c r="P701" s="2">
        <f>tdata[[#This Row],[price_per_kilo]]*tdata[[#This Row],[Weight_KG]]</f>
        <v>8500</v>
      </c>
      <c r="Q701" s="2" t="str">
        <f>VLOOKUP(tdata[[#This Row],[id_employee]],temployee[#All],2,0)</f>
        <v>Vito Mahendra</v>
      </c>
      <c r="R701" s="2" t="str">
        <f>VLOOKUP(tdata[[#This Row],[id_employee]],temployee[#All],4,0)</f>
        <v>internal</v>
      </c>
      <c r="S701" s="9" t="str">
        <f>VLOOKUP(tdata[[#This Row],[id_employee]],temployee[#All],5,0)</f>
        <v>rider</v>
      </c>
    </row>
    <row r="702" spans="2:19" x14ac:dyDescent="0.35">
      <c r="B702" s="8" t="s">
        <v>721</v>
      </c>
      <c r="C702" s="2" t="s">
        <v>1371</v>
      </c>
      <c r="D702" s="5">
        <v>45615</v>
      </c>
      <c r="E702" s="5">
        <f>D702+4</f>
        <v>45619</v>
      </c>
      <c r="F702" s="2" t="s">
        <v>26</v>
      </c>
      <c r="G702" s="2" t="s">
        <v>16</v>
      </c>
      <c r="H702" s="2" t="s">
        <v>1224</v>
      </c>
      <c r="I702" s="2" t="s">
        <v>13</v>
      </c>
      <c r="J702" s="2">
        <v>7.45</v>
      </c>
      <c r="K702" s="2" t="str">
        <f t="shared" si="28"/>
        <v>&gt;5kg</v>
      </c>
      <c r="L702" s="2">
        <f>tdata[[#This Row],[Received_date]]-tdata[[#This Row],[Shipment_Date]]</f>
        <v>4</v>
      </c>
      <c r="M702" s="2">
        <f>VLOOKUP(tdata[[#This Row],[Service_Type]],Table2[#All],2,0)</f>
        <v>3</v>
      </c>
      <c r="N702" s="2" t="str">
        <f>IF(tdata[[#This Row],[Delivery_Days]]&lt;=tdata[[#This Row],[SLA_Days]],"On Time","Late")</f>
        <v>Late</v>
      </c>
      <c r="O702" s="2">
        <f>VLOOKUP(tdata[[#This Row],[Service_Type]],Table2[#All],4,0)</f>
        <v>10000</v>
      </c>
      <c r="P702" s="2">
        <f>tdata[[#This Row],[price_per_kilo]]*tdata[[#This Row],[Weight_KG]]</f>
        <v>74500</v>
      </c>
      <c r="Q702" s="2" t="str">
        <f>VLOOKUP(tdata[[#This Row],[id_employee]],temployee[#All],2,0)</f>
        <v>Winda Sari</v>
      </c>
      <c r="R702" s="2" t="str">
        <f>VLOOKUP(tdata[[#This Row],[id_employee]],temployee[#All],4,0)</f>
        <v>internal</v>
      </c>
      <c r="S702" s="9" t="str">
        <f>VLOOKUP(tdata[[#This Row],[id_employee]],temployee[#All],5,0)</f>
        <v>rider</v>
      </c>
    </row>
    <row r="703" spans="2:19" x14ac:dyDescent="0.35">
      <c r="B703" s="8" t="s">
        <v>722</v>
      </c>
      <c r="C703" s="2" t="s">
        <v>1372</v>
      </c>
      <c r="D703" s="5">
        <v>45394</v>
      </c>
      <c r="E703" s="5">
        <v>45395</v>
      </c>
      <c r="F703" s="2" t="s">
        <v>49</v>
      </c>
      <c r="G703" s="2" t="s">
        <v>15</v>
      </c>
      <c r="H703" s="2" t="s">
        <v>1223</v>
      </c>
      <c r="I703" s="2" t="s">
        <v>17</v>
      </c>
      <c r="J703" s="2">
        <v>3.8</v>
      </c>
      <c r="K703" s="2" t="str">
        <f t="shared" si="28"/>
        <v>&lt; 5kg</v>
      </c>
      <c r="L703" s="2">
        <f>tdata[[#This Row],[Received_date]]-tdata[[#This Row],[Shipment_Date]]</f>
        <v>1</v>
      </c>
      <c r="M703" s="2">
        <f>VLOOKUP(tdata[[#This Row],[Service_Type]],Table2[#All],2,0)</f>
        <v>1</v>
      </c>
      <c r="N703" s="2" t="str">
        <f>IF(tdata[[#This Row],[Delivery_Days]]&lt;=tdata[[#This Row],[SLA_Days]],"On Time","Late")</f>
        <v>On Time</v>
      </c>
      <c r="O703" s="2">
        <f>VLOOKUP(tdata[[#This Row],[Service_Type]],Table2[#All],4,0)</f>
        <v>12000</v>
      </c>
      <c r="P703" s="2">
        <f>tdata[[#This Row],[price_per_kilo]]*tdata[[#This Row],[Weight_KG]]</f>
        <v>45600</v>
      </c>
      <c r="Q703" s="2" t="str">
        <f>VLOOKUP(tdata[[#This Row],[id_employee]],temployee[#All],2,0)</f>
        <v>Yusuf Al Ghazali</v>
      </c>
      <c r="R703" s="2" t="str">
        <f>VLOOKUP(tdata[[#This Row],[id_employee]],temployee[#All],4,0)</f>
        <v>crowd source</v>
      </c>
      <c r="S703" s="9" t="str">
        <f>VLOOKUP(tdata[[#This Row],[id_employee]],temployee[#All],5,0)</f>
        <v>driver</v>
      </c>
    </row>
    <row r="704" spans="2:19" x14ac:dyDescent="0.35">
      <c r="B704" s="8" t="s">
        <v>723</v>
      </c>
      <c r="C704" s="2" t="s">
        <v>1273</v>
      </c>
      <c r="D704" s="5">
        <v>45536</v>
      </c>
      <c r="E704" s="5">
        <f>D704+4</f>
        <v>45540</v>
      </c>
      <c r="F704" s="2" t="s">
        <v>11</v>
      </c>
      <c r="G704" s="2" t="s">
        <v>20</v>
      </c>
      <c r="H704" s="2" t="s">
        <v>1224</v>
      </c>
      <c r="I704" s="2" t="s">
        <v>13</v>
      </c>
      <c r="J704" s="2">
        <v>10.199999999999999</v>
      </c>
      <c r="K704" s="2" t="str">
        <f t="shared" si="28"/>
        <v>&gt;5kg</v>
      </c>
      <c r="L704" s="2">
        <f>tdata[[#This Row],[Received_date]]-tdata[[#This Row],[Shipment_Date]]</f>
        <v>4</v>
      </c>
      <c r="M704" s="2">
        <f>VLOOKUP(tdata[[#This Row],[Service_Type]],Table2[#All],2,0)</f>
        <v>3</v>
      </c>
      <c r="N704" s="2" t="str">
        <f>IF(tdata[[#This Row],[Delivery_Days]]&lt;=tdata[[#This Row],[SLA_Days]],"On Time","Late")</f>
        <v>Late</v>
      </c>
      <c r="O704" s="2">
        <f>VLOOKUP(tdata[[#This Row],[Service_Type]],Table2[#All],4,0)</f>
        <v>10000</v>
      </c>
      <c r="P704" s="2">
        <f>tdata[[#This Row],[price_per_kilo]]*tdata[[#This Row],[Weight_KG]]</f>
        <v>102000</v>
      </c>
      <c r="Q704" s="2" t="str">
        <f>VLOOKUP(tdata[[#This Row],[id_employee]],temployee[#All],2,0)</f>
        <v>Andi Pratama</v>
      </c>
      <c r="R704" s="2" t="str">
        <f>VLOOKUP(tdata[[#This Row],[id_employee]],temployee[#All],4,0)</f>
        <v>internal</v>
      </c>
      <c r="S704" s="9" t="str">
        <f>VLOOKUP(tdata[[#This Row],[id_employee]],temployee[#All],5,0)</f>
        <v>rider</v>
      </c>
    </row>
    <row r="705" spans="2:19" x14ac:dyDescent="0.35">
      <c r="B705" s="8" t="s">
        <v>724</v>
      </c>
      <c r="C705" s="2" t="s">
        <v>1274</v>
      </c>
      <c r="D705" s="5">
        <v>45350</v>
      </c>
      <c r="E705" s="5">
        <v>45352</v>
      </c>
      <c r="F705" s="2" t="s">
        <v>15</v>
      </c>
      <c r="G705" s="2" t="s">
        <v>26</v>
      </c>
      <c r="H705" s="2" t="s">
        <v>1224</v>
      </c>
      <c r="I705" s="2" t="s">
        <v>13</v>
      </c>
      <c r="J705" s="2">
        <v>4.22</v>
      </c>
      <c r="K705" s="2" t="str">
        <f t="shared" si="28"/>
        <v>&lt; 5kg</v>
      </c>
      <c r="L705" s="2">
        <f>tdata[[#This Row],[Received_date]]-tdata[[#This Row],[Shipment_Date]]</f>
        <v>2</v>
      </c>
      <c r="M705" s="2">
        <f>VLOOKUP(tdata[[#This Row],[Service_Type]],Table2[#All],2,0)</f>
        <v>3</v>
      </c>
      <c r="N705" s="2" t="str">
        <f>IF(tdata[[#This Row],[Delivery_Days]]&lt;=tdata[[#This Row],[SLA_Days]],"On Time","Late")</f>
        <v>On Time</v>
      </c>
      <c r="O705" s="2">
        <f>VLOOKUP(tdata[[#This Row],[Service_Type]],Table2[#All],4,0)</f>
        <v>10000</v>
      </c>
      <c r="P705" s="2">
        <f>tdata[[#This Row],[price_per_kilo]]*tdata[[#This Row],[Weight_KG]]</f>
        <v>42200</v>
      </c>
      <c r="Q705" s="2" t="str">
        <f>VLOOKUP(tdata[[#This Row],[id_employee]],temployee[#All],2,0)</f>
        <v>Budi Santoso</v>
      </c>
      <c r="R705" s="2" t="str">
        <f>VLOOKUP(tdata[[#This Row],[id_employee]],temployee[#All],4,0)</f>
        <v>internal</v>
      </c>
      <c r="S705" s="9" t="str">
        <f>VLOOKUP(tdata[[#This Row],[id_employee]],temployee[#All],5,0)</f>
        <v>driver</v>
      </c>
    </row>
    <row r="706" spans="2:19" x14ac:dyDescent="0.35">
      <c r="B706" s="8" t="s">
        <v>725</v>
      </c>
      <c r="C706" s="2" t="s">
        <v>1275</v>
      </c>
      <c r="D706" s="5">
        <v>45034</v>
      </c>
      <c r="E706" s="5">
        <v>45034</v>
      </c>
      <c r="F706" s="2" t="s">
        <v>20</v>
      </c>
      <c r="G706" s="2" t="s">
        <v>11</v>
      </c>
      <c r="H706" s="2" t="s">
        <v>1223</v>
      </c>
      <c r="I706" s="2" t="s">
        <v>17</v>
      </c>
      <c r="J706" s="2">
        <v>2.0699999999999998</v>
      </c>
      <c r="K706" s="2" t="str">
        <f t="shared" si="28"/>
        <v>&lt; 5kg</v>
      </c>
      <c r="L706" s="2">
        <f>tdata[[#This Row],[Received_date]]-tdata[[#This Row],[Shipment_Date]]</f>
        <v>0</v>
      </c>
      <c r="M706" s="2">
        <f>VLOOKUP(tdata[[#This Row],[Service_Type]],Table2[#All],2,0)</f>
        <v>1</v>
      </c>
      <c r="N706" s="2" t="str">
        <f>IF(tdata[[#This Row],[Delivery_Days]]&lt;=tdata[[#This Row],[SLA_Days]],"On Time","Late")</f>
        <v>On Time</v>
      </c>
      <c r="O706" s="2">
        <f>VLOOKUP(tdata[[#This Row],[Service_Type]],Table2[#All],4,0)</f>
        <v>12000</v>
      </c>
      <c r="P706" s="2">
        <f>tdata[[#This Row],[price_per_kilo]]*tdata[[#This Row],[Weight_KG]]</f>
        <v>24839.999999999996</v>
      </c>
      <c r="Q706" s="2" t="str">
        <f>VLOOKUP(tdata[[#This Row],[id_employee]],temployee[#All],2,0)</f>
        <v>Citra Lestari</v>
      </c>
      <c r="R706" s="2" t="str">
        <f>VLOOKUP(tdata[[#This Row],[id_employee]],temployee[#All],4,0)</f>
        <v>crowd source</v>
      </c>
      <c r="S706" s="9" t="str">
        <f>VLOOKUP(tdata[[#This Row],[id_employee]],temployee[#All],5,0)</f>
        <v>rider</v>
      </c>
    </row>
    <row r="707" spans="2:19" x14ac:dyDescent="0.35">
      <c r="B707" s="8" t="s">
        <v>726</v>
      </c>
      <c r="C707" s="2" t="s">
        <v>1276</v>
      </c>
      <c r="D707" s="5">
        <v>45249</v>
      </c>
      <c r="E707" s="5">
        <v>45251</v>
      </c>
      <c r="F707" s="2" t="s">
        <v>22</v>
      </c>
      <c r="G707" s="2" t="s">
        <v>22</v>
      </c>
      <c r="H707" s="2" t="s">
        <v>1224</v>
      </c>
      <c r="I707" s="2" t="s">
        <v>13</v>
      </c>
      <c r="J707" s="2">
        <v>2.79</v>
      </c>
      <c r="K707" s="2" t="str">
        <f t="shared" si="28"/>
        <v>&lt; 5kg</v>
      </c>
      <c r="L707" s="2">
        <f>tdata[[#This Row],[Received_date]]-tdata[[#This Row],[Shipment_Date]]</f>
        <v>2</v>
      </c>
      <c r="M707" s="2">
        <f>VLOOKUP(tdata[[#This Row],[Service_Type]],Table2[#All],2,0)</f>
        <v>3</v>
      </c>
      <c r="N707" s="2" t="str">
        <f>IF(tdata[[#This Row],[Delivery_Days]]&lt;=tdata[[#This Row],[SLA_Days]],"On Time","Late")</f>
        <v>On Time</v>
      </c>
      <c r="O707" s="2">
        <f>VLOOKUP(tdata[[#This Row],[Service_Type]],Table2[#All],4,0)</f>
        <v>10000</v>
      </c>
      <c r="P707" s="2">
        <f>tdata[[#This Row],[price_per_kilo]]*tdata[[#This Row],[Weight_KG]]</f>
        <v>27900</v>
      </c>
      <c r="Q707" s="2" t="str">
        <f>VLOOKUP(tdata[[#This Row],[id_employee]],temployee[#All],2,0)</f>
        <v>Dedi Saputra</v>
      </c>
      <c r="R707" s="2" t="str">
        <f>VLOOKUP(tdata[[#This Row],[id_employee]],temployee[#All],4,0)</f>
        <v>crowd source</v>
      </c>
      <c r="S707" s="9" t="str">
        <f>VLOOKUP(tdata[[#This Row],[id_employee]],temployee[#All],5,0)</f>
        <v>driver</v>
      </c>
    </row>
    <row r="708" spans="2:19" x14ac:dyDescent="0.35">
      <c r="B708" s="8" t="s">
        <v>727</v>
      </c>
      <c r="C708" s="2" t="s">
        <v>1277</v>
      </c>
      <c r="D708" s="5">
        <v>45088</v>
      </c>
      <c r="E708" s="5">
        <v>45090</v>
      </c>
      <c r="F708" s="2" t="s">
        <v>12</v>
      </c>
      <c r="G708" s="2" t="s">
        <v>22</v>
      </c>
      <c r="H708" s="2" t="s">
        <v>1224</v>
      </c>
      <c r="I708" s="2" t="s">
        <v>13</v>
      </c>
      <c r="J708" s="2">
        <v>1.01</v>
      </c>
      <c r="K708" s="2" t="str">
        <f t="shared" si="28"/>
        <v>&lt; 5kg</v>
      </c>
      <c r="L708" s="2">
        <f>tdata[[#This Row],[Received_date]]-tdata[[#This Row],[Shipment_Date]]</f>
        <v>2</v>
      </c>
      <c r="M708" s="2">
        <f>VLOOKUP(tdata[[#This Row],[Service_Type]],Table2[#All],2,0)</f>
        <v>3</v>
      </c>
      <c r="N708" s="2" t="str">
        <f>IF(tdata[[#This Row],[Delivery_Days]]&lt;=tdata[[#This Row],[SLA_Days]],"On Time","Late")</f>
        <v>On Time</v>
      </c>
      <c r="O708" s="2">
        <f>VLOOKUP(tdata[[#This Row],[Service_Type]],Table2[#All],4,0)</f>
        <v>10000</v>
      </c>
      <c r="P708" s="2">
        <f>tdata[[#This Row],[price_per_kilo]]*tdata[[#This Row],[Weight_KG]]</f>
        <v>10100</v>
      </c>
      <c r="Q708" s="2" t="str">
        <f>VLOOKUP(tdata[[#This Row],[id_employee]],temployee[#All],2,0)</f>
        <v>Eko Nugroho</v>
      </c>
      <c r="R708" s="2" t="str">
        <f>VLOOKUP(tdata[[#This Row],[id_employee]],temployee[#All],4,0)</f>
        <v>internal</v>
      </c>
      <c r="S708" s="9" t="str">
        <f>VLOOKUP(tdata[[#This Row],[id_employee]],temployee[#All],5,0)</f>
        <v>rider</v>
      </c>
    </row>
    <row r="709" spans="2:19" x14ac:dyDescent="0.35">
      <c r="B709" s="8" t="s">
        <v>728</v>
      </c>
      <c r="C709" s="2" t="s">
        <v>1278</v>
      </c>
      <c r="D709" s="5">
        <v>45483</v>
      </c>
      <c r="E709" s="5">
        <v>45485</v>
      </c>
      <c r="F709" s="2" t="s">
        <v>30</v>
      </c>
      <c r="G709" s="2" t="s">
        <v>20</v>
      </c>
      <c r="H709" s="2" t="s">
        <v>1224</v>
      </c>
      <c r="I709" s="2" t="s">
        <v>17</v>
      </c>
      <c r="J709" s="2">
        <v>6.61</v>
      </c>
      <c r="K709" s="2" t="str">
        <f t="shared" ref="K709:K772" si="30">IF(J709&lt;5,"&lt; 5kg", "&gt;5kg")</f>
        <v>&gt;5kg</v>
      </c>
      <c r="L709" s="2">
        <f>tdata[[#This Row],[Received_date]]-tdata[[#This Row],[Shipment_Date]]</f>
        <v>2</v>
      </c>
      <c r="M709" s="2">
        <f>VLOOKUP(tdata[[#This Row],[Service_Type]],Table2[#All],2,0)</f>
        <v>3</v>
      </c>
      <c r="N709" s="2" t="str">
        <f>IF(tdata[[#This Row],[Delivery_Days]]&lt;=tdata[[#This Row],[SLA_Days]],"On Time","Late")</f>
        <v>On Time</v>
      </c>
      <c r="O709" s="2">
        <f>VLOOKUP(tdata[[#This Row],[Service_Type]],Table2[#All],4,0)</f>
        <v>10000</v>
      </c>
      <c r="P709" s="2">
        <f>tdata[[#This Row],[price_per_kilo]]*tdata[[#This Row],[Weight_KG]]</f>
        <v>66100</v>
      </c>
      <c r="Q709" s="2" t="str">
        <f>VLOOKUP(tdata[[#This Row],[id_employee]],temployee[#All],2,0)</f>
        <v>Fajar Hidayat</v>
      </c>
      <c r="R709" s="2" t="str">
        <f>VLOOKUP(tdata[[#This Row],[id_employee]],temployee[#All],4,0)</f>
        <v>internal</v>
      </c>
      <c r="S709" s="9" t="str">
        <f>VLOOKUP(tdata[[#This Row],[id_employee]],temployee[#All],5,0)</f>
        <v>driver</v>
      </c>
    </row>
    <row r="710" spans="2:19" x14ac:dyDescent="0.35">
      <c r="B710" s="8" t="s">
        <v>729</v>
      </c>
      <c r="C710" s="2" t="s">
        <v>1279</v>
      </c>
      <c r="D710" s="5">
        <v>45031</v>
      </c>
      <c r="E710" s="5">
        <f>D710+4</f>
        <v>45035</v>
      </c>
      <c r="F710" s="2" t="s">
        <v>32</v>
      </c>
      <c r="G710" s="2" t="s">
        <v>30</v>
      </c>
      <c r="H710" s="2" t="s">
        <v>23</v>
      </c>
      <c r="I710" s="2" t="s">
        <v>13</v>
      </c>
      <c r="J710" s="2">
        <v>5.77</v>
      </c>
      <c r="K710" s="2" t="str">
        <f t="shared" si="30"/>
        <v>&gt;5kg</v>
      </c>
      <c r="L710" s="2">
        <f>tdata[[#This Row],[Received_date]]-tdata[[#This Row],[Shipment_Date]]</f>
        <v>4</v>
      </c>
      <c r="M710" s="2">
        <f>VLOOKUP(tdata[[#This Row],[Service_Type]],Table2[#All],2,0)</f>
        <v>5</v>
      </c>
      <c r="N710" s="2" t="str">
        <f>IF(tdata[[#This Row],[Delivery_Days]]&lt;=tdata[[#This Row],[SLA_Days]],"On Time","Late")</f>
        <v>On Time</v>
      </c>
      <c r="O710" s="2">
        <f>VLOOKUP(tdata[[#This Row],[Service_Type]],Table2[#All],4,0)</f>
        <v>9000</v>
      </c>
      <c r="P710" s="2">
        <f>tdata[[#This Row],[price_per_kilo]]*tdata[[#This Row],[Weight_KG]]</f>
        <v>51929.999999999993</v>
      </c>
      <c r="Q710" s="2" t="str">
        <f>VLOOKUP(tdata[[#This Row],[id_employee]],temployee[#All],2,0)</f>
        <v>Gita Rahmawati</v>
      </c>
      <c r="R710" s="2" t="str">
        <f>VLOOKUP(tdata[[#This Row],[id_employee]],temployee[#All],4,0)</f>
        <v>crowd source</v>
      </c>
      <c r="S710" s="9" t="str">
        <f>VLOOKUP(tdata[[#This Row],[id_employee]],temployee[#All],5,0)</f>
        <v>rider</v>
      </c>
    </row>
    <row r="711" spans="2:19" x14ac:dyDescent="0.35">
      <c r="B711" s="8" t="s">
        <v>730</v>
      </c>
      <c r="C711" s="2" t="s">
        <v>1280</v>
      </c>
      <c r="D711" s="5">
        <v>45603</v>
      </c>
      <c r="E711" s="5">
        <v>45606</v>
      </c>
      <c r="F711" s="2" t="s">
        <v>16</v>
      </c>
      <c r="G711" s="2" t="s">
        <v>32</v>
      </c>
      <c r="H711" s="2" t="s">
        <v>1224</v>
      </c>
      <c r="I711" s="2" t="s">
        <v>13</v>
      </c>
      <c r="J711" s="2">
        <v>5.4</v>
      </c>
      <c r="K711" s="2" t="str">
        <f t="shared" si="30"/>
        <v>&gt;5kg</v>
      </c>
      <c r="L711" s="2">
        <f>tdata[[#This Row],[Received_date]]-tdata[[#This Row],[Shipment_Date]]</f>
        <v>3</v>
      </c>
      <c r="M711" s="2">
        <f>VLOOKUP(tdata[[#This Row],[Service_Type]],Table2[#All],2,0)</f>
        <v>3</v>
      </c>
      <c r="N711" s="2" t="str">
        <f>IF(tdata[[#This Row],[Delivery_Days]]&lt;=tdata[[#This Row],[SLA_Days]],"On Time","Late")</f>
        <v>On Time</v>
      </c>
      <c r="O711" s="2">
        <f>VLOOKUP(tdata[[#This Row],[Service_Type]],Table2[#All],4,0)</f>
        <v>10000</v>
      </c>
      <c r="P711" s="2">
        <f>tdata[[#This Row],[price_per_kilo]]*tdata[[#This Row],[Weight_KG]]</f>
        <v>54000</v>
      </c>
      <c r="Q711" s="2" t="str">
        <f>VLOOKUP(tdata[[#This Row],[id_employee]],temployee[#All],2,0)</f>
        <v>Hendra Wijaya</v>
      </c>
      <c r="R711" s="2" t="str">
        <f>VLOOKUP(tdata[[#This Row],[id_employee]],temployee[#All],4,0)</f>
        <v>internal</v>
      </c>
      <c r="S711" s="9" t="str">
        <f>VLOOKUP(tdata[[#This Row],[id_employee]],temployee[#All],5,0)</f>
        <v>driver</v>
      </c>
    </row>
    <row r="712" spans="2:19" x14ac:dyDescent="0.35">
      <c r="B712" s="8" t="s">
        <v>731</v>
      </c>
      <c r="C712" s="2" t="s">
        <v>1281</v>
      </c>
      <c r="D712" s="5">
        <v>45160</v>
      </c>
      <c r="E712" s="5">
        <v>45162</v>
      </c>
      <c r="F712" s="2" t="s">
        <v>26</v>
      </c>
      <c r="G712" s="2" t="s">
        <v>12</v>
      </c>
      <c r="H712" s="2" t="s">
        <v>23</v>
      </c>
      <c r="I712" s="2" t="s">
        <v>13</v>
      </c>
      <c r="J712" s="2">
        <v>0.67</v>
      </c>
      <c r="K712" s="2" t="str">
        <f t="shared" si="30"/>
        <v>&lt; 5kg</v>
      </c>
      <c r="L712" s="2">
        <f>tdata[[#This Row],[Received_date]]-tdata[[#This Row],[Shipment_Date]]</f>
        <v>2</v>
      </c>
      <c r="M712" s="2">
        <f>VLOOKUP(tdata[[#This Row],[Service_Type]],Table2[#All],2,0)</f>
        <v>5</v>
      </c>
      <c r="N712" s="2" t="str">
        <f>IF(tdata[[#This Row],[Delivery_Days]]&lt;=tdata[[#This Row],[SLA_Days]],"On Time","Late")</f>
        <v>On Time</v>
      </c>
      <c r="O712" s="2">
        <f>VLOOKUP(tdata[[#This Row],[Service_Type]],Table2[#All],4,0)</f>
        <v>9000</v>
      </c>
      <c r="P712" s="2">
        <f>tdata[[#This Row],[price_per_kilo]]*tdata[[#This Row],[Weight_KG]]</f>
        <v>6030</v>
      </c>
      <c r="Q712" s="2" t="str">
        <f>VLOOKUP(tdata[[#This Row],[id_employee]],temployee[#All],2,0)</f>
        <v>Indah Permata</v>
      </c>
      <c r="R712" s="2" t="str">
        <f>VLOOKUP(tdata[[#This Row],[id_employee]],temployee[#All],4,0)</f>
        <v>crowd source</v>
      </c>
      <c r="S712" s="9" t="str">
        <f>VLOOKUP(tdata[[#This Row],[id_employee]],temployee[#All],5,0)</f>
        <v>rider</v>
      </c>
    </row>
    <row r="713" spans="2:19" x14ac:dyDescent="0.35">
      <c r="B713" s="8" t="s">
        <v>732</v>
      </c>
      <c r="C713" s="2" t="s">
        <v>1282</v>
      </c>
      <c r="D713" s="5">
        <v>45403</v>
      </c>
      <c r="E713" s="5">
        <v>45403</v>
      </c>
      <c r="F713" s="2" t="s">
        <v>49</v>
      </c>
      <c r="G713" s="2" t="s">
        <v>11</v>
      </c>
      <c r="H713" s="2" t="s">
        <v>1224</v>
      </c>
      <c r="I713" s="2" t="s">
        <v>17</v>
      </c>
      <c r="J713" s="2">
        <v>2.79</v>
      </c>
      <c r="K713" s="2" t="str">
        <f t="shared" si="30"/>
        <v>&lt; 5kg</v>
      </c>
      <c r="L713" s="2">
        <f>tdata[[#This Row],[Received_date]]-tdata[[#This Row],[Shipment_Date]]</f>
        <v>0</v>
      </c>
      <c r="M713" s="2">
        <f>VLOOKUP(tdata[[#This Row],[Service_Type]],Table2[#All],2,0)</f>
        <v>3</v>
      </c>
      <c r="N713" s="2" t="str">
        <f>IF(tdata[[#This Row],[Delivery_Days]]&lt;=tdata[[#This Row],[SLA_Days]],"On Time","Late")</f>
        <v>On Time</v>
      </c>
      <c r="O713" s="2">
        <f>VLOOKUP(tdata[[#This Row],[Service_Type]],Table2[#All],4,0)</f>
        <v>10000</v>
      </c>
      <c r="P713" s="2">
        <f>tdata[[#This Row],[price_per_kilo]]*tdata[[#This Row],[Weight_KG]]</f>
        <v>27900</v>
      </c>
      <c r="Q713" s="2" t="str">
        <f>VLOOKUP(tdata[[#This Row],[id_employee]],temployee[#All],2,0)</f>
        <v>Joko Susilo</v>
      </c>
      <c r="R713" s="2" t="str">
        <f>VLOOKUP(tdata[[#This Row],[id_employee]],temployee[#All],4,0)</f>
        <v>internal</v>
      </c>
      <c r="S713" s="9" t="str">
        <f>VLOOKUP(tdata[[#This Row],[id_employee]],temployee[#All],5,0)</f>
        <v>driver</v>
      </c>
    </row>
    <row r="714" spans="2:19" x14ac:dyDescent="0.35">
      <c r="B714" s="8" t="s">
        <v>733</v>
      </c>
      <c r="C714" s="2" t="s">
        <v>1283</v>
      </c>
      <c r="D714" s="5">
        <v>45615</v>
      </c>
      <c r="E714" s="5">
        <v>45620</v>
      </c>
      <c r="F714" s="2" t="s">
        <v>11</v>
      </c>
      <c r="G714" s="2" t="s">
        <v>30</v>
      </c>
      <c r="H714" s="2" t="s">
        <v>1224</v>
      </c>
      <c r="I714" s="2" t="s">
        <v>13</v>
      </c>
      <c r="J714" s="2">
        <v>3.24</v>
      </c>
      <c r="K714" s="2" t="str">
        <f t="shared" si="30"/>
        <v>&lt; 5kg</v>
      </c>
      <c r="L714" s="2">
        <f>tdata[[#This Row],[Received_date]]-tdata[[#This Row],[Shipment_Date]]</f>
        <v>5</v>
      </c>
      <c r="M714" s="2">
        <f>VLOOKUP(tdata[[#This Row],[Service_Type]],Table2[#All],2,0)</f>
        <v>3</v>
      </c>
      <c r="N714" s="2" t="str">
        <f>IF(tdata[[#This Row],[Delivery_Days]]&lt;=tdata[[#This Row],[SLA_Days]],"On Time","Late")</f>
        <v>Late</v>
      </c>
      <c r="O714" s="2">
        <f>VLOOKUP(tdata[[#This Row],[Service_Type]],Table2[#All],4,0)</f>
        <v>10000</v>
      </c>
      <c r="P714" s="2">
        <f>tdata[[#This Row],[price_per_kilo]]*tdata[[#This Row],[Weight_KG]]</f>
        <v>32400.000000000004</v>
      </c>
      <c r="Q714" s="2" t="str">
        <f>VLOOKUP(tdata[[#This Row],[id_employee]],temployee[#All],2,0)</f>
        <v>Kurniawan Putra</v>
      </c>
      <c r="R714" s="2" t="str">
        <f>VLOOKUP(tdata[[#This Row],[id_employee]],temployee[#All],4,0)</f>
        <v>crowd source</v>
      </c>
      <c r="S714" s="9" t="str">
        <f>VLOOKUP(tdata[[#This Row],[id_employee]],temployee[#All],5,0)</f>
        <v>driver</v>
      </c>
    </row>
    <row r="715" spans="2:19" x14ac:dyDescent="0.35">
      <c r="B715" s="8" t="s">
        <v>734</v>
      </c>
      <c r="C715" s="2" t="s">
        <v>1284</v>
      </c>
      <c r="D715" s="5">
        <v>45213</v>
      </c>
      <c r="E715" s="5">
        <v>45223</v>
      </c>
      <c r="F715" s="2" t="s">
        <v>15</v>
      </c>
      <c r="G715" s="2" t="s">
        <v>49</v>
      </c>
      <c r="H715" s="2" t="s">
        <v>1223</v>
      </c>
      <c r="I715" s="2" t="s">
        <v>13</v>
      </c>
      <c r="J715" s="2">
        <v>5.99</v>
      </c>
      <c r="K715" s="2" t="str">
        <f t="shared" si="30"/>
        <v>&gt;5kg</v>
      </c>
      <c r="L715" s="2">
        <f>tdata[[#This Row],[Received_date]]-tdata[[#This Row],[Shipment_Date]]</f>
        <v>10</v>
      </c>
      <c r="M715" s="2">
        <f>VLOOKUP(tdata[[#This Row],[Service_Type]],Table2[#All],2,0)</f>
        <v>1</v>
      </c>
      <c r="N715" s="2" t="str">
        <f>IF(tdata[[#This Row],[Delivery_Days]]&lt;=tdata[[#This Row],[SLA_Days]],"On Time","Late")</f>
        <v>Late</v>
      </c>
      <c r="O715" s="2">
        <f>VLOOKUP(tdata[[#This Row],[Service_Type]],Table2[#All],4,0)</f>
        <v>12000</v>
      </c>
      <c r="P715" s="2">
        <f>tdata[[#This Row],[price_per_kilo]]*tdata[[#This Row],[Weight_KG]]</f>
        <v>71880</v>
      </c>
      <c r="Q715" s="2" t="str">
        <f>VLOOKUP(tdata[[#This Row],[id_employee]],temployee[#All],2,0)</f>
        <v>Lina Marlina</v>
      </c>
      <c r="R715" s="2" t="str">
        <f>VLOOKUP(tdata[[#This Row],[id_employee]],temployee[#All],4,0)</f>
        <v>internal</v>
      </c>
      <c r="S715" s="9" t="str">
        <f>VLOOKUP(tdata[[#This Row],[id_employee]],temployee[#All],5,0)</f>
        <v>rider</v>
      </c>
    </row>
    <row r="716" spans="2:19" x14ac:dyDescent="0.35">
      <c r="B716" s="8" t="s">
        <v>735</v>
      </c>
      <c r="C716" s="2" t="s">
        <v>1285</v>
      </c>
      <c r="D716" s="5">
        <v>45243</v>
      </c>
      <c r="E716" s="5">
        <f>D716+4</f>
        <v>45247</v>
      </c>
      <c r="F716" s="2" t="s">
        <v>20</v>
      </c>
      <c r="G716" s="2" t="s">
        <v>26</v>
      </c>
      <c r="H716" s="2" t="s">
        <v>1224</v>
      </c>
      <c r="I716" s="2" t="s">
        <v>17</v>
      </c>
      <c r="J716" s="2">
        <v>9.5</v>
      </c>
      <c r="K716" s="2" t="str">
        <f t="shared" si="30"/>
        <v>&gt;5kg</v>
      </c>
      <c r="L716" s="2">
        <f>tdata[[#This Row],[Received_date]]-tdata[[#This Row],[Shipment_Date]]</f>
        <v>4</v>
      </c>
      <c r="M716" s="2">
        <f>VLOOKUP(tdata[[#This Row],[Service_Type]],Table2[#All],2,0)</f>
        <v>3</v>
      </c>
      <c r="N716" s="2" t="str">
        <f>IF(tdata[[#This Row],[Delivery_Days]]&lt;=tdata[[#This Row],[SLA_Days]],"On Time","Late")</f>
        <v>Late</v>
      </c>
      <c r="O716" s="2">
        <f>VLOOKUP(tdata[[#This Row],[Service_Type]],Table2[#All],4,0)</f>
        <v>10000</v>
      </c>
      <c r="P716" s="2">
        <f>tdata[[#This Row],[price_per_kilo]]*tdata[[#This Row],[Weight_KG]]</f>
        <v>95000</v>
      </c>
      <c r="Q716" s="2" t="str">
        <f>VLOOKUP(tdata[[#This Row],[id_employee]],temployee[#All],2,0)</f>
        <v>Rizky Ananda</v>
      </c>
      <c r="R716" s="2" t="str">
        <f>VLOOKUP(tdata[[#This Row],[id_employee]],temployee[#All],4,0)</f>
        <v>crowd source</v>
      </c>
      <c r="S716" s="9" t="str">
        <f>VLOOKUP(tdata[[#This Row],[id_employee]],temployee[#All],5,0)</f>
        <v>rider</v>
      </c>
    </row>
    <row r="717" spans="2:19" x14ac:dyDescent="0.35">
      <c r="B717" s="8" t="s">
        <v>736</v>
      </c>
      <c r="C717" s="2" t="s">
        <v>1286</v>
      </c>
      <c r="D717" s="5">
        <v>45537</v>
      </c>
      <c r="E717" s="5">
        <v>45539</v>
      </c>
      <c r="F717" s="2" t="s">
        <v>22</v>
      </c>
      <c r="G717" s="2" t="s">
        <v>12</v>
      </c>
      <c r="H717" s="2" t="s">
        <v>23</v>
      </c>
      <c r="I717" s="2" t="s">
        <v>17</v>
      </c>
      <c r="J717" s="2">
        <v>9.52</v>
      </c>
      <c r="K717" s="2" t="str">
        <f t="shared" si="30"/>
        <v>&gt;5kg</v>
      </c>
      <c r="L717" s="2">
        <f>tdata[[#This Row],[Received_date]]-tdata[[#This Row],[Shipment_Date]]</f>
        <v>2</v>
      </c>
      <c r="M717" s="2">
        <f>VLOOKUP(tdata[[#This Row],[Service_Type]],Table2[#All],2,0)</f>
        <v>5</v>
      </c>
      <c r="N717" s="2" t="str">
        <f>IF(tdata[[#This Row],[Delivery_Days]]&lt;=tdata[[#This Row],[SLA_Days]],"On Time","Late")</f>
        <v>On Time</v>
      </c>
      <c r="O717" s="2">
        <f>VLOOKUP(tdata[[#This Row],[Service_Type]],Table2[#All],4,0)</f>
        <v>9000</v>
      </c>
      <c r="P717" s="2">
        <f>tdata[[#This Row],[price_per_kilo]]*tdata[[#This Row],[Weight_KG]]</f>
        <v>85680</v>
      </c>
      <c r="Q717" s="2" t="str">
        <f>VLOOKUP(tdata[[#This Row],[id_employee]],temployee[#All],2,0)</f>
        <v>Nanda Prakoso</v>
      </c>
      <c r="R717" s="2" t="str">
        <f>VLOOKUP(tdata[[#This Row],[id_employee]],temployee[#All],4,0)</f>
        <v>internal</v>
      </c>
      <c r="S717" s="9" t="str">
        <f>VLOOKUP(tdata[[#This Row],[id_employee]],temployee[#All],5,0)</f>
        <v>driver</v>
      </c>
    </row>
    <row r="718" spans="2:19" x14ac:dyDescent="0.35">
      <c r="B718" s="8" t="s">
        <v>737</v>
      </c>
      <c r="C718" s="2" t="s">
        <v>1287</v>
      </c>
      <c r="D718" s="5">
        <v>44974</v>
      </c>
      <c r="E718" s="5">
        <v>44977</v>
      </c>
      <c r="F718" s="2" t="s">
        <v>12</v>
      </c>
      <c r="G718" s="2" t="s">
        <v>49</v>
      </c>
      <c r="H718" s="2" t="s">
        <v>1224</v>
      </c>
      <c r="I718" s="2" t="s">
        <v>13</v>
      </c>
      <c r="J718" s="2">
        <v>8.02</v>
      </c>
      <c r="K718" s="2" t="str">
        <f t="shared" si="30"/>
        <v>&gt;5kg</v>
      </c>
      <c r="L718" s="2">
        <f>tdata[[#This Row],[Received_date]]-tdata[[#This Row],[Shipment_Date]]</f>
        <v>3</v>
      </c>
      <c r="M718" s="2">
        <f>VLOOKUP(tdata[[#This Row],[Service_Type]],Table2[#All],2,0)</f>
        <v>3</v>
      </c>
      <c r="N718" s="2" t="str">
        <f>IF(tdata[[#This Row],[Delivery_Days]]&lt;=tdata[[#This Row],[SLA_Days]],"On Time","Late")</f>
        <v>On Time</v>
      </c>
      <c r="O718" s="2">
        <f>VLOOKUP(tdata[[#This Row],[Service_Type]],Table2[#All],4,0)</f>
        <v>10000</v>
      </c>
      <c r="P718" s="2">
        <f>tdata[[#This Row],[price_per_kilo]]*tdata[[#This Row],[Weight_KG]]</f>
        <v>80200</v>
      </c>
      <c r="Q718" s="2" t="str">
        <f>VLOOKUP(tdata[[#This Row],[id_employee]],temployee[#All],2,0)</f>
        <v>Oktavian Yusuf</v>
      </c>
      <c r="R718" s="2" t="str">
        <f>VLOOKUP(tdata[[#This Row],[id_employee]],temployee[#All],4,0)</f>
        <v>crowd source</v>
      </c>
      <c r="S718" s="9" t="str">
        <f>VLOOKUP(tdata[[#This Row],[id_employee]],temployee[#All],5,0)</f>
        <v>driver</v>
      </c>
    </row>
    <row r="719" spans="2:19" x14ac:dyDescent="0.35">
      <c r="B719" s="8" t="s">
        <v>738</v>
      </c>
      <c r="C719" s="2" t="s">
        <v>1288</v>
      </c>
      <c r="D719" s="5">
        <v>44978</v>
      </c>
      <c r="E719" s="5">
        <v>44988</v>
      </c>
      <c r="F719" s="2" t="s">
        <v>30</v>
      </c>
      <c r="G719" s="2" t="s">
        <v>32</v>
      </c>
      <c r="H719" s="2" t="s">
        <v>23</v>
      </c>
      <c r="I719" s="2" t="s">
        <v>17</v>
      </c>
      <c r="J719" s="2">
        <v>3.34</v>
      </c>
      <c r="K719" s="2" t="str">
        <f t="shared" si="30"/>
        <v>&lt; 5kg</v>
      </c>
      <c r="L719" s="2">
        <f>tdata[[#This Row],[Received_date]]-tdata[[#This Row],[Shipment_Date]]</f>
        <v>10</v>
      </c>
      <c r="M719" s="2">
        <f>VLOOKUP(tdata[[#This Row],[Service_Type]],Table2[#All],2,0)</f>
        <v>5</v>
      </c>
      <c r="N719" s="2" t="str">
        <f>IF(tdata[[#This Row],[Delivery_Days]]&lt;=tdata[[#This Row],[SLA_Days]],"On Time","Late")</f>
        <v>Late</v>
      </c>
      <c r="O719" s="2">
        <f>VLOOKUP(tdata[[#This Row],[Service_Type]],Table2[#All],4,0)</f>
        <v>9000</v>
      </c>
      <c r="P719" s="2">
        <f>tdata[[#This Row],[price_per_kilo]]*tdata[[#This Row],[Weight_KG]]</f>
        <v>30060</v>
      </c>
      <c r="Q719" s="2" t="str">
        <f>VLOOKUP(tdata[[#This Row],[id_employee]],temployee[#All],2,0)</f>
        <v>Putri Ayu Lestari</v>
      </c>
      <c r="R719" s="2" t="str">
        <f>VLOOKUP(tdata[[#This Row],[id_employee]],temployee[#All],4,0)</f>
        <v>internal</v>
      </c>
      <c r="S719" s="9" t="str">
        <f>VLOOKUP(tdata[[#This Row],[id_employee]],temployee[#All],5,0)</f>
        <v>rider</v>
      </c>
    </row>
    <row r="720" spans="2:19" x14ac:dyDescent="0.35">
      <c r="B720" s="8" t="s">
        <v>739</v>
      </c>
      <c r="C720" s="2" t="s">
        <v>1289</v>
      </c>
      <c r="D720" s="5">
        <v>45642</v>
      </c>
      <c r="E720" s="5">
        <v>45648</v>
      </c>
      <c r="F720" s="2" t="s">
        <v>32</v>
      </c>
      <c r="G720" s="2" t="s">
        <v>49</v>
      </c>
      <c r="H720" s="2" t="s">
        <v>1224</v>
      </c>
      <c r="I720" s="2" t="s">
        <v>17</v>
      </c>
      <c r="J720" s="2">
        <v>9.0500000000000007</v>
      </c>
      <c r="K720" s="2" t="str">
        <f t="shared" si="30"/>
        <v>&gt;5kg</v>
      </c>
      <c r="L720" s="2">
        <f>tdata[[#This Row],[Received_date]]-tdata[[#This Row],[Shipment_Date]]</f>
        <v>6</v>
      </c>
      <c r="M720" s="2">
        <f>VLOOKUP(tdata[[#This Row],[Service_Type]],Table2[#All],2,0)</f>
        <v>3</v>
      </c>
      <c r="N720" s="2" t="str">
        <f>IF(tdata[[#This Row],[Delivery_Days]]&lt;=tdata[[#This Row],[SLA_Days]],"On Time","Late")</f>
        <v>Late</v>
      </c>
      <c r="O720" s="2">
        <f>VLOOKUP(tdata[[#This Row],[Service_Type]],Table2[#All],4,0)</f>
        <v>10000</v>
      </c>
      <c r="P720" s="2">
        <f>tdata[[#This Row],[price_per_kilo]]*tdata[[#This Row],[Weight_KG]]</f>
        <v>90500</v>
      </c>
      <c r="Q720" s="2" t="str">
        <f>VLOOKUP(tdata[[#This Row],[id_employee]],temployee[#All],2,0)</f>
        <v>Rafi Maulana</v>
      </c>
      <c r="R720" s="2" t="str">
        <f>VLOOKUP(tdata[[#This Row],[id_employee]],temployee[#All],4,0)</f>
        <v>internal</v>
      </c>
      <c r="S720" s="9" t="str">
        <f>VLOOKUP(tdata[[#This Row],[id_employee]],temployee[#All],5,0)</f>
        <v>rider</v>
      </c>
    </row>
    <row r="721" spans="2:19" x14ac:dyDescent="0.35">
      <c r="B721" s="8" t="s">
        <v>740</v>
      </c>
      <c r="C721" s="2" t="s">
        <v>1290</v>
      </c>
      <c r="D721" s="5">
        <v>45599</v>
      </c>
      <c r="E721" s="5">
        <f>D721+4</f>
        <v>45603</v>
      </c>
      <c r="F721" s="2" t="s">
        <v>16</v>
      </c>
      <c r="G721" s="2" t="s">
        <v>20</v>
      </c>
      <c r="H721" s="2" t="s">
        <v>23</v>
      </c>
      <c r="I721" s="2" t="s">
        <v>13</v>
      </c>
      <c r="J721" s="2">
        <v>9.25</v>
      </c>
      <c r="K721" s="2" t="str">
        <f t="shared" si="30"/>
        <v>&gt;5kg</v>
      </c>
      <c r="L721" s="2">
        <f>tdata[[#This Row],[Received_date]]-tdata[[#This Row],[Shipment_Date]]</f>
        <v>4</v>
      </c>
      <c r="M721" s="2">
        <f>VLOOKUP(tdata[[#This Row],[Service_Type]],Table2[#All],2,0)</f>
        <v>5</v>
      </c>
      <c r="N721" s="2" t="str">
        <f>IF(tdata[[#This Row],[Delivery_Days]]&lt;=tdata[[#This Row],[SLA_Days]],"On Time","Late")</f>
        <v>On Time</v>
      </c>
      <c r="O721" s="2">
        <f>VLOOKUP(tdata[[#This Row],[Service_Type]],Table2[#All],4,0)</f>
        <v>9000</v>
      </c>
      <c r="P721" s="2">
        <f>tdata[[#This Row],[price_per_kilo]]*tdata[[#This Row],[Weight_KG]]</f>
        <v>83250</v>
      </c>
      <c r="Q721" s="2" t="str">
        <f>VLOOKUP(tdata[[#This Row],[id_employee]],temployee[#All],2,0)</f>
        <v>Sari Puspita</v>
      </c>
      <c r="R721" s="2" t="str">
        <f>VLOOKUP(tdata[[#This Row],[id_employee]],temployee[#All],4,0)</f>
        <v>crowd source</v>
      </c>
      <c r="S721" s="9" t="str">
        <f>VLOOKUP(tdata[[#This Row],[id_employee]],temployee[#All],5,0)</f>
        <v>rider</v>
      </c>
    </row>
    <row r="722" spans="2:19" x14ac:dyDescent="0.35">
      <c r="B722" s="8" t="s">
        <v>741</v>
      </c>
      <c r="C722" s="2" t="s">
        <v>1291</v>
      </c>
      <c r="D722" s="5">
        <v>44976</v>
      </c>
      <c r="E722" s="5">
        <v>44977</v>
      </c>
      <c r="F722" s="2" t="s">
        <v>26</v>
      </c>
      <c r="G722" s="2" t="s">
        <v>49</v>
      </c>
      <c r="H722" s="2" t="s">
        <v>1224</v>
      </c>
      <c r="I722" s="2" t="s">
        <v>13</v>
      </c>
      <c r="J722" s="2">
        <v>1.27</v>
      </c>
      <c r="K722" s="2" t="str">
        <f t="shared" si="30"/>
        <v>&lt; 5kg</v>
      </c>
      <c r="L722" s="2">
        <f>tdata[[#This Row],[Received_date]]-tdata[[#This Row],[Shipment_Date]]</f>
        <v>1</v>
      </c>
      <c r="M722" s="2">
        <f>VLOOKUP(tdata[[#This Row],[Service_Type]],Table2[#All],2,0)</f>
        <v>3</v>
      </c>
      <c r="N722" s="2" t="str">
        <f>IF(tdata[[#This Row],[Delivery_Days]]&lt;=tdata[[#This Row],[SLA_Days]],"On Time","Late")</f>
        <v>On Time</v>
      </c>
      <c r="O722" s="2">
        <f>VLOOKUP(tdata[[#This Row],[Service_Type]],Table2[#All],4,0)</f>
        <v>10000</v>
      </c>
      <c r="P722" s="2">
        <f>tdata[[#This Row],[price_per_kilo]]*tdata[[#This Row],[Weight_KG]]</f>
        <v>12700</v>
      </c>
      <c r="Q722" s="2" t="str">
        <f>VLOOKUP(tdata[[#This Row],[id_employee]],temployee[#All],2,0)</f>
        <v>Teguh Wibowo</v>
      </c>
      <c r="R722" s="2" t="str">
        <f>VLOOKUP(tdata[[#This Row],[id_employee]],temployee[#All],4,0)</f>
        <v>internal</v>
      </c>
      <c r="S722" s="9" t="str">
        <f>VLOOKUP(tdata[[#This Row],[id_employee]],temployee[#All],5,0)</f>
        <v>driver</v>
      </c>
    </row>
    <row r="723" spans="2:19" x14ac:dyDescent="0.35">
      <c r="B723" s="8" t="s">
        <v>742</v>
      </c>
      <c r="C723" s="2" t="s">
        <v>1292</v>
      </c>
      <c r="D723" s="5">
        <v>45642</v>
      </c>
      <c r="E723" s="5">
        <f>D723+4</f>
        <v>45646</v>
      </c>
      <c r="F723" s="2" t="s">
        <v>49</v>
      </c>
      <c r="G723" s="2" t="s">
        <v>32</v>
      </c>
      <c r="H723" s="2" t="s">
        <v>1224</v>
      </c>
      <c r="I723" s="2" t="s">
        <v>17</v>
      </c>
      <c r="J723" s="2">
        <v>9.8699999999999992</v>
      </c>
      <c r="K723" s="2" t="str">
        <f t="shared" si="30"/>
        <v>&gt;5kg</v>
      </c>
      <c r="L723" s="2">
        <f>tdata[[#This Row],[Received_date]]-tdata[[#This Row],[Shipment_Date]]</f>
        <v>4</v>
      </c>
      <c r="M723" s="2">
        <f>VLOOKUP(tdata[[#This Row],[Service_Type]],Table2[#All],2,0)</f>
        <v>3</v>
      </c>
      <c r="N723" s="2" t="str">
        <f>IF(tdata[[#This Row],[Delivery_Days]]&lt;=tdata[[#This Row],[SLA_Days]],"On Time","Late")</f>
        <v>Late</v>
      </c>
      <c r="O723" s="2">
        <f>VLOOKUP(tdata[[#This Row],[Service_Type]],Table2[#All],4,0)</f>
        <v>10000</v>
      </c>
      <c r="P723" s="2">
        <f>tdata[[#This Row],[price_per_kilo]]*tdata[[#This Row],[Weight_KG]]</f>
        <v>98699.999999999985</v>
      </c>
      <c r="Q723" s="2" t="str">
        <f>VLOOKUP(tdata[[#This Row],[id_employee]],temployee[#All],2,0)</f>
        <v>Umi Kalsum</v>
      </c>
      <c r="R723" s="2" t="str">
        <f>VLOOKUP(tdata[[#This Row],[id_employee]],temployee[#All],4,0)</f>
        <v>crowd source</v>
      </c>
      <c r="S723" s="9" t="str">
        <f>VLOOKUP(tdata[[#This Row],[id_employee]],temployee[#All],5,0)</f>
        <v>rider</v>
      </c>
    </row>
    <row r="724" spans="2:19" x14ac:dyDescent="0.35">
      <c r="B724" s="8" t="s">
        <v>743</v>
      </c>
      <c r="C724" s="2" t="s">
        <v>1293</v>
      </c>
      <c r="D724" s="5">
        <v>45122</v>
      </c>
      <c r="E724" s="5">
        <v>45130</v>
      </c>
      <c r="F724" s="2" t="s">
        <v>11</v>
      </c>
      <c r="G724" s="2" t="s">
        <v>12</v>
      </c>
      <c r="H724" s="2" t="s">
        <v>1223</v>
      </c>
      <c r="I724" s="2" t="s">
        <v>17</v>
      </c>
      <c r="J724" s="2">
        <v>7.1</v>
      </c>
      <c r="K724" s="2" t="str">
        <f t="shared" si="30"/>
        <v>&gt;5kg</v>
      </c>
      <c r="L724" s="2">
        <f>tdata[[#This Row],[Received_date]]-tdata[[#This Row],[Shipment_Date]]</f>
        <v>8</v>
      </c>
      <c r="M724" s="2">
        <f>VLOOKUP(tdata[[#This Row],[Service_Type]],Table2[#All],2,0)</f>
        <v>1</v>
      </c>
      <c r="N724" s="2" t="str">
        <f>IF(tdata[[#This Row],[Delivery_Days]]&lt;=tdata[[#This Row],[SLA_Days]],"On Time","Late")</f>
        <v>Late</v>
      </c>
      <c r="O724" s="2">
        <f>VLOOKUP(tdata[[#This Row],[Service_Type]],Table2[#All],4,0)</f>
        <v>12000</v>
      </c>
      <c r="P724" s="2">
        <f>tdata[[#This Row],[price_per_kilo]]*tdata[[#This Row],[Weight_KG]]</f>
        <v>85200</v>
      </c>
      <c r="Q724" s="2" t="str">
        <f>VLOOKUP(tdata[[#This Row],[id_employee]],temployee[#All],2,0)</f>
        <v>Vina Oktaviani</v>
      </c>
      <c r="R724" s="2" t="str">
        <f>VLOOKUP(tdata[[#This Row],[id_employee]],temployee[#All],4,0)</f>
        <v>internal</v>
      </c>
      <c r="S724" s="9" t="str">
        <f>VLOOKUP(tdata[[#This Row],[id_employee]],temployee[#All],5,0)</f>
        <v>rider</v>
      </c>
    </row>
    <row r="725" spans="2:19" x14ac:dyDescent="0.35">
      <c r="B725" s="8" t="s">
        <v>744</v>
      </c>
      <c r="C725" s="2" t="s">
        <v>1294</v>
      </c>
      <c r="D725" s="5">
        <v>45389</v>
      </c>
      <c r="E725" s="5">
        <v>45390</v>
      </c>
      <c r="F725" s="2" t="s">
        <v>15</v>
      </c>
      <c r="G725" s="2" t="s">
        <v>11</v>
      </c>
      <c r="H725" s="2" t="s">
        <v>23</v>
      </c>
      <c r="I725" s="2" t="s">
        <v>13</v>
      </c>
      <c r="J725" s="2">
        <v>2.92</v>
      </c>
      <c r="K725" s="2" t="str">
        <f t="shared" si="30"/>
        <v>&lt; 5kg</v>
      </c>
      <c r="L725" s="2">
        <f>tdata[[#This Row],[Received_date]]-tdata[[#This Row],[Shipment_Date]]</f>
        <v>1</v>
      </c>
      <c r="M725" s="2">
        <f>VLOOKUP(tdata[[#This Row],[Service_Type]],Table2[#All],2,0)</f>
        <v>5</v>
      </c>
      <c r="N725" s="2" t="str">
        <f>IF(tdata[[#This Row],[Delivery_Days]]&lt;=tdata[[#This Row],[SLA_Days]],"On Time","Late")</f>
        <v>On Time</v>
      </c>
      <c r="O725" s="2">
        <f>VLOOKUP(tdata[[#This Row],[Service_Type]],Table2[#All],4,0)</f>
        <v>9000</v>
      </c>
      <c r="P725" s="2">
        <f>tdata[[#This Row],[price_per_kilo]]*tdata[[#This Row],[Weight_KG]]</f>
        <v>26280</v>
      </c>
      <c r="Q725" s="2" t="str">
        <f>VLOOKUP(tdata[[#This Row],[id_employee]],temployee[#All],2,0)</f>
        <v>Wahyu Setiawan</v>
      </c>
      <c r="R725" s="2" t="str">
        <f>VLOOKUP(tdata[[#This Row],[id_employee]],temployee[#All],4,0)</f>
        <v>crowd source</v>
      </c>
      <c r="S725" s="9" t="str">
        <f>VLOOKUP(tdata[[#This Row],[id_employee]],temployee[#All],5,0)</f>
        <v>driver</v>
      </c>
    </row>
    <row r="726" spans="2:19" x14ac:dyDescent="0.35">
      <c r="B726" s="8" t="s">
        <v>745</v>
      </c>
      <c r="C726" s="2" t="s">
        <v>1295</v>
      </c>
      <c r="D726" s="5">
        <v>45465</v>
      </c>
      <c r="E726" s="5">
        <v>45466</v>
      </c>
      <c r="F726" s="2" t="s">
        <v>20</v>
      </c>
      <c r="G726" s="2" t="s">
        <v>20</v>
      </c>
      <c r="H726" s="2" t="s">
        <v>1224</v>
      </c>
      <c r="I726" s="2" t="s">
        <v>17</v>
      </c>
      <c r="J726" s="2">
        <v>8.07</v>
      </c>
      <c r="K726" s="2" t="str">
        <f t="shared" si="30"/>
        <v>&gt;5kg</v>
      </c>
      <c r="L726" s="2">
        <f>tdata[[#This Row],[Received_date]]-tdata[[#This Row],[Shipment_Date]]</f>
        <v>1</v>
      </c>
      <c r="M726" s="2">
        <f>VLOOKUP(tdata[[#This Row],[Service_Type]],Table2[#All],2,0)</f>
        <v>3</v>
      </c>
      <c r="N726" s="2" t="str">
        <f>IF(tdata[[#This Row],[Delivery_Days]]&lt;=tdata[[#This Row],[SLA_Days]],"On Time","Late")</f>
        <v>On Time</v>
      </c>
      <c r="O726" s="2">
        <f>VLOOKUP(tdata[[#This Row],[Service_Type]],Table2[#All],4,0)</f>
        <v>10000</v>
      </c>
      <c r="P726" s="2">
        <f>tdata[[#This Row],[price_per_kilo]]*tdata[[#This Row],[Weight_KG]]</f>
        <v>80700</v>
      </c>
      <c r="Q726" s="2" t="str">
        <f>VLOOKUP(tdata[[#This Row],[id_employee]],temployee[#All],2,0)</f>
        <v>Yogi Firmansyah</v>
      </c>
      <c r="R726" s="2" t="str">
        <f>VLOOKUP(tdata[[#This Row],[id_employee]],temployee[#All],4,0)</f>
        <v>internal</v>
      </c>
      <c r="S726" s="9" t="str">
        <f>VLOOKUP(tdata[[#This Row],[id_employee]],temployee[#All],5,0)</f>
        <v>driver</v>
      </c>
    </row>
    <row r="727" spans="2:19" x14ac:dyDescent="0.35">
      <c r="B727" s="8" t="s">
        <v>746</v>
      </c>
      <c r="C727" s="2" t="s">
        <v>1296</v>
      </c>
      <c r="D727" s="5">
        <v>44977</v>
      </c>
      <c r="E727" s="5">
        <v>44980</v>
      </c>
      <c r="F727" s="2" t="s">
        <v>22</v>
      </c>
      <c r="G727" s="2" t="s">
        <v>12</v>
      </c>
      <c r="H727" s="2" t="s">
        <v>1224</v>
      </c>
      <c r="I727" s="2" t="s">
        <v>13</v>
      </c>
      <c r="J727" s="2">
        <v>1.1100000000000001</v>
      </c>
      <c r="K727" s="2" t="str">
        <f t="shared" si="30"/>
        <v>&lt; 5kg</v>
      </c>
      <c r="L727" s="2">
        <f>tdata[[#This Row],[Received_date]]-tdata[[#This Row],[Shipment_Date]]</f>
        <v>3</v>
      </c>
      <c r="M727" s="2">
        <f>VLOOKUP(tdata[[#This Row],[Service_Type]],Table2[#All],2,0)</f>
        <v>3</v>
      </c>
      <c r="N727" s="2" t="str">
        <f>IF(tdata[[#This Row],[Delivery_Days]]&lt;=tdata[[#This Row],[SLA_Days]],"On Time","Late")</f>
        <v>On Time</v>
      </c>
      <c r="O727" s="2">
        <f>VLOOKUP(tdata[[#This Row],[Service_Type]],Table2[#All],4,0)</f>
        <v>10000</v>
      </c>
      <c r="P727" s="2">
        <f>tdata[[#This Row],[price_per_kilo]]*tdata[[#This Row],[Weight_KG]]</f>
        <v>11100.000000000002</v>
      </c>
      <c r="Q727" s="2" t="str">
        <f>VLOOKUP(tdata[[#This Row],[id_employee]],temployee[#All],2,0)</f>
        <v>Zainal Abidin</v>
      </c>
      <c r="R727" s="2" t="str">
        <f>VLOOKUP(tdata[[#This Row],[id_employee]],temployee[#All],4,0)</f>
        <v>crowd source</v>
      </c>
      <c r="S727" s="9" t="str">
        <f>VLOOKUP(tdata[[#This Row],[id_employee]],temployee[#All],5,0)</f>
        <v>driver</v>
      </c>
    </row>
    <row r="728" spans="2:19" x14ac:dyDescent="0.35">
      <c r="B728" s="8" t="s">
        <v>747</v>
      </c>
      <c r="C728" s="2" t="s">
        <v>1297</v>
      </c>
      <c r="D728" s="5">
        <v>45373</v>
      </c>
      <c r="E728" s="5">
        <f t="shared" ref="E728:E729" si="31">D728+4</f>
        <v>45377</v>
      </c>
      <c r="F728" s="2" t="s">
        <v>12</v>
      </c>
      <c r="G728" s="2" t="s">
        <v>16</v>
      </c>
      <c r="H728" s="2" t="s">
        <v>1224</v>
      </c>
      <c r="I728" s="2" t="s">
        <v>17</v>
      </c>
      <c r="J728" s="2">
        <v>6.12</v>
      </c>
      <c r="K728" s="2" t="str">
        <f t="shared" si="30"/>
        <v>&gt;5kg</v>
      </c>
      <c r="L728" s="2">
        <f>tdata[[#This Row],[Received_date]]-tdata[[#This Row],[Shipment_Date]]</f>
        <v>4</v>
      </c>
      <c r="M728" s="2">
        <f>VLOOKUP(tdata[[#This Row],[Service_Type]],Table2[#All],2,0)</f>
        <v>3</v>
      </c>
      <c r="N728" s="2" t="str">
        <f>IF(tdata[[#This Row],[Delivery_Days]]&lt;=tdata[[#This Row],[SLA_Days]],"On Time","Late")</f>
        <v>Late</v>
      </c>
      <c r="O728" s="2">
        <f>VLOOKUP(tdata[[#This Row],[Service_Type]],Table2[#All],4,0)</f>
        <v>10000</v>
      </c>
      <c r="P728" s="2">
        <f>tdata[[#This Row],[price_per_kilo]]*tdata[[#This Row],[Weight_KG]]</f>
        <v>61200</v>
      </c>
      <c r="Q728" s="2" t="str">
        <f>VLOOKUP(tdata[[#This Row],[id_employee]],temployee[#All],2,0)</f>
        <v>Ahmad Fauzi</v>
      </c>
      <c r="R728" s="2" t="str">
        <f>VLOOKUP(tdata[[#This Row],[id_employee]],temployee[#All],4,0)</f>
        <v>internal</v>
      </c>
      <c r="S728" s="9" t="str">
        <f>VLOOKUP(tdata[[#This Row],[id_employee]],temployee[#All],5,0)</f>
        <v>rider</v>
      </c>
    </row>
    <row r="729" spans="2:19" x14ac:dyDescent="0.35">
      <c r="B729" s="8" t="s">
        <v>748</v>
      </c>
      <c r="C729" s="2" t="s">
        <v>1298</v>
      </c>
      <c r="D729" s="5">
        <v>45199</v>
      </c>
      <c r="E729" s="5">
        <f t="shared" si="31"/>
        <v>45203</v>
      </c>
      <c r="F729" s="2" t="s">
        <v>30</v>
      </c>
      <c r="G729" s="2" t="s">
        <v>12</v>
      </c>
      <c r="H729" s="2" t="s">
        <v>23</v>
      </c>
      <c r="I729" s="2" t="s">
        <v>13</v>
      </c>
      <c r="J729" s="2">
        <v>6.7</v>
      </c>
      <c r="K729" s="2" t="str">
        <f t="shared" si="30"/>
        <v>&gt;5kg</v>
      </c>
      <c r="L729" s="2">
        <f>tdata[[#This Row],[Received_date]]-tdata[[#This Row],[Shipment_Date]]</f>
        <v>4</v>
      </c>
      <c r="M729" s="2">
        <f>VLOOKUP(tdata[[#This Row],[Service_Type]],Table2[#All],2,0)</f>
        <v>5</v>
      </c>
      <c r="N729" s="2" t="str">
        <f>IF(tdata[[#This Row],[Delivery_Days]]&lt;=tdata[[#This Row],[SLA_Days]],"On Time","Late")</f>
        <v>On Time</v>
      </c>
      <c r="O729" s="2">
        <f>VLOOKUP(tdata[[#This Row],[Service_Type]],Table2[#All],4,0)</f>
        <v>9000</v>
      </c>
      <c r="P729" s="2">
        <f>tdata[[#This Row],[price_per_kilo]]*tdata[[#This Row],[Weight_KG]]</f>
        <v>60300</v>
      </c>
      <c r="Q729" s="2" t="str">
        <f>VLOOKUP(tdata[[#This Row],[id_employee]],temployee[#All],2,0)</f>
        <v>Bayu Ramadhan</v>
      </c>
      <c r="R729" s="2" t="str">
        <f>VLOOKUP(tdata[[#This Row],[id_employee]],temployee[#All],4,0)</f>
        <v>crowd source</v>
      </c>
      <c r="S729" s="9" t="str">
        <f>VLOOKUP(tdata[[#This Row],[id_employee]],temployee[#All],5,0)</f>
        <v>rider</v>
      </c>
    </row>
    <row r="730" spans="2:19" x14ac:dyDescent="0.35">
      <c r="B730" s="8" t="s">
        <v>749</v>
      </c>
      <c r="C730" s="2" t="s">
        <v>1299</v>
      </c>
      <c r="D730" s="5">
        <v>45459</v>
      </c>
      <c r="E730" s="5">
        <v>45463</v>
      </c>
      <c r="F730" s="2" t="s">
        <v>32</v>
      </c>
      <c r="G730" s="2" t="s">
        <v>26</v>
      </c>
      <c r="H730" s="2" t="s">
        <v>1224</v>
      </c>
      <c r="I730" s="2" t="s">
        <v>13</v>
      </c>
      <c r="J730" s="2">
        <v>1.54</v>
      </c>
      <c r="K730" s="2" t="str">
        <f t="shared" si="30"/>
        <v>&lt; 5kg</v>
      </c>
      <c r="L730" s="2">
        <f>tdata[[#This Row],[Received_date]]-tdata[[#This Row],[Shipment_Date]]</f>
        <v>4</v>
      </c>
      <c r="M730" s="2">
        <f>VLOOKUP(tdata[[#This Row],[Service_Type]],Table2[#All],2,0)</f>
        <v>3</v>
      </c>
      <c r="N730" s="2" t="str">
        <f>IF(tdata[[#This Row],[Delivery_Days]]&lt;=tdata[[#This Row],[SLA_Days]],"On Time","Late")</f>
        <v>Late</v>
      </c>
      <c r="O730" s="2">
        <f>VLOOKUP(tdata[[#This Row],[Service_Type]],Table2[#All],4,0)</f>
        <v>10000</v>
      </c>
      <c r="P730" s="2">
        <f>tdata[[#This Row],[price_per_kilo]]*tdata[[#This Row],[Weight_KG]]</f>
        <v>15400</v>
      </c>
      <c r="Q730" s="2" t="str">
        <f>VLOOKUP(tdata[[#This Row],[id_employee]],temployee[#All],2,0)</f>
        <v>Cindy Oktavia</v>
      </c>
      <c r="R730" s="2" t="str">
        <f>VLOOKUP(tdata[[#This Row],[id_employee]],temployee[#All],4,0)</f>
        <v>internal</v>
      </c>
      <c r="S730" s="9" t="str">
        <f>VLOOKUP(tdata[[#This Row],[id_employee]],temployee[#All],5,0)</f>
        <v>rider</v>
      </c>
    </row>
    <row r="731" spans="2:19" x14ac:dyDescent="0.35">
      <c r="B731" s="8" t="s">
        <v>750</v>
      </c>
      <c r="C731" s="2" t="s">
        <v>1300</v>
      </c>
      <c r="D731" s="5">
        <v>45435</v>
      </c>
      <c r="E731" s="5">
        <v>45445</v>
      </c>
      <c r="F731" s="2" t="s">
        <v>16</v>
      </c>
      <c r="G731" s="2" t="s">
        <v>32</v>
      </c>
      <c r="H731" s="2" t="s">
        <v>23</v>
      </c>
      <c r="I731" s="2" t="s">
        <v>17</v>
      </c>
      <c r="J731" s="2">
        <v>4.76</v>
      </c>
      <c r="K731" s="2" t="str">
        <f t="shared" si="30"/>
        <v>&lt; 5kg</v>
      </c>
      <c r="L731" s="2">
        <f>tdata[[#This Row],[Received_date]]-tdata[[#This Row],[Shipment_Date]]</f>
        <v>10</v>
      </c>
      <c r="M731" s="2">
        <f>VLOOKUP(tdata[[#This Row],[Service_Type]],Table2[#All],2,0)</f>
        <v>5</v>
      </c>
      <c r="N731" s="2" t="str">
        <f>IF(tdata[[#This Row],[Delivery_Days]]&lt;=tdata[[#This Row],[SLA_Days]],"On Time","Late")</f>
        <v>Late</v>
      </c>
      <c r="O731" s="2">
        <f>VLOOKUP(tdata[[#This Row],[Service_Type]],Table2[#All],4,0)</f>
        <v>9000</v>
      </c>
      <c r="P731" s="2">
        <f>tdata[[#This Row],[price_per_kilo]]*tdata[[#This Row],[Weight_KG]]</f>
        <v>42840</v>
      </c>
      <c r="Q731" s="2" t="str">
        <f>VLOOKUP(tdata[[#This Row],[id_employee]],temployee[#All],2,0)</f>
        <v>Dian Pramudya</v>
      </c>
      <c r="R731" s="2" t="str">
        <f>VLOOKUP(tdata[[#This Row],[id_employee]],temployee[#All],4,0)</f>
        <v>crowd source</v>
      </c>
      <c r="S731" s="9" t="str">
        <f>VLOOKUP(tdata[[#This Row],[id_employee]],temployee[#All],5,0)</f>
        <v>driver</v>
      </c>
    </row>
    <row r="732" spans="2:19" x14ac:dyDescent="0.35">
      <c r="B732" s="8" t="s">
        <v>751</v>
      </c>
      <c r="C732" s="2" t="s">
        <v>1301</v>
      </c>
      <c r="D732" s="5">
        <v>45214</v>
      </c>
      <c r="E732" s="5">
        <v>45214</v>
      </c>
      <c r="F732" s="2" t="s">
        <v>26</v>
      </c>
      <c r="G732" s="2" t="s">
        <v>49</v>
      </c>
      <c r="H732" s="2" t="s">
        <v>1223</v>
      </c>
      <c r="I732" s="2" t="s">
        <v>13</v>
      </c>
      <c r="J732" s="2">
        <v>10.08</v>
      </c>
      <c r="K732" s="2" t="str">
        <f t="shared" si="30"/>
        <v>&gt;5kg</v>
      </c>
      <c r="L732" s="2">
        <f>tdata[[#This Row],[Received_date]]-tdata[[#This Row],[Shipment_Date]]</f>
        <v>0</v>
      </c>
      <c r="M732" s="2">
        <f>VLOOKUP(tdata[[#This Row],[Service_Type]],Table2[#All],2,0)</f>
        <v>1</v>
      </c>
      <c r="N732" s="2" t="str">
        <f>IF(tdata[[#This Row],[Delivery_Days]]&lt;=tdata[[#This Row],[SLA_Days]],"On Time","Late")</f>
        <v>On Time</v>
      </c>
      <c r="O732" s="2">
        <f>VLOOKUP(tdata[[#This Row],[Service_Type]],Table2[#All],4,0)</f>
        <v>12000</v>
      </c>
      <c r="P732" s="2">
        <f>tdata[[#This Row],[price_per_kilo]]*tdata[[#This Row],[Weight_KG]]</f>
        <v>120960</v>
      </c>
      <c r="Q732" s="2" t="str">
        <f>VLOOKUP(tdata[[#This Row],[id_employee]],temployee[#All],2,0)</f>
        <v>Erwin Kurniawan</v>
      </c>
      <c r="R732" s="2" t="str">
        <f>VLOOKUP(tdata[[#This Row],[id_employee]],temployee[#All],4,0)</f>
        <v>internal</v>
      </c>
      <c r="S732" s="9" t="str">
        <f>VLOOKUP(tdata[[#This Row],[id_employee]],temployee[#All],5,0)</f>
        <v>driver</v>
      </c>
    </row>
    <row r="733" spans="2:19" x14ac:dyDescent="0.35">
      <c r="B733" s="8" t="s">
        <v>752</v>
      </c>
      <c r="C733" s="2" t="s">
        <v>1302</v>
      </c>
      <c r="D733" s="5">
        <v>45274</v>
      </c>
      <c r="E733" s="5">
        <v>45277</v>
      </c>
      <c r="F733" s="2" t="s">
        <v>49</v>
      </c>
      <c r="G733" s="2" t="s">
        <v>32</v>
      </c>
      <c r="H733" s="2" t="s">
        <v>1223</v>
      </c>
      <c r="I733" s="2" t="s">
        <v>17</v>
      </c>
      <c r="J733" s="2">
        <v>5.89</v>
      </c>
      <c r="K733" s="2" t="str">
        <f t="shared" si="30"/>
        <v>&gt;5kg</v>
      </c>
      <c r="L733" s="2">
        <f>tdata[[#This Row],[Received_date]]-tdata[[#This Row],[Shipment_Date]]</f>
        <v>3</v>
      </c>
      <c r="M733" s="2">
        <f>VLOOKUP(tdata[[#This Row],[Service_Type]],Table2[#All],2,0)</f>
        <v>1</v>
      </c>
      <c r="N733" s="2" t="str">
        <f>IF(tdata[[#This Row],[Delivery_Days]]&lt;=tdata[[#This Row],[SLA_Days]],"On Time","Late")</f>
        <v>Late</v>
      </c>
      <c r="O733" s="2">
        <f>VLOOKUP(tdata[[#This Row],[Service_Type]],Table2[#All],4,0)</f>
        <v>12000</v>
      </c>
      <c r="P733" s="2">
        <f>tdata[[#This Row],[price_per_kilo]]*tdata[[#This Row],[Weight_KG]]</f>
        <v>70680</v>
      </c>
      <c r="Q733" s="2" t="str">
        <f>VLOOKUP(tdata[[#This Row],[id_employee]],temployee[#All],2,0)</f>
        <v>Fitri Handayani</v>
      </c>
      <c r="R733" s="2" t="str">
        <f>VLOOKUP(tdata[[#This Row],[id_employee]],temployee[#All],4,0)</f>
        <v>crowd source</v>
      </c>
      <c r="S733" s="9" t="str">
        <f>VLOOKUP(tdata[[#This Row],[id_employee]],temployee[#All],5,0)</f>
        <v>rider</v>
      </c>
    </row>
    <row r="734" spans="2:19" x14ac:dyDescent="0.35">
      <c r="B734" s="8" t="s">
        <v>753</v>
      </c>
      <c r="C734" s="2" t="s">
        <v>1303</v>
      </c>
      <c r="D734" s="5">
        <v>45161</v>
      </c>
      <c r="E734" s="5">
        <v>45166</v>
      </c>
      <c r="F734" s="2" t="s">
        <v>11</v>
      </c>
      <c r="G734" s="2" t="s">
        <v>49</v>
      </c>
      <c r="H734" s="2" t="s">
        <v>1224</v>
      </c>
      <c r="I734" s="2" t="s">
        <v>17</v>
      </c>
      <c r="J734" s="2">
        <v>6.25</v>
      </c>
      <c r="K734" s="2" t="str">
        <f t="shared" si="30"/>
        <v>&gt;5kg</v>
      </c>
      <c r="L734" s="2">
        <f>tdata[[#This Row],[Received_date]]-tdata[[#This Row],[Shipment_Date]]</f>
        <v>5</v>
      </c>
      <c r="M734" s="2">
        <f>VLOOKUP(tdata[[#This Row],[Service_Type]],Table2[#All],2,0)</f>
        <v>3</v>
      </c>
      <c r="N734" s="2" t="str">
        <f>IF(tdata[[#This Row],[Delivery_Days]]&lt;=tdata[[#This Row],[SLA_Days]],"On Time","Late")</f>
        <v>Late</v>
      </c>
      <c r="O734" s="2">
        <f>VLOOKUP(tdata[[#This Row],[Service_Type]],Table2[#All],4,0)</f>
        <v>10000</v>
      </c>
      <c r="P734" s="2">
        <f>tdata[[#This Row],[price_per_kilo]]*tdata[[#This Row],[Weight_KG]]</f>
        <v>62500</v>
      </c>
      <c r="Q734" s="2" t="str">
        <f>VLOOKUP(tdata[[#This Row],[id_employee]],temployee[#All],2,0)</f>
        <v>Gilang Saputra</v>
      </c>
      <c r="R734" s="2" t="str">
        <f>VLOOKUP(tdata[[#This Row],[id_employee]],temployee[#All],4,0)</f>
        <v>internal</v>
      </c>
      <c r="S734" s="9" t="str">
        <f>VLOOKUP(tdata[[#This Row],[id_employee]],temployee[#All],5,0)</f>
        <v>rider</v>
      </c>
    </row>
    <row r="735" spans="2:19" x14ac:dyDescent="0.35">
      <c r="B735" s="8" t="s">
        <v>754</v>
      </c>
      <c r="C735" s="2" t="s">
        <v>1304</v>
      </c>
      <c r="D735" s="5">
        <v>44953</v>
      </c>
      <c r="E735" s="5">
        <v>44954</v>
      </c>
      <c r="F735" s="2" t="s">
        <v>15</v>
      </c>
      <c r="G735" s="2" t="s">
        <v>11</v>
      </c>
      <c r="H735" s="2" t="s">
        <v>1224</v>
      </c>
      <c r="I735" s="2" t="s">
        <v>17</v>
      </c>
      <c r="J735" s="2">
        <v>8.27</v>
      </c>
      <c r="K735" s="2" t="str">
        <f t="shared" si="30"/>
        <v>&gt;5kg</v>
      </c>
      <c r="L735" s="2">
        <f>tdata[[#This Row],[Received_date]]-tdata[[#This Row],[Shipment_Date]]</f>
        <v>1</v>
      </c>
      <c r="M735" s="2">
        <f>VLOOKUP(tdata[[#This Row],[Service_Type]],Table2[#All],2,0)</f>
        <v>3</v>
      </c>
      <c r="N735" s="2" t="str">
        <f>IF(tdata[[#This Row],[Delivery_Days]]&lt;=tdata[[#This Row],[SLA_Days]],"On Time","Late")</f>
        <v>On Time</v>
      </c>
      <c r="O735" s="2">
        <f>VLOOKUP(tdata[[#This Row],[Service_Type]],Table2[#All],4,0)</f>
        <v>10000</v>
      </c>
      <c r="P735" s="2">
        <f>tdata[[#This Row],[price_per_kilo]]*tdata[[#This Row],[Weight_KG]]</f>
        <v>82700</v>
      </c>
      <c r="Q735" s="2" t="str">
        <f>VLOOKUP(tdata[[#This Row],[id_employee]],temployee[#All],2,0)</f>
        <v>Hariyanto</v>
      </c>
      <c r="R735" s="2" t="str">
        <f>VLOOKUP(tdata[[#This Row],[id_employee]],temployee[#All],4,0)</f>
        <v>crowd source</v>
      </c>
      <c r="S735" s="9" t="str">
        <f>VLOOKUP(tdata[[#This Row],[id_employee]],temployee[#All],5,0)</f>
        <v>driver</v>
      </c>
    </row>
    <row r="736" spans="2:19" x14ac:dyDescent="0.35">
      <c r="B736" s="8" t="s">
        <v>755</v>
      </c>
      <c r="C736" s="2" t="s">
        <v>1305</v>
      </c>
      <c r="D736" s="5">
        <v>45635</v>
      </c>
      <c r="E736" s="5">
        <v>45644</v>
      </c>
      <c r="F736" s="2" t="s">
        <v>20</v>
      </c>
      <c r="G736" s="2" t="s">
        <v>30</v>
      </c>
      <c r="H736" s="2" t="s">
        <v>1224</v>
      </c>
      <c r="I736" s="2" t="s">
        <v>13</v>
      </c>
      <c r="J736" s="2">
        <v>10.3</v>
      </c>
      <c r="K736" s="2" t="str">
        <f t="shared" si="30"/>
        <v>&gt;5kg</v>
      </c>
      <c r="L736" s="2">
        <f>tdata[[#This Row],[Received_date]]-tdata[[#This Row],[Shipment_Date]]</f>
        <v>9</v>
      </c>
      <c r="M736" s="2">
        <f>VLOOKUP(tdata[[#This Row],[Service_Type]],Table2[#All],2,0)</f>
        <v>3</v>
      </c>
      <c r="N736" s="2" t="str">
        <f>IF(tdata[[#This Row],[Delivery_Days]]&lt;=tdata[[#This Row],[SLA_Days]],"On Time","Late")</f>
        <v>Late</v>
      </c>
      <c r="O736" s="2">
        <f>VLOOKUP(tdata[[#This Row],[Service_Type]],Table2[#All],4,0)</f>
        <v>10000</v>
      </c>
      <c r="P736" s="2">
        <f>tdata[[#This Row],[price_per_kilo]]*tdata[[#This Row],[Weight_KG]]</f>
        <v>103000</v>
      </c>
      <c r="Q736" s="2" t="str">
        <f>VLOOKUP(tdata[[#This Row],[id_employee]],temployee[#All],2,0)</f>
        <v>Intan Maharani</v>
      </c>
      <c r="R736" s="2" t="str">
        <f>VLOOKUP(tdata[[#This Row],[id_employee]],temployee[#All],4,0)</f>
        <v>internal</v>
      </c>
      <c r="S736" s="9" t="str">
        <f>VLOOKUP(tdata[[#This Row],[id_employee]],temployee[#All],5,0)</f>
        <v>rider</v>
      </c>
    </row>
    <row r="737" spans="2:19" x14ac:dyDescent="0.35">
      <c r="B737" s="8" t="s">
        <v>756</v>
      </c>
      <c r="C737" s="2" t="s">
        <v>1306</v>
      </c>
      <c r="D737" s="5">
        <v>45304</v>
      </c>
      <c r="E737" s="5">
        <v>45310</v>
      </c>
      <c r="F737" s="2" t="s">
        <v>22</v>
      </c>
      <c r="G737" s="2" t="s">
        <v>49</v>
      </c>
      <c r="H737" s="2" t="s">
        <v>1224</v>
      </c>
      <c r="I737" s="2" t="s">
        <v>13</v>
      </c>
      <c r="J737" s="2">
        <v>4.0199999999999996</v>
      </c>
      <c r="K737" s="2" t="str">
        <f t="shared" si="30"/>
        <v>&lt; 5kg</v>
      </c>
      <c r="L737" s="2">
        <f>tdata[[#This Row],[Received_date]]-tdata[[#This Row],[Shipment_Date]]</f>
        <v>6</v>
      </c>
      <c r="M737" s="2">
        <f>VLOOKUP(tdata[[#This Row],[Service_Type]],Table2[#All],2,0)</f>
        <v>3</v>
      </c>
      <c r="N737" s="2" t="str">
        <f>IF(tdata[[#This Row],[Delivery_Days]]&lt;=tdata[[#This Row],[SLA_Days]],"On Time","Late")</f>
        <v>Late</v>
      </c>
      <c r="O737" s="2">
        <f>VLOOKUP(tdata[[#This Row],[Service_Type]],Table2[#All],4,0)</f>
        <v>10000</v>
      </c>
      <c r="P737" s="2">
        <f>tdata[[#This Row],[price_per_kilo]]*tdata[[#This Row],[Weight_KG]]</f>
        <v>40199.999999999993</v>
      </c>
      <c r="Q737" s="2" t="str">
        <f>VLOOKUP(tdata[[#This Row],[id_employee]],temployee[#All],2,0)</f>
        <v>Jefri Alamsyah</v>
      </c>
      <c r="R737" s="2" t="str">
        <f>VLOOKUP(tdata[[#This Row],[id_employee]],temployee[#All],4,0)</f>
        <v>internal</v>
      </c>
      <c r="S737" s="9" t="str">
        <f>VLOOKUP(tdata[[#This Row],[id_employee]],temployee[#All],5,0)</f>
        <v>driver</v>
      </c>
    </row>
    <row r="738" spans="2:19" x14ac:dyDescent="0.35">
      <c r="B738" s="8" t="s">
        <v>757</v>
      </c>
      <c r="C738" s="2" t="s">
        <v>1307</v>
      </c>
      <c r="D738" s="5">
        <v>45491</v>
      </c>
      <c r="E738" s="5">
        <f>D738+4</f>
        <v>45495</v>
      </c>
      <c r="F738" s="2" t="s">
        <v>12</v>
      </c>
      <c r="G738" s="2" t="s">
        <v>16</v>
      </c>
      <c r="H738" s="2" t="s">
        <v>23</v>
      </c>
      <c r="I738" s="2" t="s">
        <v>17</v>
      </c>
      <c r="J738" s="2">
        <v>7.6</v>
      </c>
      <c r="K738" s="2" t="str">
        <f t="shared" si="30"/>
        <v>&gt;5kg</v>
      </c>
      <c r="L738" s="2">
        <f>tdata[[#This Row],[Received_date]]-tdata[[#This Row],[Shipment_Date]]</f>
        <v>4</v>
      </c>
      <c r="M738" s="2">
        <f>VLOOKUP(tdata[[#This Row],[Service_Type]],Table2[#All],2,0)</f>
        <v>5</v>
      </c>
      <c r="N738" s="2" t="str">
        <f>IF(tdata[[#This Row],[Delivery_Days]]&lt;=tdata[[#This Row],[SLA_Days]],"On Time","Late")</f>
        <v>On Time</v>
      </c>
      <c r="O738" s="2">
        <f>VLOOKUP(tdata[[#This Row],[Service_Type]],Table2[#All],4,0)</f>
        <v>9000</v>
      </c>
      <c r="P738" s="2">
        <f>tdata[[#This Row],[price_per_kilo]]*tdata[[#This Row],[Weight_KG]]</f>
        <v>68400</v>
      </c>
      <c r="Q738" s="2" t="str">
        <f>VLOOKUP(tdata[[#This Row],[id_employee]],temployee[#All],2,0)</f>
        <v>Kartika Sari</v>
      </c>
      <c r="R738" s="2" t="str">
        <f>VLOOKUP(tdata[[#This Row],[id_employee]],temployee[#All],4,0)</f>
        <v>crowd source</v>
      </c>
      <c r="S738" s="9" t="str">
        <f>VLOOKUP(tdata[[#This Row],[id_employee]],temployee[#All],5,0)</f>
        <v>rider</v>
      </c>
    </row>
    <row r="739" spans="2:19" x14ac:dyDescent="0.35">
      <c r="B739" s="8" t="s">
        <v>758</v>
      </c>
      <c r="C739" s="2" t="s">
        <v>1308</v>
      </c>
      <c r="D739" s="5">
        <v>44982</v>
      </c>
      <c r="E739" s="5">
        <v>44988</v>
      </c>
      <c r="F739" s="2" t="s">
        <v>30</v>
      </c>
      <c r="G739" s="2" t="s">
        <v>20</v>
      </c>
      <c r="H739" s="2" t="s">
        <v>23</v>
      </c>
      <c r="I739" s="2" t="s">
        <v>17</v>
      </c>
      <c r="J739" s="2">
        <v>1.1100000000000001</v>
      </c>
      <c r="K739" s="2" t="str">
        <f t="shared" si="30"/>
        <v>&lt; 5kg</v>
      </c>
      <c r="L739" s="2">
        <f>tdata[[#This Row],[Received_date]]-tdata[[#This Row],[Shipment_Date]]</f>
        <v>6</v>
      </c>
      <c r="M739" s="2">
        <f>VLOOKUP(tdata[[#This Row],[Service_Type]],Table2[#All],2,0)</f>
        <v>5</v>
      </c>
      <c r="N739" s="2" t="str">
        <f>IF(tdata[[#This Row],[Delivery_Days]]&lt;=tdata[[#This Row],[SLA_Days]],"On Time","Late")</f>
        <v>Late</v>
      </c>
      <c r="O739" s="2">
        <f>VLOOKUP(tdata[[#This Row],[Service_Type]],Table2[#All],4,0)</f>
        <v>9000</v>
      </c>
      <c r="P739" s="2">
        <f>tdata[[#This Row],[price_per_kilo]]*tdata[[#This Row],[Weight_KG]]</f>
        <v>9990</v>
      </c>
      <c r="Q739" s="2" t="str">
        <f>VLOOKUP(tdata[[#This Row],[id_employee]],temployee[#All],2,0)</f>
        <v>Lukman Hakim</v>
      </c>
      <c r="R739" s="2" t="str">
        <f>VLOOKUP(tdata[[#This Row],[id_employee]],temployee[#All],4,0)</f>
        <v>internal</v>
      </c>
      <c r="S739" s="9" t="str">
        <f>VLOOKUP(tdata[[#This Row],[id_employee]],temployee[#All],5,0)</f>
        <v>driver</v>
      </c>
    </row>
    <row r="740" spans="2:19" x14ac:dyDescent="0.35">
      <c r="B740" s="8" t="s">
        <v>759</v>
      </c>
      <c r="C740" s="2" t="s">
        <v>1309</v>
      </c>
      <c r="D740" s="5">
        <v>45068</v>
      </c>
      <c r="E740" s="5">
        <v>45068</v>
      </c>
      <c r="F740" s="2" t="s">
        <v>32</v>
      </c>
      <c r="G740" s="2" t="s">
        <v>15</v>
      </c>
      <c r="H740" s="2" t="s">
        <v>1224</v>
      </c>
      <c r="I740" s="2" t="s">
        <v>17</v>
      </c>
      <c r="J740" s="2">
        <v>2.98</v>
      </c>
      <c r="K740" s="2" t="str">
        <f t="shared" si="30"/>
        <v>&lt; 5kg</v>
      </c>
      <c r="L740" s="2">
        <f>tdata[[#This Row],[Received_date]]-tdata[[#This Row],[Shipment_Date]]</f>
        <v>0</v>
      </c>
      <c r="M740" s="2">
        <f>VLOOKUP(tdata[[#This Row],[Service_Type]],Table2[#All],2,0)</f>
        <v>3</v>
      </c>
      <c r="N740" s="2" t="str">
        <f>IF(tdata[[#This Row],[Delivery_Days]]&lt;=tdata[[#This Row],[SLA_Days]],"On Time","Late")</f>
        <v>On Time</v>
      </c>
      <c r="O740" s="2">
        <f>VLOOKUP(tdata[[#This Row],[Service_Type]],Table2[#All],4,0)</f>
        <v>10000</v>
      </c>
      <c r="P740" s="2">
        <f>tdata[[#This Row],[price_per_kilo]]*tdata[[#This Row],[Weight_KG]]</f>
        <v>29800</v>
      </c>
      <c r="Q740" s="2" t="str">
        <f>VLOOKUP(tdata[[#This Row],[id_employee]],temployee[#All],2,0)</f>
        <v>Mega Puspitasari</v>
      </c>
      <c r="R740" s="2" t="str">
        <f>VLOOKUP(tdata[[#This Row],[id_employee]],temployee[#All],4,0)</f>
        <v>internal</v>
      </c>
      <c r="S740" s="9" t="str">
        <f>VLOOKUP(tdata[[#This Row],[id_employee]],temployee[#All],5,0)</f>
        <v>rider</v>
      </c>
    </row>
    <row r="741" spans="2:19" x14ac:dyDescent="0.35">
      <c r="B741" s="8" t="s">
        <v>760</v>
      </c>
      <c r="C741" s="2" t="s">
        <v>1310</v>
      </c>
      <c r="D741" s="5">
        <v>45116</v>
      </c>
      <c r="E741" s="5">
        <v>45116</v>
      </c>
      <c r="F741" s="2" t="s">
        <v>16</v>
      </c>
      <c r="G741" s="2" t="s">
        <v>30</v>
      </c>
      <c r="H741" s="2" t="s">
        <v>1224</v>
      </c>
      <c r="I741" s="2" t="s">
        <v>13</v>
      </c>
      <c r="J741" s="2">
        <v>4.13</v>
      </c>
      <c r="K741" s="2" t="str">
        <f t="shared" si="30"/>
        <v>&lt; 5kg</v>
      </c>
      <c r="L741" s="2">
        <f>tdata[[#This Row],[Received_date]]-tdata[[#This Row],[Shipment_Date]]</f>
        <v>0</v>
      </c>
      <c r="M741" s="2">
        <f>VLOOKUP(tdata[[#This Row],[Service_Type]],Table2[#All],2,0)</f>
        <v>3</v>
      </c>
      <c r="N741" s="2" t="str">
        <f>IF(tdata[[#This Row],[Delivery_Days]]&lt;=tdata[[#This Row],[SLA_Days]],"On Time","Late")</f>
        <v>On Time</v>
      </c>
      <c r="O741" s="2">
        <f>VLOOKUP(tdata[[#This Row],[Service_Type]],Table2[#All],4,0)</f>
        <v>10000</v>
      </c>
      <c r="P741" s="2">
        <f>tdata[[#This Row],[price_per_kilo]]*tdata[[#This Row],[Weight_KG]]</f>
        <v>41300</v>
      </c>
      <c r="Q741" s="2" t="str">
        <f>VLOOKUP(tdata[[#This Row],[id_employee]],temployee[#All],2,0)</f>
        <v>Niko Prasetyo</v>
      </c>
      <c r="R741" s="2" t="str">
        <f>VLOOKUP(tdata[[#This Row],[id_employee]],temployee[#All],4,0)</f>
        <v>crowd source</v>
      </c>
      <c r="S741" s="9" t="str">
        <f>VLOOKUP(tdata[[#This Row],[id_employee]],temployee[#All],5,0)</f>
        <v>driver</v>
      </c>
    </row>
    <row r="742" spans="2:19" x14ac:dyDescent="0.35">
      <c r="B742" s="8" t="s">
        <v>761</v>
      </c>
      <c r="C742" s="2" t="s">
        <v>1311</v>
      </c>
      <c r="D742" s="5">
        <v>45305</v>
      </c>
      <c r="E742" s="5">
        <v>45309</v>
      </c>
      <c r="F742" s="2" t="s">
        <v>26</v>
      </c>
      <c r="G742" s="2" t="s">
        <v>32</v>
      </c>
      <c r="H742" s="2" t="s">
        <v>23</v>
      </c>
      <c r="I742" s="2" t="s">
        <v>17</v>
      </c>
      <c r="J742" s="2">
        <v>4.54</v>
      </c>
      <c r="K742" s="2" t="str">
        <f t="shared" si="30"/>
        <v>&lt; 5kg</v>
      </c>
      <c r="L742" s="2">
        <f>tdata[[#This Row],[Received_date]]-tdata[[#This Row],[Shipment_Date]]</f>
        <v>4</v>
      </c>
      <c r="M742" s="2">
        <f>VLOOKUP(tdata[[#This Row],[Service_Type]],Table2[#All],2,0)</f>
        <v>5</v>
      </c>
      <c r="N742" s="2" t="str">
        <f>IF(tdata[[#This Row],[Delivery_Days]]&lt;=tdata[[#This Row],[SLA_Days]],"On Time","Late")</f>
        <v>On Time</v>
      </c>
      <c r="O742" s="2">
        <f>VLOOKUP(tdata[[#This Row],[Service_Type]],Table2[#All],4,0)</f>
        <v>9000</v>
      </c>
      <c r="P742" s="2">
        <f>tdata[[#This Row],[price_per_kilo]]*tdata[[#This Row],[Weight_KG]]</f>
        <v>40860</v>
      </c>
      <c r="Q742" s="2" t="str">
        <f>VLOOKUP(tdata[[#This Row],[id_employee]],temployee[#All],2,0)</f>
        <v>Olivia Putri</v>
      </c>
      <c r="R742" s="2" t="str">
        <f>VLOOKUP(tdata[[#This Row],[id_employee]],temployee[#All],4,0)</f>
        <v>internal</v>
      </c>
      <c r="S742" s="9" t="str">
        <f>VLOOKUP(tdata[[#This Row],[id_employee]],temployee[#All],5,0)</f>
        <v>rider</v>
      </c>
    </row>
    <row r="743" spans="2:19" x14ac:dyDescent="0.35">
      <c r="B743" s="8" t="s">
        <v>762</v>
      </c>
      <c r="C743" s="2" t="s">
        <v>1312</v>
      </c>
      <c r="D743" s="5">
        <v>45335</v>
      </c>
      <c r="E743" s="5">
        <v>45345</v>
      </c>
      <c r="F743" s="2" t="s">
        <v>49</v>
      </c>
      <c r="G743" s="2" t="s">
        <v>20</v>
      </c>
      <c r="H743" s="2" t="s">
        <v>23</v>
      </c>
      <c r="I743" s="2" t="s">
        <v>13</v>
      </c>
      <c r="J743" s="2">
        <v>1.42</v>
      </c>
      <c r="K743" s="2" t="str">
        <f t="shared" si="30"/>
        <v>&lt; 5kg</v>
      </c>
      <c r="L743" s="2">
        <f>tdata[[#This Row],[Received_date]]-tdata[[#This Row],[Shipment_Date]]</f>
        <v>10</v>
      </c>
      <c r="M743" s="2">
        <f>VLOOKUP(tdata[[#This Row],[Service_Type]],Table2[#All],2,0)</f>
        <v>5</v>
      </c>
      <c r="N743" s="2" t="str">
        <f>IF(tdata[[#This Row],[Delivery_Days]]&lt;=tdata[[#This Row],[SLA_Days]],"On Time","Late")</f>
        <v>Late</v>
      </c>
      <c r="O743" s="2">
        <f>VLOOKUP(tdata[[#This Row],[Service_Type]],Table2[#All],4,0)</f>
        <v>9000</v>
      </c>
      <c r="P743" s="2">
        <f>tdata[[#This Row],[price_per_kilo]]*tdata[[#This Row],[Weight_KG]]</f>
        <v>12780</v>
      </c>
      <c r="Q743" s="2" t="str">
        <f>VLOOKUP(tdata[[#This Row],[id_employee]],temployee[#All],2,0)</f>
        <v>Prasetyo Utomo</v>
      </c>
      <c r="R743" s="2" t="str">
        <f>VLOOKUP(tdata[[#This Row],[id_employee]],temployee[#All],4,0)</f>
        <v>internal</v>
      </c>
      <c r="S743" s="9" t="str">
        <f>VLOOKUP(tdata[[#This Row],[id_employee]],temployee[#All],5,0)</f>
        <v>driver</v>
      </c>
    </row>
    <row r="744" spans="2:19" x14ac:dyDescent="0.35">
      <c r="B744" s="8" t="s">
        <v>763</v>
      </c>
      <c r="C744" s="2" t="s">
        <v>1313</v>
      </c>
      <c r="D744" s="5">
        <v>45317</v>
      </c>
      <c r="E744" s="5">
        <f>D744+4</f>
        <v>45321</v>
      </c>
      <c r="F744" s="2" t="s">
        <v>11</v>
      </c>
      <c r="G744" s="2" t="s">
        <v>11</v>
      </c>
      <c r="H744" s="2" t="s">
        <v>1224</v>
      </c>
      <c r="I744" s="2" t="s">
        <v>17</v>
      </c>
      <c r="J744" s="2">
        <v>6.24</v>
      </c>
      <c r="K744" s="2" t="str">
        <f t="shared" si="30"/>
        <v>&gt;5kg</v>
      </c>
      <c r="L744" s="2">
        <f>tdata[[#This Row],[Received_date]]-tdata[[#This Row],[Shipment_Date]]</f>
        <v>4</v>
      </c>
      <c r="M744" s="2">
        <f>VLOOKUP(tdata[[#This Row],[Service_Type]],Table2[#All],2,0)</f>
        <v>3</v>
      </c>
      <c r="N744" s="2" t="str">
        <f>IF(tdata[[#This Row],[Delivery_Days]]&lt;=tdata[[#This Row],[SLA_Days]],"On Time","Late")</f>
        <v>Late</v>
      </c>
      <c r="O744" s="2">
        <f>VLOOKUP(tdata[[#This Row],[Service_Type]],Table2[#All],4,0)</f>
        <v>10000</v>
      </c>
      <c r="P744" s="2">
        <f>tdata[[#This Row],[price_per_kilo]]*tdata[[#This Row],[Weight_KG]]</f>
        <v>62400</v>
      </c>
      <c r="Q744" s="2" t="str">
        <f>VLOOKUP(tdata[[#This Row],[id_employee]],temployee[#All],2,0)</f>
        <v>Qori Annisa</v>
      </c>
      <c r="R744" s="2" t="str">
        <f>VLOOKUP(tdata[[#This Row],[id_employee]],temployee[#All],4,0)</f>
        <v>crowd source</v>
      </c>
      <c r="S744" s="9" t="str">
        <f>VLOOKUP(tdata[[#This Row],[id_employee]],temployee[#All],5,0)</f>
        <v>rider</v>
      </c>
    </row>
    <row r="745" spans="2:19" x14ac:dyDescent="0.35">
      <c r="B745" s="8" t="s">
        <v>764</v>
      </c>
      <c r="C745" s="2" t="s">
        <v>1314</v>
      </c>
      <c r="D745" s="5">
        <v>45408</v>
      </c>
      <c r="E745" s="5">
        <v>45408</v>
      </c>
      <c r="F745" s="2" t="s">
        <v>15</v>
      </c>
      <c r="G745" s="2" t="s">
        <v>16</v>
      </c>
      <c r="H745" s="2" t="s">
        <v>1224</v>
      </c>
      <c r="I745" s="2" t="s">
        <v>13</v>
      </c>
      <c r="J745" s="2">
        <v>4.17</v>
      </c>
      <c r="K745" s="2" t="str">
        <f t="shared" si="30"/>
        <v>&lt; 5kg</v>
      </c>
      <c r="L745" s="2">
        <f>tdata[[#This Row],[Received_date]]-tdata[[#This Row],[Shipment_Date]]</f>
        <v>0</v>
      </c>
      <c r="M745" s="2">
        <f>VLOOKUP(tdata[[#This Row],[Service_Type]],Table2[#All],2,0)</f>
        <v>3</v>
      </c>
      <c r="N745" s="2" t="str">
        <f>IF(tdata[[#This Row],[Delivery_Days]]&lt;=tdata[[#This Row],[SLA_Days]],"On Time","Late")</f>
        <v>On Time</v>
      </c>
      <c r="O745" s="2">
        <f>VLOOKUP(tdata[[#This Row],[Service_Type]],Table2[#All],4,0)</f>
        <v>10000</v>
      </c>
      <c r="P745" s="2">
        <f>tdata[[#This Row],[price_per_kilo]]*tdata[[#This Row],[Weight_KG]]</f>
        <v>41700</v>
      </c>
      <c r="Q745" s="2" t="str">
        <f>VLOOKUP(tdata[[#This Row],[id_employee]],temployee[#All],2,0)</f>
        <v>Rangga Saptonugroho</v>
      </c>
      <c r="R745" s="2" t="str">
        <f>VLOOKUP(tdata[[#This Row],[id_employee]],temployee[#All],4,0)</f>
        <v>crowd source</v>
      </c>
      <c r="S745" s="9" t="str">
        <f>VLOOKUP(tdata[[#This Row],[id_employee]],temployee[#All],5,0)</f>
        <v>driver</v>
      </c>
    </row>
    <row r="746" spans="2:19" x14ac:dyDescent="0.35">
      <c r="B746" s="8" t="s">
        <v>765</v>
      </c>
      <c r="C746" s="2" t="s">
        <v>1315</v>
      </c>
      <c r="D746" s="5">
        <v>44975</v>
      </c>
      <c r="E746" s="5">
        <f>D746+4</f>
        <v>44979</v>
      </c>
      <c r="F746" s="2" t="s">
        <v>20</v>
      </c>
      <c r="G746" s="2" t="s">
        <v>16</v>
      </c>
      <c r="H746" s="2" t="s">
        <v>1224</v>
      </c>
      <c r="I746" s="2" t="s">
        <v>17</v>
      </c>
      <c r="J746" s="2">
        <v>7.28</v>
      </c>
      <c r="K746" s="2" t="str">
        <f t="shared" si="30"/>
        <v>&gt;5kg</v>
      </c>
      <c r="L746" s="2">
        <f>tdata[[#This Row],[Received_date]]-tdata[[#This Row],[Shipment_Date]]</f>
        <v>4</v>
      </c>
      <c r="M746" s="2">
        <f>VLOOKUP(tdata[[#This Row],[Service_Type]],Table2[#All],2,0)</f>
        <v>3</v>
      </c>
      <c r="N746" s="2" t="str">
        <f>IF(tdata[[#This Row],[Delivery_Days]]&lt;=tdata[[#This Row],[SLA_Days]],"On Time","Late")</f>
        <v>Late</v>
      </c>
      <c r="O746" s="2">
        <f>VLOOKUP(tdata[[#This Row],[Service_Type]],Table2[#All],4,0)</f>
        <v>10000</v>
      </c>
      <c r="P746" s="2">
        <f>tdata[[#This Row],[price_per_kilo]]*tdata[[#This Row],[Weight_KG]]</f>
        <v>72800</v>
      </c>
      <c r="Q746" s="2" t="str">
        <f>VLOOKUP(tdata[[#This Row],[id_employee]],temployee[#All],2,0)</f>
        <v>Sinta Dewi</v>
      </c>
      <c r="R746" s="2" t="str">
        <f>VLOOKUP(tdata[[#This Row],[id_employee]],temployee[#All],4,0)</f>
        <v>internal</v>
      </c>
      <c r="S746" s="9" t="str">
        <f>VLOOKUP(tdata[[#This Row],[id_employee]],temployee[#All],5,0)</f>
        <v>rider</v>
      </c>
    </row>
    <row r="747" spans="2:19" x14ac:dyDescent="0.35">
      <c r="B747" s="8" t="s">
        <v>766</v>
      </c>
      <c r="C747" s="2" t="s">
        <v>1316</v>
      </c>
      <c r="D747" s="5">
        <v>45501</v>
      </c>
      <c r="E747" s="5">
        <v>45503</v>
      </c>
      <c r="F747" s="2" t="s">
        <v>22</v>
      </c>
      <c r="G747" s="2" t="s">
        <v>49</v>
      </c>
      <c r="H747" s="2" t="s">
        <v>1224</v>
      </c>
      <c r="I747" s="2" t="s">
        <v>17</v>
      </c>
      <c r="J747" s="2">
        <v>7.99</v>
      </c>
      <c r="K747" s="2" t="str">
        <f t="shared" si="30"/>
        <v>&gt;5kg</v>
      </c>
      <c r="L747" s="2">
        <f>tdata[[#This Row],[Received_date]]-tdata[[#This Row],[Shipment_Date]]</f>
        <v>2</v>
      </c>
      <c r="M747" s="2">
        <f>VLOOKUP(tdata[[#This Row],[Service_Type]],Table2[#All],2,0)</f>
        <v>3</v>
      </c>
      <c r="N747" s="2" t="str">
        <f>IF(tdata[[#This Row],[Delivery_Days]]&lt;=tdata[[#This Row],[SLA_Days]],"On Time","Late")</f>
        <v>On Time</v>
      </c>
      <c r="O747" s="2">
        <f>VLOOKUP(tdata[[#This Row],[Service_Type]],Table2[#All],4,0)</f>
        <v>10000</v>
      </c>
      <c r="P747" s="2">
        <f>tdata[[#This Row],[price_per_kilo]]*tdata[[#This Row],[Weight_KG]]</f>
        <v>79900</v>
      </c>
      <c r="Q747" s="2" t="str">
        <f>VLOOKUP(tdata[[#This Row],[id_employee]],temployee[#All],2,0)</f>
        <v>Taufik Hidayat</v>
      </c>
      <c r="R747" s="2" t="str">
        <f>VLOOKUP(tdata[[#This Row],[id_employee]],temployee[#All],4,0)</f>
        <v>internal</v>
      </c>
      <c r="S747" s="9" t="str">
        <f>VLOOKUP(tdata[[#This Row],[id_employee]],temployee[#All],5,0)</f>
        <v>driver</v>
      </c>
    </row>
    <row r="748" spans="2:19" x14ac:dyDescent="0.35">
      <c r="B748" s="8" t="s">
        <v>767</v>
      </c>
      <c r="C748" s="2" t="s">
        <v>1317</v>
      </c>
      <c r="D748" s="5">
        <v>45138</v>
      </c>
      <c r="E748" s="5">
        <v>45138</v>
      </c>
      <c r="F748" s="2" t="s">
        <v>12</v>
      </c>
      <c r="G748" s="2" t="s">
        <v>11</v>
      </c>
      <c r="H748" s="2" t="s">
        <v>1224</v>
      </c>
      <c r="I748" s="2" t="s">
        <v>13</v>
      </c>
      <c r="J748" s="2">
        <v>4.83</v>
      </c>
      <c r="K748" s="2" t="str">
        <f t="shared" si="30"/>
        <v>&lt; 5kg</v>
      </c>
      <c r="L748" s="2">
        <f>tdata[[#This Row],[Received_date]]-tdata[[#This Row],[Shipment_Date]]</f>
        <v>0</v>
      </c>
      <c r="M748" s="2">
        <f>VLOOKUP(tdata[[#This Row],[Service_Type]],Table2[#All],2,0)</f>
        <v>3</v>
      </c>
      <c r="N748" s="2" t="str">
        <f>IF(tdata[[#This Row],[Delivery_Days]]&lt;=tdata[[#This Row],[SLA_Days]],"On Time","Late")</f>
        <v>On Time</v>
      </c>
      <c r="O748" s="2">
        <f>VLOOKUP(tdata[[#This Row],[Service_Type]],Table2[#All],4,0)</f>
        <v>10000</v>
      </c>
      <c r="P748" s="2">
        <f>tdata[[#This Row],[price_per_kilo]]*tdata[[#This Row],[Weight_KG]]</f>
        <v>48300</v>
      </c>
      <c r="Q748" s="2" t="str">
        <f>VLOOKUP(tdata[[#This Row],[id_employee]],temployee[#All],2,0)</f>
        <v>Usman Ali</v>
      </c>
      <c r="R748" s="2" t="str">
        <f>VLOOKUP(tdata[[#This Row],[id_employee]],temployee[#All],4,0)</f>
        <v>crowd source</v>
      </c>
      <c r="S748" s="9" t="str">
        <f>VLOOKUP(tdata[[#This Row],[id_employee]],temployee[#All],5,0)</f>
        <v>rider</v>
      </c>
    </row>
    <row r="749" spans="2:19" x14ac:dyDescent="0.35">
      <c r="B749" s="8" t="s">
        <v>768</v>
      </c>
      <c r="C749" s="2" t="s">
        <v>1318</v>
      </c>
      <c r="D749" s="5">
        <v>45304</v>
      </c>
      <c r="E749" s="5">
        <v>45308</v>
      </c>
      <c r="F749" s="2" t="s">
        <v>30</v>
      </c>
      <c r="G749" s="2" t="s">
        <v>20</v>
      </c>
      <c r="H749" s="2" t="s">
        <v>1223</v>
      </c>
      <c r="I749" s="2" t="s">
        <v>13</v>
      </c>
      <c r="J749" s="2">
        <v>5.04</v>
      </c>
      <c r="K749" s="2" t="str">
        <f t="shared" si="30"/>
        <v>&gt;5kg</v>
      </c>
      <c r="L749" s="2">
        <f>tdata[[#This Row],[Received_date]]-tdata[[#This Row],[Shipment_Date]]</f>
        <v>4</v>
      </c>
      <c r="M749" s="2">
        <f>VLOOKUP(tdata[[#This Row],[Service_Type]],Table2[#All],2,0)</f>
        <v>1</v>
      </c>
      <c r="N749" s="2" t="str">
        <f>IF(tdata[[#This Row],[Delivery_Days]]&lt;=tdata[[#This Row],[SLA_Days]],"On Time","Late")</f>
        <v>Late</v>
      </c>
      <c r="O749" s="2">
        <f>VLOOKUP(tdata[[#This Row],[Service_Type]],Table2[#All],4,0)</f>
        <v>12000</v>
      </c>
      <c r="P749" s="2">
        <f>tdata[[#This Row],[price_per_kilo]]*tdata[[#This Row],[Weight_KG]]</f>
        <v>60480</v>
      </c>
      <c r="Q749" s="2" t="str">
        <f>VLOOKUP(tdata[[#This Row],[id_employee]],temployee[#All],2,0)</f>
        <v>Vivi Lestari</v>
      </c>
      <c r="R749" s="2" t="str">
        <f>VLOOKUP(tdata[[#This Row],[id_employee]],temployee[#All],4,0)</f>
        <v>internal</v>
      </c>
      <c r="S749" s="9" t="str">
        <f>VLOOKUP(tdata[[#This Row],[id_employee]],temployee[#All],5,0)</f>
        <v>rider</v>
      </c>
    </row>
    <row r="750" spans="2:19" x14ac:dyDescent="0.35">
      <c r="B750" s="8" t="s">
        <v>769</v>
      </c>
      <c r="C750" s="2" t="s">
        <v>1319</v>
      </c>
      <c r="D750" s="5">
        <v>45287</v>
      </c>
      <c r="E750" s="5">
        <v>45296</v>
      </c>
      <c r="F750" s="2" t="s">
        <v>32</v>
      </c>
      <c r="G750" s="2" t="s">
        <v>20</v>
      </c>
      <c r="H750" s="2" t="s">
        <v>1223</v>
      </c>
      <c r="I750" s="2" t="s">
        <v>13</v>
      </c>
      <c r="J750" s="2">
        <v>7.04</v>
      </c>
      <c r="K750" s="2" t="str">
        <f t="shared" si="30"/>
        <v>&gt;5kg</v>
      </c>
      <c r="L750" s="2">
        <f>tdata[[#This Row],[Received_date]]-tdata[[#This Row],[Shipment_Date]]</f>
        <v>9</v>
      </c>
      <c r="M750" s="2">
        <f>VLOOKUP(tdata[[#This Row],[Service_Type]],Table2[#All],2,0)</f>
        <v>1</v>
      </c>
      <c r="N750" s="2" t="str">
        <f>IF(tdata[[#This Row],[Delivery_Days]]&lt;=tdata[[#This Row],[SLA_Days]],"On Time","Late")</f>
        <v>Late</v>
      </c>
      <c r="O750" s="2">
        <f>VLOOKUP(tdata[[#This Row],[Service_Type]],Table2[#All],4,0)</f>
        <v>12000</v>
      </c>
      <c r="P750" s="2">
        <f>tdata[[#This Row],[price_per_kilo]]*tdata[[#This Row],[Weight_KG]]</f>
        <v>84480</v>
      </c>
      <c r="Q750" s="2" t="str">
        <f>VLOOKUP(tdata[[#This Row],[id_employee]],temployee[#All],2,0)</f>
        <v>Wawan Setiabudi</v>
      </c>
      <c r="R750" s="2" t="str">
        <f>VLOOKUP(tdata[[#This Row],[id_employee]],temployee[#All],4,0)</f>
        <v>internal</v>
      </c>
      <c r="S750" s="9" t="str">
        <f>VLOOKUP(tdata[[#This Row],[id_employee]],temployee[#All],5,0)</f>
        <v>driver</v>
      </c>
    </row>
    <row r="751" spans="2:19" x14ac:dyDescent="0.35">
      <c r="B751" s="8" t="s">
        <v>770</v>
      </c>
      <c r="C751" s="2" t="s">
        <v>1320</v>
      </c>
      <c r="D751" s="5">
        <v>45207</v>
      </c>
      <c r="E751" s="5">
        <v>45212</v>
      </c>
      <c r="F751" s="2" t="s">
        <v>16</v>
      </c>
      <c r="G751" s="2" t="s">
        <v>49</v>
      </c>
      <c r="H751" s="2" t="s">
        <v>23</v>
      </c>
      <c r="I751" s="2" t="s">
        <v>13</v>
      </c>
      <c r="J751" s="2">
        <v>4.7699999999999996</v>
      </c>
      <c r="K751" s="2" t="str">
        <f t="shared" si="30"/>
        <v>&lt; 5kg</v>
      </c>
      <c r="L751" s="2">
        <f>tdata[[#This Row],[Received_date]]-tdata[[#This Row],[Shipment_Date]]</f>
        <v>5</v>
      </c>
      <c r="M751" s="2">
        <f>VLOOKUP(tdata[[#This Row],[Service_Type]],Table2[#All],2,0)</f>
        <v>5</v>
      </c>
      <c r="N751" s="2" t="str">
        <f>IF(tdata[[#This Row],[Delivery_Days]]&lt;=tdata[[#This Row],[SLA_Days]],"On Time","Late")</f>
        <v>On Time</v>
      </c>
      <c r="O751" s="2">
        <f>VLOOKUP(tdata[[#This Row],[Service_Type]],Table2[#All],4,0)</f>
        <v>9000</v>
      </c>
      <c r="P751" s="2">
        <f>tdata[[#This Row],[price_per_kilo]]*tdata[[#This Row],[Weight_KG]]</f>
        <v>42929.999999999993</v>
      </c>
      <c r="Q751" s="2" t="str">
        <f>VLOOKUP(tdata[[#This Row],[id_employee]],temployee[#All],2,0)</f>
        <v>Xenia Maharani</v>
      </c>
      <c r="R751" s="2" t="str">
        <f>VLOOKUP(tdata[[#This Row],[id_employee]],temployee[#All],4,0)</f>
        <v>crowd source</v>
      </c>
      <c r="S751" s="9" t="str">
        <f>VLOOKUP(tdata[[#This Row],[id_employee]],temployee[#All],5,0)</f>
        <v>rider</v>
      </c>
    </row>
    <row r="752" spans="2:19" x14ac:dyDescent="0.35">
      <c r="B752" s="8" t="s">
        <v>771</v>
      </c>
      <c r="C752" s="2" t="s">
        <v>1321</v>
      </c>
      <c r="D752" s="5">
        <v>45586</v>
      </c>
      <c r="E752" s="5">
        <v>45596</v>
      </c>
      <c r="F752" s="2" t="s">
        <v>26</v>
      </c>
      <c r="G752" s="2" t="s">
        <v>20</v>
      </c>
      <c r="H752" s="2" t="s">
        <v>1224</v>
      </c>
      <c r="I752" s="2" t="s">
        <v>17</v>
      </c>
      <c r="J752" s="2">
        <v>6.54</v>
      </c>
      <c r="K752" s="2" t="str">
        <f t="shared" si="30"/>
        <v>&gt;5kg</v>
      </c>
      <c r="L752" s="2">
        <f>tdata[[#This Row],[Received_date]]-tdata[[#This Row],[Shipment_Date]]</f>
        <v>10</v>
      </c>
      <c r="M752" s="2">
        <f>VLOOKUP(tdata[[#This Row],[Service_Type]],Table2[#All],2,0)</f>
        <v>3</v>
      </c>
      <c r="N752" s="2" t="str">
        <f>IF(tdata[[#This Row],[Delivery_Days]]&lt;=tdata[[#This Row],[SLA_Days]],"On Time","Late")</f>
        <v>Late</v>
      </c>
      <c r="O752" s="2">
        <f>VLOOKUP(tdata[[#This Row],[Service_Type]],Table2[#All],4,0)</f>
        <v>10000</v>
      </c>
      <c r="P752" s="2">
        <f>tdata[[#This Row],[price_per_kilo]]*tdata[[#This Row],[Weight_KG]]</f>
        <v>65400</v>
      </c>
      <c r="Q752" s="2" t="str">
        <f>VLOOKUP(tdata[[#This Row],[id_employee]],temployee[#All],2,0)</f>
        <v>Yoga Pradana</v>
      </c>
      <c r="R752" s="2" t="str">
        <f>VLOOKUP(tdata[[#This Row],[id_employee]],temployee[#All],4,0)</f>
        <v>internal</v>
      </c>
      <c r="S752" s="9" t="str">
        <f>VLOOKUP(tdata[[#This Row],[id_employee]],temployee[#All],5,0)</f>
        <v>rider</v>
      </c>
    </row>
    <row r="753" spans="2:19" x14ac:dyDescent="0.35">
      <c r="B753" s="8" t="s">
        <v>772</v>
      </c>
      <c r="C753" s="2" t="s">
        <v>1322</v>
      </c>
      <c r="D753" s="5">
        <v>45034</v>
      </c>
      <c r="E753" s="5">
        <v>45035</v>
      </c>
      <c r="F753" s="2" t="s">
        <v>49</v>
      </c>
      <c r="G753" s="2" t="s">
        <v>22</v>
      </c>
      <c r="H753" s="2" t="s">
        <v>1224</v>
      </c>
      <c r="I753" s="2" t="s">
        <v>17</v>
      </c>
      <c r="J753" s="2">
        <v>7.24</v>
      </c>
      <c r="K753" s="2" t="str">
        <f t="shared" si="30"/>
        <v>&gt;5kg</v>
      </c>
      <c r="L753" s="2">
        <f>tdata[[#This Row],[Received_date]]-tdata[[#This Row],[Shipment_Date]]</f>
        <v>1</v>
      </c>
      <c r="M753" s="2">
        <f>VLOOKUP(tdata[[#This Row],[Service_Type]],Table2[#All],2,0)</f>
        <v>3</v>
      </c>
      <c r="N753" s="2" t="str">
        <f>IF(tdata[[#This Row],[Delivery_Days]]&lt;=tdata[[#This Row],[SLA_Days]],"On Time","Late")</f>
        <v>On Time</v>
      </c>
      <c r="O753" s="2">
        <f>VLOOKUP(tdata[[#This Row],[Service_Type]],Table2[#All],4,0)</f>
        <v>10000</v>
      </c>
      <c r="P753" s="2">
        <f>tdata[[#This Row],[price_per_kilo]]*tdata[[#This Row],[Weight_KG]]</f>
        <v>72400</v>
      </c>
      <c r="Q753" s="2" t="str">
        <f>VLOOKUP(tdata[[#This Row],[id_employee]],temployee[#All],2,0)</f>
        <v>Zulfikar Ramadhan</v>
      </c>
      <c r="R753" s="2" t="str">
        <f>VLOOKUP(tdata[[#This Row],[id_employee]],temployee[#All],4,0)</f>
        <v>crowd source</v>
      </c>
      <c r="S753" s="9" t="str">
        <f>VLOOKUP(tdata[[#This Row],[id_employee]],temployee[#All],5,0)</f>
        <v>driver</v>
      </c>
    </row>
    <row r="754" spans="2:19" x14ac:dyDescent="0.35">
      <c r="B754" s="8" t="s">
        <v>773</v>
      </c>
      <c r="C754" s="2" t="s">
        <v>1323</v>
      </c>
      <c r="D754" s="5">
        <v>45467</v>
      </c>
      <c r="E754" s="5">
        <v>45473</v>
      </c>
      <c r="F754" s="2" t="s">
        <v>11</v>
      </c>
      <c r="G754" s="2" t="s">
        <v>12</v>
      </c>
      <c r="H754" s="2" t="s">
        <v>1223</v>
      </c>
      <c r="I754" s="2" t="s">
        <v>13</v>
      </c>
      <c r="J754" s="2">
        <v>3.13</v>
      </c>
      <c r="K754" s="2" t="str">
        <f t="shared" si="30"/>
        <v>&lt; 5kg</v>
      </c>
      <c r="L754" s="2">
        <f>tdata[[#This Row],[Received_date]]-tdata[[#This Row],[Shipment_Date]]</f>
        <v>6</v>
      </c>
      <c r="M754" s="2">
        <f>VLOOKUP(tdata[[#This Row],[Service_Type]],Table2[#All],2,0)</f>
        <v>1</v>
      </c>
      <c r="N754" s="2" t="str">
        <f>IF(tdata[[#This Row],[Delivery_Days]]&lt;=tdata[[#This Row],[SLA_Days]],"On Time","Late")</f>
        <v>Late</v>
      </c>
      <c r="O754" s="2">
        <f>VLOOKUP(tdata[[#This Row],[Service_Type]],Table2[#All],4,0)</f>
        <v>12000</v>
      </c>
      <c r="P754" s="2">
        <f>tdata[[#This Row],[price_per_kilo]]*tdata[[#This Row],[Weight_KG]]</f>
        <v>37560</v>
      </c>
      <c r="Q754" s="2" t="str">
        <f>VLOOKUP(tdata[[#This Row],[id_employee]],temployee[#All],2,0)</f>
        <v>Aditya Saputra</v>
      </c>
      <c r="R754" s="2" t="str">
        <f>VLOOKUP(tdata[[#This Row],[id_employee]],temployee[#All],4,0)</f>
        <v>internal</v>
      </c>
      <c r="S754" s="9" t="str">
        <f>VLOOKUP(tdata[[#This Row],[id_employee]],temployee[#All],5,0)</f>
        <v>rider</v>
      </c>
    </row>
    <row r="755" spans="2:19" x14ac:dyDescent="0.35">
      <c r="B755" s="8" t="s">
        <v>774</v>
      </c>
      <c r="C755" s="2" t="s">
        <v>1324</v>
      </c>
      <c r="D755" s="5">
        <v>45124</v>
      </c>
      <c r="E755" s="5">
        <f>D755+4</f>
        <v>45128</v>
      </c>
      <c r="F755" s="2" t="s">
        <v>15</v>
      </c>
      <c r="G755" s="2" t="s">
        <v>26</v>
      </c>
      <c r="H755" s="2" t="s">
        <v>1224</v>
      </c>
      <c r="I755" s="2" t="s">
        <v>17</v>
      </c>
      <c r="J755" s="2">
        <v>9.3800000000000008</v>
      </c>
      <c r="K755" s="2" t="str">
        <f t="shared" si="30"/>
        <v>&gt;5kg</v>
      </c>
      <c r="L755" s="2">
        <f>tdata[[#This Row],[Received_date]]-tdata[[#This Row],[Shipment_Date]]</f>
        <v>4</v>
      </c>
      <c r="M755" s="2">
        <f>VLOOKUP(tdata[[#This Row],[Service_Type]],Table2[#All],2,0)</f>
        <v>3</v>
      </c>
      <c r="N755" s="2" t="str">
        <f>IF(tdata[[#This Row],[Delivery_Days]]&lt;=tdata[[#This Row],[SLA_Days]],"On Time","Late")</f>
        <v>Late</v>
      </c>
      <c r="O755" s="2">
        <f>VLOOKUP(tdata[[#This Row],[Service_Type]],Table2[#All],4,0)</f>
        <v>10000</v>
      </c>
      <c r="P755" s="2">
        <f>tdata[[#This Row],[price_per_kilo]]*tdata[[#This Row],[Weight_KG]]</f>
        <v>93800.000000000015</v>
      </c>
      <c r="Q755" s="2" t="str">
        <f>VLOOKUP(tdata[[#This Row],[id_employee]],temployee[#All],2,0)</f>
        <v>Bella Oktaviani</v>
      </c>
      <c r="R755" s="2" t="str">
        <f>VLOOKUP(tdata[[#This Row],[id_employee]],temployee[#All],4,0)</f>
        <v>internal</v>
      </c>
      <c r="S755" s="9" t="str">
        <f>VLOOKUP(tdata[[#This Row],[id_employee]],temployee[#All],5,0)</f>
        <v>rider</v>
      </c>
    </row>
    <row r="756" spans="2:19" x14ac:dyDescent="0.35">
      <c r="B756" s="8" t="s">
        <v>775</v>
      </c>
      <c r="C756" s="2" t="s">
        <v>1325</v>
      </c>
      <c r="D756" s="5">
        <v>45648</v>
      </c>
      <c r="E756" s="5">
        <v>45651</v>
      </c>
      <c r="F756" s="2" t="s">
        <v>20</v>
      </c>
      <c r="G756" s="2" t="s">
        <v>26</v>
      </c>
      <c r="H756" s="2" t="s">
        <v>23</v>
      </c>
      <c r="I756" s="2" t="s">
        <v>13</v>
      </c>
      <c r="J756" s="2">
        <v>9.34</v>
      </c>
      <c r="K756" s="2" t="str">
        <f t="shared" si="30"/>
        <v>&gt;5kg</v>
      </c>
      <c r="L756" s="2">
        <f>tdata[[#This Row],[Received_date]]-tdata[[#This Row],[Shipment_Date]]</f>
        <v>3</v>
      </c>
      <c r="M756" s="2">
        <f>VLOOKUP(tdata[[#This Row],[Service_Type]],Table2[#All],2,0)</f>
        <v>5</v>
      </c>
      <c r="N756" s="2" t="str">
        <f>IF(tdata[[#This Row],[Delivery_Days]]&lt;=tdata[[#This Row],[SLA_Days]],"On Time","Late")</f>
        <v>On Time</v>
      </c>
      <c r="O756" s="2">
        <f>VLOOKUP(tdata[[#This Row],[Service_Type]],Table2[#All],4,0)</f>
        <v>9000</v>
      </c>
      <c r="P756" s="2">
        <f>tdata[[#This Row],[price_per_kilo]]*tdata[[#This Row],[Weight_KG]]</f>
        <v>84060</v>
      </c>
      <c r="Q756" s="2" t="str">
        <f>VLOOKUP(tdata[[#This Row],[id_employee]],temployee[#All],2,0)</f>
        <v>Chandra Wijaya</v>
      </c>
      <c r="R756" s="2" t="str">
        <f>VLOOKUP(tdata[[#This Row],[id_employee]],temployee[#All],4,0)</f>
        <v>crowd source</v>
      </c>
      <c r="S756" s="9" t="str">
        <f>VLOOKUP(tdata[[#This Row],[id_employee]],temployee[#All],5,0)</f>
        <v>driver</v>
      </c>
    </row>
    <row r="757" spans="2:19" x14ac:dyDescent="0.35">
      <c r="B757" s="8" t="s">
        <v>776</v>
      </c>
      <c r="C757" s="2" t="s">
        <v>1326</v>
      </c>
      <c r="D757" s="5">
        <v>45429</v>
      </c>
      <c r="E757" s="5">
        <f>D757+4</f>
        <v>45433</v>
      </c>
      <c r="F757" s="2" t="s">
        <v>22</v>
      </c>
      <c r="G757" s="2" t="s">
        <v>11</v>
      </c>
      <c r="H757" s="2" t="s">
        <v>1224</v>
      </c>
      <c r="I757" s="2" t="s">
        <v>13</v>
      </c>
      <c r="J757" s="2">
        <v>5.97</v>
      </c>
      <c r="K757" s="2" t="str">
        <f t="shared" si="30"/>
        <v>&gt;5kg</v>
      </c>
      <c r="L757" s="2">
        <f>tdata[[#This Row],[Received_date]]-tdata[[#This Row],[Shipment_Date]]</f>
        <v>4</v>
      </c>
      <c r="M757" s="2">
        <f>VLOOKUP(tdata[[#This Row],[Service_Type]],Table2[#All],2,0)</f>
        <v>3</v>
      </c>
      <c r="N757" s="2" t="str">
        <f>IF(tdata[[#This Row],[Delivery_Days]]&lt;=tdata[[#This Row],[SLA_Days]],"On Time","Late")</f>
        <v>Late</v>
      </c>
      <c r="O757" s="2">
        <f>VLOOKUP(tdata[[#This Row],[Service_Type]],Table2[#All],4,0)</f>
        <v>10000</v>
      </c>
      <c r="P757" s="2">
        <f>tdata[[#This Row],[price_per_kilo]]*tdata[[#This Row],[Weight_KG]]</f>
        <v>59700</v>
      </c>
      <c r="Q757" s="2" t="str">
        <f>VLOOKUP(tdata[[#This Row],[id_employee]],temployee[#All],2,0)</f>
        <v>Dewi Sartika</v>
      </c>
      <c r="R757" s="2" t="str">
        <f>VLOOKUP(tdata[[#This Row],[id_employee]],temployee[#All],4,0)</f>
        <v>internal</v>
      </c>
      <c r="S757" s="9" t="str">
        <f>VLOOKUP(tdata[[#This Row],[id_employee]],temployee[#All],5,0)</f>
        <v>rider</v>
      </c>
    </row>
    <row r="758" spans="2:19" x14ac:dyDescent="0.35">
      <c r="B758" s="8" t="s">
        <v>777</v>
      </c>
      <c r="C758" s="2" t="s">
        <v>1327</v>
      </c>
      <c r="D758" s="5">
        <v>45645</v>
      </c>
      <c r="E758" s="5">
        <v>45648</v>
      </c>
      <c r="F758" s="2" t="s">
        <v>12</v>
      </c>
      <c r="G758" s="2" t="s">
        <v>30</v>
      </c>
      <c r="H758" s="2" t="s">
        <v>1224</v>
      </c>
      <c r="I758" s="2" t="s">
        <v>13</v>
      </c>
      <c r="J758" s="2">
        <v>1.34</v>
      </c>
      <c r="K758" s="2" t="str">
        <f t="shared" si="30"/>
        <v>&lt; 5kg</v>
      </c>
      <c r="L758" s="2">
        <f>tdata[[#This Row],[Received_date]]-tdata[[#This Row],[Shipment_Date]]</f>
        <v>3</v>
      </c>
      <c r="M758" s="2">
        <f>VLOOKUP(tdata[[#This Row],[Service_Type]],Table2[#All],2,0)</f>
        <v>3</v>
      </c>
      <c r="N758" s="2" t="str">
        <f>IF(tdata[[#This Row],[Delivery_Days]]&lt;=tdata[[#This Row],[SLA_Days]],"On Time","Late")</f>
        <v>On Time</v>
      </c>
      <c r="O758" s="2">
        <f>VLOOKUP(tdata[[#This Row],[Service_Type]],Table2[#All],4,0)</f>
        <v>10000</v>
      </c>
      <c r="P758" s="2">
        <f>tdata[[#This Row],[price_per_kilo]]*tdata[[#This Row],[Weight_KG]]</f>
        <v>13400</v>
      </c>
      <c r="Q758" s="2" t="str">
        <f>VLOOKUP(tdata[[#This Row],[id_employee]],temployee[#All],2,0)</f>
        <v>Edi Kurniawan</v>
      </c>
      <c r="R758" s="2" t="str">
        <f>VLOOKUP(tdata[[#This Row],[id_employee]],temployee[#All],4,0)</f>
        <v>internal</v>
      </c>
      <c r="S758" s="9" t="str">
        <f>VLOOKUP(tdata[[#This Row],[id_employee]],temployee[#All],5,0)</f>
        <v>driver</v>
      </c>
    </row>
    <row r="759" spans="2:19" x14ac:dyDescent="0.35">
      <c r="B759" s="8" t="s">
        <v>778</v>
      </c>
      <c r="C759" s="2" t="s">
        <v>1328</v>
      </c>
      <c r="D759" s="5">
        <v>45359</v>
      </c>
      <c r="E759" s="5">
        <v>45368</v>
      </c>
      <c r="F759" s="2" t="s">
        <v>30</v>
      </c>
      <c r="G759" s="2" t="s">
        <v>49</v>
      </c>
      <c r="H759" s="2" t="s">
        <v>23</v>
      </c>
      <c r="I759" s="2" t="s">
        <v>13</v>
      </c>
      <c r="J759" s="2">
        <v>10.09</v>
      </c>
      <c r="K759" s="2" t="str">
        <f t="shared" si="30"/>
        <v>&gt;5kg</v>
      </c>
      <c r="L759" s="2">
        <f>tdata[[#This Row],[Received_date]]-tdata[[#This Row],[Shipment_Date]]</f>
        <v>9</v>
      </c>
      <c r="M759" s="2">
        <f>VLOOKUP(tdata[[#This Row],[Service_Type]],Table2[#All],2,0)</f>
        <v>5</v>
      </c>
      <c r="N759" s="2" t="str">
        <f>IF(tdata[[#This Row],[Delivery_Days]]&lt;=tdata[[#This Row],[SLA_Days]],"On Time","Late")</f>
        <v>Late</v>
      </c>
      <c r="O759" s="2">
        <f>VLOOKUP(tdata[[#This Row],[Service_Type]],Table2[#All],4,0)</f>
        <v>9000</v>
      </c>
      <c r="P759" s="2">
        <f>tdata[[#This Row],[price_per_kilo]]*tdata[[#This Row],[Weight_KG]]</f>
        <v>90810</v>
      </c>
      <c r="Q759" s="2" t="str">
        <f>VLOOKUP(tdata[[#This Row],[id_employee]],temployee[#All],2,0)</f>
        <v>Farah Nabila</v>
      </c>
      <c r="R759" s="2" t="str">
        <f>VLOOKUP(tdata[[#This Row],[id_employee]],temployee[#All],4,0)</f>
        <v>crowd source</v>
      </c>
      <c r="S759" s="9" t="str">
        <f>VLOOKUP(tdata[[#This Row],[id_employee]],temployee[#All],5,0)</f>
        <v>rider</v>
      </c>
    </row>
    <row r="760" spans="2:19" x14ac:dyDescent="0.35">
      <c r="B760" s="8" t="s">
        <v>779</v>
      </c>
      <c r="C760" s="2" t="s">
        <v>1329</v>
      </c>
      <c r="D760" s="5">
        <v>45443</v>
      </c>
      <c r="E760" s="5">
        <f>D760+4</f>
        <v>45447</v>
      </c>
      <c r="F760" s="2" t="s">
        <v>32</v>
      </c>
      <c r="G760" s="2" t="s">
        <v>22</v>
      </c>
      <c r="H760" s="2" t="s">
        <v>1224</v>
      </c>
      <c r="I760" s="2" t="s">
        <v>13</v>
      </c>
      <c r="J760" s="2">
        <v>5.13</v>
      </c>
      <c r="K760" s="2" t="str">
        <f t="shared" si="30"/>
        <v>&gt;5kg</v>
      </c>
      <c r="L760" s="2">
        <f>tdata[[#This Row],[Received_date]]-tdata[[#This Row],[Shipment_Date]]</f>
        <v>4</v>
      </c>
      <c r="M760" s="2">
        <f>VLOOKUP(tdata[[#This Row],[Service_Type]],Table2[#All],2,0)</f>
        <v>3</v>
      </c>
      <c r="N760" s="2" t="str">
        <f>IF(tdata[[#This Row],[Delivery_Days]]&lt;=tdata[[#This Row],[SLA_Days]],"On Time","Late")</f>
        <v>Late</v>
      </c>
      <c r="O760" s="2">
        <f>VLOOKUP(tdata[[#This Row],[Service_Type]],Table2[#All],4,0)</f>
        <v>10000</v>
      </c>
      <c r="P760" s="2">
        <f>tdata[[#This Row],[price_per_kilo]]*tdata[[#This Row],[Weight_KG]]</f>
        <v>51300</v>
      </c>
      <c r="Q760" s="2" t="str">
        <f>VLOOKUP(tdata[[#This Row],[id_employee]],temployee[#All],2,0)</f>
        <v>Galih Pratomo</v>
      </c>
      <c r="R760" s="2" t="str">
        <f>VLOOKUP(tdata[[#This Row],[id_employee]],temployee[#All],4,0)</f>
        <v>internal</v>
      </c>
      <c r="S760" s="9" t="str">
        <f>VLOOKUP(tdata[[#This Row],[id_employee]],temployee[#All],5,0)</f>
        <v>rider</v>
      </c>
    </row>
    <row r="761" spans="2:19" x14ac:dyDescent="0.35">
      <c r="B761" s="8" t="s">
        <v>780</v>
      </c>
      <c r="C761" s="2" t="s">
        <v>1330</v>
      </c>
      <c r="D761" s="5">
        <v>44977</v>
      </c>
      <c r="E761" s="5">
        <v>44981</v>
      </c>
      <c r="F761" s="2" t="s">
        <v>16</v>
      </c>
      <c r="G761" s="2" t="s">
        <v>20</v>
      </c>
      <c r="H761" s="2" t="s">
        <v>23</v>
      </c>
      <c r="I761" s="2" t="s">
        <v>13</v>
      </c>
      <c r="J761" s="2">
        <v>4.01</v>
      </c>
      <c r="K761" s="2" t="str">
        <f t="shared" si="30"/>
        <v>&lt; 5kg</v>
      </c>
      <c r="L761" s="2">
        <f>tdata[[#This Row],[Received_date]]-tdata[[#This Row],[Shipment_Date]]</f>
        <v>4</v>
      </c>
      <c r="M761" s="2">
        <f>VLOOKUP(tdata[[#This Row],[Service_Type]],Table2[#All],2,0)</f>
        <v>5</v>
      </c>
      <c r="N761" s="2" t="str">
        <f>IF(tdata[[#This Row],[Delivery_Days]]&lt;=tdata[[#This Row],[SLA_Days]],"On Time","Late")</f>
        <v>On Time</v>
      </c>
      <c r="O761" s="2">
        <f>VLOOKUP(tdata[[#This Row],[Service_Type]],Table2[#All],4,0)</f>
        <v>9000</v>
      </c>
      <c r="P761" s="2">
        <f>tdata[[#This Row],[price_per_kilo]]*tdata[[#This Row],[Weight_KG]]</f>
        <v>36090</v>
      </c>
      <c r="Q761" s="2" t="str">
        <f>VLOOKUP(tdata[[#This Row],[id_employee]],temployee[#All],2,0)</f>
        <v>Hadi Purnomo</v>
      </c>
      <c r="R761" s="2" t="str">
        <f>VLOOKUP(tdata[[#This Row],[id_employee]],temployee[#All],4,0)</f>
        <v>crowd source</v>
      </c>
      <c r="S761" s="9" t="str">
        <f>VLOOKUP(tdata[[#This Row],[id_employee]],temployee[#All],5,0)</f>
        <v>driver</v>
      </c>
    </row>
    <row r="762" spans="2:19" x14ac:dyDescent="0.35">
      <c r="B762" s="8" t="s">
        <v>781</v>
      </c>
      <c r="C762" s="2" t="s">
        <v>1331</v>
      </c>
      <c r="D762" s="5">
        <v>44929</v>
      </c>
      <c r="E762" s="5">
        <f>D762+4</f>
        <v>44933</v>
      </c>
      <c r="F762" s="2" t="s">
        <v>26</v>
      </c>
      <c r="G762" s="2" t="s">
        <v>11</v>
      </c>
      <c r="H762" s="2" t="s">
        <v>23</v>
      </c>
      <c r="I762" s="2" t="s">
        <v>13</v>
      </c>
      <c r="J762" s="2">
        <v>8.92</v>
      </c>
      <c r="K762" s="2" t="str">
        <f t="shared" si="30"/>
        <v>&gt;5kg</v>
      </c>
      <c r="L762" s="2">
        <f>tdata[[#This Row],[Received_date]]-tdata[[#This Row],[Shipment_Date]]</f>
        <v>4</v>
      </c>
      <c r="M762" s="2">
        <f>VLOOKUP(tdata[[#This Row],[Service_Type]],Table2[#All],2,0)</f>
        <v>5</v>
      </c>
      <c r="N762" s="2" t="str">
        <f>IF(tdata[[#This Row],[Delivery_Days]]&lt;=tdata[[#This Row],[SLA_Days]],"On Time","Late")</f>
        <v>On Time</v>
      </c>
      <c r="O762" s="2">
        <f>VLOOKUP(tdata[[#This Row],[Service_Type]],Table2[#All],4,0)</f>
        <v>9000</v>
      </c>
      <c r="P762" s="2">
        <f>tdata[[#This Row],[price_per_kilo]]*tdata[[#This Row],[Weight_KG]]</f>
        <v>80280</v>
      </c>
      <c r="Q762" s="2" t="str">
        <f>VLOOKUP(tdata[[#This Row],[id_employee]],temployee[#All],2,0)</f>
        <v>Ika Lestari</v>
      </c>
      <c r="R762" s="2" t="str">
        <f>VLOOKUP(tdata[[#This Row],[id_employee]],temployee[#All],4,0)</f>
        <v>internal</v>
      </c>
      <c r="S762" s="9" t="str">
        <f>VLOOKUP(tdata[[#This Row],[id_employee]],temployee[#All],5,0)</f>
        <v>rider</v>
      </c>
    </row>
    <row r="763" spans="2:19" x14ac:dyDescent="0.35">
      <c r="B763" s="8" t="s">
        <v>782</v>
      </c>
      <c r="C763" s="2" t="s">
        <v>1332</v>
      </c>
      <c r="D763" s="5">
        <v>44941</v>
      </c>
      <c r="E763" s="5">
        <v>44942</v>
      </c>
      <c r="F763" s="2" t="s">
        <v>49</v>
      </c>
      <c r="G763" s="2" t="s">
        <v>15</v>
      </c>
      <c r="H763" s="2" t="s">
        <v>1224</v>
      </c>
      <c r="I763" s="2" t="s">
        <v>17</v>
      </c>
      <c r="J763" s="2">
        <v>1.3</v>
      </c>
      <c r="K763" s="2" t="str">
        <f t="shared" si="30"/>
        <v>&lt; 5kg</v>
      </c>
      <c r="L763" s="2">
        <f>tdata[[#This Row],[Received_date]]-tdata[[#This Row],[Shipment_Date]]</f>
        <v>1</v>
      </c>
      <c r="M763" s="2">
        <f>VLOOKUP(tdata[[#This Row],[Service_Type]],Table2[#All],2,0)</f>
        <v>3</v>
      </c>
      <c r="N763" s="2" t="str">
        <f>IF(tdata[[#This Row],[Delivery_Days]]&lt;=tdata[[#This Row],[SLA_Days]],"On Time","Late")</f>
        <v>On Time</v>
      </c>
      <c r="O763" s="2">
        <f>VLOOKUP(tdata[[#This Row],[Service_Type]],Table2[#All],4,0)</f>
        <v>10000</v>
      </c>
      <c r="P763" s="2">
        <f>tdata[[#This Row],[price_per_kilo]]*tdata[[#This Row],[Weight_KG]]</f>
        <v>13000</v>
      </c>
      <c r="Q763" s="2" t="str">
        <f>VLOOKUP(tdata[[#This Row],[id_employee]],temployee[#All],2,0)</f>
        <v>Jamil Akbar</v>
      </c>
      <c r="R763" s="2" t="str">
        <f>VLOOKUP(tdata[[#This Row],[id_employee]],temployee[#All],4,0)</f>
        <v>internal</v>
      </c>
      <c r="S763" s="9" t="str">
        <f>VLOOKUP(tdata[[#This Row],[id_employee]],temployee[#All],5,0)</f>
        <v>driver</v>
      </c>
    </row>
    <row r="764" spans="2:19" x14ac:dyDescent="0.35">
      <c r="B764" s="8" t="s">
        <v>783</v>
      </c>
      <c r="C764" s="2" t="s">
        <v>1333</v>
      </c>
      <c r="D764" s="5">
        <v>44944</v>
      </c>
      <c r="E764" s="5">
        <v>44945</v>
      </c>
      <c r="F764" s="2" t="s">
        <v>11</v>
      </c>
      <c r="G764" s="2" t="s">
        <v>11</v>
      </c>
      <c r="H764" s="2" t="s">
        <v>1224</v>
      </c>
      <c r="I764" s="2" t="s">
        <v>13</v>
      </c>
      <c r="J764" s="2">
        <v>4.46</v>
      </c>
      <c r="K764" s="2" t="str">
        <f t="shared" si="30"/>
        <v>&lt; 5kg</v>
      </c>
      <c r="L764" s="2">
        <f>tdata[[#This Row],[Received_date]]-tdata[[#This Row],[Shipment_Date]]</f>
        <v>1</v>
      </c>
      <c r="M764" s="2">
        <f>VLOOKUP(tdata[[#This Row],[Service_Type]],Table2[#All],2,0)</f>
        <v>3</v>
      </c>
      <c r="N764" s="2" t="str">
        <f>IF(tdata[[#This Row],[Delivery_Days]]&lt;=tdata[[#This Row],[SLA_Days]],"On Time","Late")</f>
        <v>On Time</v>
      </c>
      <c r="O764" s="2">
        <f>VLOOKUP(tdata[[#This Row],[Service_Type]],Table2[#All],4,0)</f>
        <v>10000</v>
      </c>
      <c r="P764" s="2">
        <f>tdata[[#This Row],[price_per_kilo]]*tdata[[#This Row],[Weight_KG]]</f>
        <v>44600</v>
      </c>
      <c r="Q764" s="2" t="str">
        <f>VLOOKUP(tdata[[#This Row],[id_employee]],temployee[#All],2,0)</f>
        <v>Kevin Sanjaya</v>
      </c>
      <c r="R764" s="2" t="str">
        <f>VLOOKUP(tdata[[#This Row],[id_employee]],temployee[#All],4,0)</f>
        <v>crowd source</v>
      </c>
      <c r="S764" s="9" t="str">
        <f>VLOOKUP(tdata[[#This Row],[id_employee]],temployee[#All],5,0)</f>
        <v>rider</v>
      </c>
    </row>
    <row r="765" spans="2:19" x14ac:dyDescent="0.35">
      <c r="B765" s="8" t="s">
        <v>784</v>
      </c>
      <c r="C765" s="2" t="s">
        <v>1334</v>
      </c>
      <c r="D765" s="5">
        <v>45624</v>
      </c>
      <c r="E765" s="5">
        <v>45629</v>
      </c>
      <c r="F765" s="2" t="s">
        <v>15</v>
      </c>
      <c r="G765" s="2" t="s">
        <v>26</v>
      </c>
      <c r="H765" s="2" t="s">
        <v>1224</v>
      </c>
      <c r="I765" s="2" t="s">
        <v>13</v>
      </c>
      <c r="J765" s="2">
        <v>3.16</v>
      </c>
      <c r="K765" s="2" t="str">
        <f t="shared" si="30"/>
        <v>&lt; 5kg</v>
      </c>
      <c r="L765" s="2">
        <f>tdata[[#This Row],[Received_date]]-tdata[[#This Row],[Shipment_Date]]</f>
        <v>5</v>
      </c>
      <c r="M765" s="2">
        <f>VLOOKUP(tdata[[#This Row],[Service_Type]],Table2[#All],2,0)</f>
        <v>3</v>
      </c>
      <c r="N765" s="2" t="str">
        <f>IF(tdata[[#This Row],[Delivery_Days]]&lt;=tdata[[#This Row],[SLA_Days]],"On Time","Late")</f>
        <v>Late</v>
      </c>
      <c r="O765" s="2">
        <f>VLOOKUP(tdata[[#This Row],[Service_Type]],Table2[#All],4,0)</f>
        <v>10000</v>
      </c>
      <c r="P765" s="2">
        <f>tdata[[#This Row],[price_per_kilo]]*tdata[[#This Row],[Weight_KG]]</f>
        <v>31600</v>
      </c>
      <c r="Q765" s="2" t="str">
        <f>VLOOKUP(tdata[[#This Row],[id_employee]],temployee[#All],2,0)</f>
        <v>Laila Nuraini</v>
      </c>
      <c r="R765" s="2" t="str">
        <f>VLOOKUP(tdata[[#This Row],[id_employee]],temployee[#All],4,0)</f>
        <v>internal</v>
      </c>
      <c r="S765" s="9" t="str">
        <f>VLOOKUP(tdata[[#This Row],[id_employee]],temployee[#All],5,0)</f>
        <v>rider</v>
      </c>
    </row>
    <row r="766" spans="2:19" x14ac:dyDescent="0.35">
      <c r="B766" s="8" t="s">
        <v>785</v>
      </c>
      <c r="C766" s="2" t="s">
        <v>1335</v>
      </c>
      <c r="D766" s="5">
        <v>45118</v>
      </c>
      <c r="E766" s="5">
        <v>45118</v>
      </c>
      <c r="F766" s="2" t="s">
        <v>20</v>
      </c>
      <c r="G766" s="2" t="s">
        <v>11</v>
      </c>
      <c r="H766" s="2" t="s">
        <v>1224</v>
      </c>
      <c r="I766" s="2" t="s">
        <v>13</v>
      </c>
      <c r="J766" s="2">
        <v>9.9700000000000006</v>
      </c>
      <c r="K766" s="2" t="str">
        <f t="shared" si="30"/>
        <v>&gt;5kg</v>
      </c>
      <c r="L766" s="2">
        <f>tdata[[#This Row],[Received_date]]-tdata[[#This Row],[Shipment_Date]]</f>
        <v>0</v>
      </c>
      <c r="M766" s="2">
        <f>VLOOKUP(tdata[[#This Row],[Service_Type]],Table2[#All],2,0)</f>
        <v>3</v>
      </c>
      <c r="N766" s="2" t="str">
        <f>IF(tdata[[#This Row],[Delivery_Days]]&lt;=tdata[[#This Row],[SLA_Days]],"On Time","Late")</f>
        <v>On Time</v>
      </c>
      <c r="O766" s="2">
        <f>VLOOKUP(tdata[[#This Row],[Service_Type]],Table2[#All],4,0)</f>
        <v>10000</v>
      </c>
      <c r="P766" s="2">
        <f>tdata[[#This Row],[price_per_kilo]]*tdata[[#This Row],[Weight_KG]]</f>
        <v>99700</v>
      </c>
      <c r="Q766" s="2" t="str">
        <f>VLOOKUP(tdata[[#This Row],[id_employee]],temployee[#All],2,0)</f>
        <v>Miko Setiawan</v>
      </c>
      <c r="R766" s="2" t="str">
        <f>VLOOKUP(tdata[[#This Row],[id_employee]],temployee[#All],4,0)</f>
        <v>crowd source</v>
      </c>
      <c r="S766" s="9" t="str">
        <f>VLOOKUP(tdata[[#This Row],[id_employee]],temployee[#All],5,0)</f>
        <v>driver</v>
      </c>
    </row>
    <row r="767" spans="2:19" x14ac:dyDescent="0.35">
      <c r="B767" s="8" t="s">
        <v>786</v>
      </c>
      <c r="C767" s="2" t="s">
        <v>1336</v>
      </c>
      <c r="D767" s="5">
        <v>45253</v>
      </c>
      <c r="E767" s="5">
        <v>45262</v>
      </c>
      <c r="F767" s="2" t="s">
        <v>22</v>
      </c>
      <c r="G767" s="2" t="s">
        <v>32</v>
      </c>
      <c r="H767" s="2" t="s">
        <v>1224</v>
      </c>
      <c r="I767" s="2" t="s">
        <v>13</v>
      </c>
      <c r="J767" s="2">
        <v>5.56</v>
      </c>
      <c r="K767" s="2" t="str">
        <f t="shared" si="30"/>
        <v>&gt;5kg</v>
      </c>
      <c r="L767" s="2">
        <f>tdata[[#This Row],[Received_date]]-tdata[[#This Row],[Shipment_Date]]</f>
        <v>9</v>
      </c>
      <c r="M767" s="2">
        <f>VLOOKUP(tdata[[#This Row],[Service_Type]],Table2[#All],2,0)</f>
        <v>3</v>
      </c>
      <c r="N767" s="2" t="str">
        <f>IF(tdata[[#This Row],[Delivery_Days]]&lt;=tdata[[#This Row],[SLA_Days]],"On Time","Late")</f>
        <v>Late</v>
      </c>
      <c r="O767" s="2">
        <f>VLOOKUP(tdata[[#This Row],[Service_Type]],Table2[#All],4,0)</f>
        <v>10000</v>
      </c>
      <c r="P767" s="2">
        <f>tdata[[#This Row],[price_per_kilo]]*tdata[[#This Row],[Weight_KG]]</f>
        <v>55599.999999999993</v>
      </c>
      <c r="Q767" s="2" t="str">
        <f>VLOOKUP(tdata[[#This Row],[id_employee]],temployee[#All],2,0)</f>
        <v>Nisa Aulia</v>
      </c>
      <c r="R767" s="2" t="str">
        <f>VLOOKUP(tdata[[#This Row],[id_employee]],temployee[#All],4,0)</f>
        <v>internal</v>
      </c>
      <c r="S767" s="9" t="str">
        <f>VLOOKUP(tdata[[#This Row],[id_employee]],temployee[#All],5,0)</f>
        <v>rider</v>
      </c>
    </row>
    <row r="768" spans="2:19" x14ac:dyDescent="0.35">
      <c r="B768" s="8" t="s">
        <v>787</v>
      </c>
      <c r="C768" s="2" t="s">
        <v>1337</v>
      </c>
      <c r="D768" s="5">
        <v>44950</v>
      </c>
      <c r="E768" s="5">
        <v>44953</v>
      </c>
      <c r="F768" s="2" t="s">
        <v>12</v>
      </c>
      <c r="G768" s="2" t="s">
        <v>12</v>
      </c>
      <c r="H768" s="2" t="s">
        <v>23</v>
      </c>
      <c r="I768" s="2" t="s">
        <v>17</v>
      </c>
      <c r="J768" s="2">
        <v>5.28</v>
      </c>
      <c r="K768" s="2" t="str">
        <f t="shared" si="30"/>
        <v>&gt;5kg</v>
      </c>
      <c r="L768" s="2">
        <f>tdata[[#This Row],[Received_date]]-tdata[[#This Row],[Shipment_Date]]</f>
        <v>3</v>
      </c>
      <c r="M768" s="2">
        <f>VLOOKUP(tdata[[#This Row],[Service_Type]],Table2[#All],2,0)</f>
        <v>5</v>
      </c>
      <c r="N768" s="2" t="str">
        <f>IF(tdata[[#This Row],[Delivery_Days]]&lt;=tdata[[#This Row],[SLA_Days]],"On Time","Late")</f>
        <v>On Time</v>
      </c>
      <c r="O768" s="2">
        <f>VLOOKUP(tdata[[#This Row],[Service_Type]],Table2[#All],4,0)</f>
        <v>9000</v>
      </c>
      <c r="P768" s="2">
        <f>tdata[[#This Row],[price_per_kilo]]*tdata[[#This Row],[Weight_KG]]</f>
        <v>47520</v>
      </c>
      <c r="Q768" s="2" t="str">
        <f>VLOOKUP(tdata[[#This Row],[id_employee]],temployee[#All],2,0)</f>
        <v>Oki Pramono</v>
      </c>
      <c r="R768" s="2" t="str">
        <f>VLOOKUP(tdata[[#This Row],[id_employee]],temployee[#All],4,0)</f>
        <v>internal</v>
      </c>
      <c r="S768" s="9" t="str">
        <f>VLOOKUP(tdata[[#This Row],[id_employee]],temployee[#All],5,0)</f>
        <v>driver</v>
      </c>
    </row>
    <row r="769" spans="2:19" x14ac:dyDescent="0.35">
      <c r="B769" s="8" t="s">
        <v>788</v>
      </c>
      <c r="C769" s="2" t="s">
        <v>1338</v>
      </c>
      <c r="D769" s="5">
        <v>45215</v>
      </c>
      <c r="E769" s="5">
        <v>45221</v>
      </c>
      <c r="F769" s="2" t="s">
        <v>30</v>
      </c>
      <c r="G769" s="2" t="s">
        <v>32</v>
      </c>
      <c r="H769" s="2" t="s">
        <v>1224</v>
      </c>
      <c r="I769" s="2" t="s">
        <v>13</v>
      </c>
      <c r="J769" s="2">
        <v>7.33</v>
      </c>
      <c r="K769" s="2" t="str">
        <f t="shared" si="30"/>
        <v>&gt;5kg</v>
      </c>
      <c r="L769" s="2">
        <f>tdata[[#This Row],[Received_date]]-tdata[[#This Row],[Shipment_Date]]</f>
        <v>6</v>
      </c>
      <c r="M769" s="2">
        <f>VLOOKUP(tdata[[#This Row],[Service_Type]],Table2[#All],2,0)</f>
        <v>3</v>
      </c>
      <c r="N769" s="2" t="str">
        <f>IF(tdata[[#This Row],[Delivery_Days]]&lt;=tdata[[#This Row],[SLA_Days]],"On Time","Late")</f>
        <v>Late</v>
      </c>
      <c r="O769" s="2">
        <f>VLOOKUP(tdata[[#This Row],[Service_Type]],Table2[#All],4,0)</f>
        <v>10000</v>
      </c>
      <c r="P769" s="2">
        <f>tdata[[#This Row],[price_per_kilo]]*tdata[[#This Row],[Weight_KG]]</f>
        <v>73300</v>
      </c>
      <c r="Q769" s="2" t="str">
        <f>VLOOKUP(tdata[[#This Row],[id_employee]],temployee[#All],2,0)</f>
        <v>Putra Mahendra</v>
      </c>
      <c r="R769" s="2" t="str">
        <f>VLOOKUP(tdata[[#This Row],[id_employee]],temployee[#All],4,0)</f>
        <v>crowd source</v>
      </c>
      <c r="S769" s="9" t="str">
        <f>VLOOKUP(tdata[[#This Row],[id_employee]],temployee[#All],5,0)</f>
        <v>rider</v>
      </c>
    </row>
    <row r="770" spans="2:19" x14ac:dyDescent="0.35">
      <c r="B770" s="8" t="s">
        <v>789</v>
      </c>
      <c r="C770" s="2" t="s">
        <v>1339</v>
      </c>
      <c r="D770" s="5">
        <v>45119</v>
      </c>
      <c r="E770" s="5">
        <v>45124</v>
      </c>
      <c r="F770" s="2" t="s">
        <v>32</v>
      </c>
      <c r="G770" s="2" t="s">
        <v>26</v>
      </c>
      <c r="H770" s="2" t="s">
        <v>1223</v>
      </c>
      <c r="I770" s="2" t="s">
        <v>17</v>
      </c>
      <c r="J770" s="2">
        <v>7.54</v>
      </c>
      <c r="K770" s="2" t="str">
        <f t="shared" si="30"/>
        <v>&gt;5kg</v>
      </c>
      <c r="L770" s="2">
        <f>tdata[[#This Row],[Received_date]]-tdata[[#This Row],[Shipment_Date]]</f>
        <v>5</v>
      </c>
      <c r="M770" s="2">
        <f>VLOOKUP(tdata[[#This Row],[Service_Type]],Table2[#All],2,0)</f>
        <v>1</v>
      </c>
      <c r="N770" s="2" t="str">
        <f>IF(tdata[[#This Row],[Delivery_Days]]&lt;=tdata[[#This Row],[SLA_Days]],"On Time","Late")</f>
        <v>Late</v>
      </c>
      <c r="O770" s="2">
        <f>VLOOKUP(tdata[[#This Row],[Service_Type]],Table2[#All],4,0)</f>
        <v>12000</v>
      </c>
      <c r="P770" s="2">
        <f>tdata[[#This Row],[price_per_kilo]]*tdata[[#This Row],[Weight_KG]]</f>
        <v>90480</v>
      </c>
      <c r="Q770" s="2" t="str">
        <f>VLOOKUP(tdata[[#This Row],[id_employee]],temployee[#All],2,0)</f>
        <v>Qolbi Ramadhani</v>
      </c>
      <c r="R770" s="2" t="str">
        <f>VLOOKUP(tdata[[#This Row],[id_employee]],temployee[#All],4,0)</f>
        <v>internal</v>
      </c>
      <c r="S770" s="9" t="str">
        <f>VLOOKUP(tdata[[#This Row],[id_employee]],temployee[#All],5,0)</f>
        <v>rider</v>
      </c>
    </row>
    <row r="771" spans="2:19" x14ac:dyDescent="0.35">
      <c r="B771" s="8" t="s">
        <v>790</v>
      </c>
      <c r="C771" s="2" t="s">
        <v>1340</v>
      </c>
      <c r="D771" s="5">
        <v>45209</v>
      </c>
      <c r="E771" s="5">
        <v>45213</v>
      </c>
      <c r="F771" s="2" t="s">
        <v>16</v>
      </c>
      <c r="G771" s="2" t="s">
        <v>20</v>
      </c>
      <c r="H771" s="2" t="s">
        <v>1224</v>
      </c>
      <c r="I771" s="2" t="s">
        <v>17</v>
      </c>
      <c r="J771" s="2">
        <v>4.63</v>
      </c>
      <c r="K771" s="2" t="str">
        <f t="shared" si="30"/>
        <v>&lt; 5kg</v>
      </c>
      <c r="L771" s="2">
        <f>tdata[[#This Row],[Received_date]]-tdata[[#This Row],[Shipment_Date]]</f>
        <v>4</v>
      </c>
      <c r="M771" s="2">
        <f>VLOOKUP(tdata[[#This Row],[Service_Type]],Table2[#All],2,0)</f>
        <v>3</v>
      </c>
      <c r="N771" s="2" t="str">
        <f>IF(tdata[[#This Row],[Delivery_Days]]&lt;=tdata[[#This Row],[SLA_Days]],"On Time","Late")</f>
        <v>Late</v>
      </c>
      <c r="O771" s="2">
        <f>VLOOKUP(tdata[[#This Row],[Service_Type]],Table2[#All],4,0)</f>
        <v>10000</v>
      </c>
      <c r="P771" s="2">
        <f>tdata[[#This Row],[price_per_kilo]]*tdata[[#This Row],[Weight_KG]]</f>
        <v>46300</v>
      </c>
      <c r="Q771" s="2" t="str">
        <f>VLOOKUP(tdata[[#This Row],[id_employee]],temployee[#All],2,0)</f>
        <v>Reza Firmansyah</v>
      </c>
      <c r="R771" s="2" t="str">
        <f>VLOOKUP(tdata[[#This Row],[id_employee]],temployee[#All],4,0)</f>
        <v>crowd source</v>
      </c>
      <c r="S771" s="9" t="str">
        <f>VLOOKUP(tdata[[#This Row],[id_employee]],temployee[#All],5,0)</f>
        <v>driver</v>
      </c>
    </row>
    <row r="772" spans="2:19" x14ac:dyDescent="0.35">
      <c r="B772" s="8" t="s">
        <v>791</v>
      </c>
      <c r="C772" s="2" t="s">
        <v>1341</v>
      </c>
      <c r="D772" s="5">
        <v>45295</v>
      </c>
      <c r="E772" s="5">
        <v>45298</v>
      </c>
      <c r="F772" s="2" t="s">
        <v>26</v>
      </c>
      <c r="G772" s="2" t="s">
        <v>22</v>
      </c>
      <c r="H772" s="2" t="s">
        <v>23</v>
      </c>
      <c r="I772" s="2" t="s">
        <v>13</v>
      </c>
      <c r="J772" s="2">
        <v>3.65</v>
      </c>
      <c r="K772" s="2" t="str">
        <f t="shared" si="30"/>
        <v>&lt; 5kg</v>
      </c>
      <c r="L772" s="2">
        <f>tdata[[#This Row],[Received_date]]-tdata[[#This Row],[Shipment_Date]]</f>
        <v>3</v>
      </c>
      <c r="M772" s="2">
        <f>VLOOKUP(tdata[[#This Row],[Service_Type]],Table2[#All],2,0)</f>
        <v>5</v>
      </c>
      <c r="N772" s="2" t="str">
        <f>IF(tdata[[#This Row],[Delivery_Days]]&lt;=tdata[[#This Row],[SLA_Days]],"On Time","Late")</f>
        <v>On Time</v>
      </c>
      <c r="O772" s="2">
        <f>VLOOKUP(tdata[[#This Row],[Service_Type]],Table2[#All],4,0)</f>
        <v>9000</v>
      </c>
      <c r="P772" s="2">
        <f>tdata[[#This Row],[price_per_kilo]]*tdata[[#This Row],[Weight_KG]]</f>
        <v>32850</v>
      </c>
      <c r="Q772" s="2" t="str">
        <f>VLOOKUP(tdata[[#This Row],[id_employee]],temployee[#All],2,0)</f>
        <v>Siska Amelia</v>
      </c>
      <c r="R772" s="2" t="str">
        <f>VLOOKUP(tdata[[#This Row],[id_employee]],temployee[#All],4,0)</f>
        <v>internal</v>
      </c>
      <c r="S772" s="9" t="str">
        <f>VLOOKUP(tdata[[#This Row],[id_employee]],temployee[#All],5,0)</f>
        <v>rider</v>
      </c>
    </row>
    <row r="773" spans="2:19" x14ac:dyDescent="0.35">
      <c r="B773" s="8" t="s">
        <v>792</v>
      </c>
      <c r="C773" s="2" t="s">
        <v>1342</v>
      </c>
      <c r="D773" s="5">
        <v>45197</v>
      </c>
      <c r="E773" s="5">
        <v>45199</v>
      </c>
      <c r="F773" s="2" t="s">
        <v>49</v>
      </c>
      <c r="G773" s="2" t="s">
        <v>16</v>
      </c>
      <c r="H773" s="2" t="s">
        <v>23</v>
      </c>
      <c r="I773" s="2" t="s">
        <v>17</v>
      </c>
      <c r="J773" s="2">
        <v>9.66</v>
      </c>
      <c r="K773" s="2" t="str">
        <f t="shared" ref="K773:K836" si="32">IF(J773&lt;5,"&lt; 5kg", "&gt;5kg")</f>
        <v>&gt;5kg</v>
      </c>
      <c r="L773" s="2">
        <f>tdata[[#This Row],[Received_date]]-tdata[[#This Row],[Shipment_Date]]</f>
        <v>2</v>
      </c>
      <c r="M773" s="2">
        <f>VLOOKUP(tdata[[#This Row],[Service_Type]],Table2[#All],2,0)</f>
        <v>5</v>
      </c>
      <c r="N773" s="2" t="str">
        <f>IF(tdata[[#This Row],[Delivery_Days]]&lt;=tdata[[#This Row],[SLA_Days]],"On Time","Late")</f>
        <v>On Time</v>
      </c>
      <c r="O773" s="2">
        <f>VLOOKUP(tdata[[#This Row],[Service_Type]],Table2[#All],4,0)</f>
        <v>9000</v>
      </c>
      <c r="P773" s="2">
        <f>tdata[[#This Row],[price_per_kilo]]*tdata[[#This Row],[Weight_KG]]</f>
        <v>86940</v>
      </c>
      <c r="Q773" s="2" t="str">
        <f>VLOOKUP(tdata[[#This Row],[id_employee]],temployee[#All],2,0)</f>
        <v>Tri Wibowo</v>
      </c>
      <c r="R773" s="2" t="str">
        <f>VLOOKUP(tdata[[#This Row],[id_employee]],temployee[#All],4,0)</f>
        <v>internal</v>
      </c>
      <c r="S773" s="9" t="str">
        <f>VLOOKUP(tdata[[#This Row],[id_employee]],temployee[#All],5,0)</f>
        <v>driver</v>
      </c>
    </row>
    <row r="774" spans="2:19" x14ac:dyDescent="0.35">
      <c r="B774" s="8" t="s">
        <v>793</v>
      </c>
      <c r="C774" s="2" t="s">
        <v>1343</v>
      </c>
      <c r="D774" s="5">
        <v>45243</v>
      </c>
      <c r="E774" s="5">
        <v>45243</v>
      </c>
      <c r="F774" s="2" t="s">
        <v>11</v>
      </c>
      <c r="G774" s="2" t="s">
        <v>15</v>
      </c>
      <c r="H774" s="2" t="s">
        <v>1223</v>
      </c>
      <c r="I774" s="2" t="s">
        <v>13</v>
      </c>
      <c r="J774" s="2">
        <v>2.4700000000000002</v>
      </c>
      <c r="K774" s="2" t="str">
        <f t="shared" si="32"/>
        <v>&lt; 5kg</v>
      </c>
      <c r="L774" s="2">
        <f>tdata[[#This Row],[Received_date]]-tdata[[#This Row],[Shipment_Date]]</f>
        <v>0</v>
      </c>
      <c r="M774" s="2">
        <f>VLOOKUP(tdata[[#This Row],[Service_Type]],Table2[#All],2,0)</f>
        <v>1</v>
      </c>
      <c r="N774" s="2" t="str">
        <f>IF(tdata[[#This Row],[Delivery_Days]]&lt;=tdata[[#This Row],[SLA_Days]],"On Time","Late")</f>
        <v>On Time</v>
      </c>
      <c r="O774" s="2">
        <f>VLOOKUP(tdata[[#This Row],[Service_Type]],Table2[#All],4,0)</f>
        <v>12000</v>
      </c>
      <c r="P774" s="2">
        <f>tdata[[#This Row],[price_per_kilo]]*tdata[[#This Row],[Weight_KG]]</f>
        <v>29640.000000000004</v>
      </c>
      <c r="Q774" s="2" t="str">
        <f>VLOOKUP(tdata[[#This Row],[id_employee]],temployee[#All],2,0)</f>
        <v>Ubay Prakoso</v>
      </c>
      <c r="R774" s="2" t="str">
        <f>VLOOKUP(tdata[[#This Row],[id_employee]],temployee[#All],4,0)</f>
        <v>crowd source</v>
      </c>
      <c r="S774" s="9" t="str">
        <f>VLOOKUP(tdata[[#This Row],[id_employee]],temployee[#All],5,0)</f>
        <v>rider</v>
      </c>
    </row>
    <row r="775" spans="2:19" x14ac:dyDescent="0.35">
      <c r="B775" s="8" t="s">
        <v>794</v>
      </c>
      <c r="C775" s="2" t="s">
        <v>1344</v>
      </c>
      <c r="D775" s="5">
        <v>45647</v>
      </c>
      <c r="E775" s="5">
        <v>45651</v>
      </c>
      <c r="F775" s="2" t="s">
        <v>15</v>
      </c>
      <c r="G775" s="2" t="s">
        <v>26</v>
      </c>
      <c r="H775" s="2" t="s">
        <v>1224</v>
      </c>
      <c r="I775" s="2" t="s">
        <v>13</v>
      </c>
      <c r="J775" s="2">
        <v>4.33</v>
      </c>
      <c r="K775" s="2" t="str">
        <f t="shared" si="32"/>
        <v>&lt; 5kg</v>
      </c>
      <c r="L775" s="2">
        <f>tdata[[#This Row],[Received_date]]-tdata[[#This Row],[Shipment_Date]]</f>
        <v>4</v>
      </c>
      <c r="M775" s="2">
        <f>VLOOKUP(tdata[[#This Row],[Service_Type]],Table2[#All],2,0)</f>
        <v>3</v>
      </c>
      <c r="N775" s="2" t="str">
        <f>IF(tdata[[#This Row],[Delivery_Days]]&lt;=tdata[[#This Row],[SLA_Days]],"On Time","Late")</f>
        <v>Late</v>
      </c>
      <c r="O775" s="2">
        <f>VLOOKUP(tdata[[#This Row],[Service_Type]],Table2[#All],4,0)</f>
        <v>10000</v>
      </c>
      <c r="P775" s="2">
        <f>tdata[[#This Row],[price_per_kilo]]*tdata[[#This Row],[Weight_KG]]</f>
        <v>43300</v>
      </c>
      <c r="Q775" s="2" t="str">
        <f>VLOOKUP(tdata[[#This Row],[id_employee]],temployee[#All],2,0)</f>
        <v>Vania Putri</v>
      </c>
      <c r="R775" s="2" t="str">
        <f>VLOOKUP(tdata[[#This Row],[id_employee]],temployee[#All],4,0)</f>
        <v>internal</v>
      </c>
      <c r="S775" s="9" t="str">
        <f>VLOOKUP(tdata[[#This Row],[id_employee]],temployee[#All],5,0)</f>
        <v>rider</v>
      </c>
    </row>
    <row r="776" spans="2:19" x14ac:dyDescent="0.35">
      <c r="B776" s="8" t="s">
        <v>795</v>
      </c>
      <c r="C776" s="2" t="s">
        <v>1345</v>
      </c>
      <c r="D776" s="5">
        <v>45285</v>
      </c>
      <c r="E776" s="5">
        <v>45286</v>
      </c>
      <c r="F776" s="2" t="s">
        <v>20</v>
      </c>
      <c r="G776" s="2" t="s">
        <v>32</v>
      </c>
      <c r="H776" s="2" t="s">
        <v>23</v>
      </c>
      <c r="I776" s="2" t="s">
        <v>17</v>
      </c>
      <c r="J776" s="2">
        <v>5.01</v>
      </c>
      <c r="K776" s="2" t="str">
        <f t="shared" si="32"/>
        <v>&gt;5kg</v>
      </c>
      <c r="L776" s="2">
        <f>tdata[[#This Row],[Received_date]]-tdata[[#This Row],[Shipment_Date]]</f>
        <v>1</v>
      </c>
      <c r="M776" s="2">
        <f>VLOOKUP(tdata[[#This Row],[Service_Type]],Table2[#All],2,0)</f>
        <v>5</v>
      </c>
      <c r="N776" s="2" t="str">
        <f>IF(tdata[[#This Row],[Delivery_Days]]&lt;=tdata[[#This Row],[SLA_Days]],"On Time","Late")</f>
        <v>On Time</v>
      </c>
      <c r="O776" s="2">
        <f>VLOOKUP(tdata[[#This Row],[Service_Type]],Table2[#All],4,0)</f>
        <v>9000</v>
      </c>
      <c r="P776" s="2">
        <f>tdata[[#This Row],[price_per_kilo]]*tdata[[#This Row],[Weight_KG]]</f>
        <v>45090</v>
      </c>
      <c r="Q776" s="2" t="str">
        <f>VLOOKUP(tdata[[#This Row],[id_employee]],temployee[#All],2,0)</f>
        <v>Wira Nugraha</v>
      </c>
      <c r="R776" s="2" t="str">
        <f>VLOOKUP(tdata[[#This Row],[id_employee]],temployee[#All],4,0)</f>
        <v>internal</v>
      </c>
      <c r="S776" s="9" t="str">
        <f>VLOOKUP(tdata[[#This Row],[id_employee]],temployee[#All],5,0)</f>
        <v>driver</v>
      </c>
    </row>
    <row r="777" spans="2:19" x14ac:dyDescent="0.35">
      <c r="B777" s="8" t="s">
        <v>796</v>
      </c>
      <c r="C777" s="2" t="s">
        <v>1346</v>
      </c>
      <c r="D777" s="5">
        <v>45116</v>
      </c>
      <c r="E777" s="5">
        <v>45119</v>
      </c>
      <c r="F777" s="2" t="s">
        <v>22</v>
      </c>
      <c r="G777" s="2" t="s">
        <v>49</v>
      </c>
      <c r="H777" s="2" t="s">
        <v>1224</v>
      </c>
      <c r="I777" s="2" t="s">
        <v>13</v>
      </c>
      <c r="J777" s="2">
        <v>8.3000000000000007</v>
      </c>
      <c r="K777" s="2" t="str">
        <f t="shared" si="32"/>
        <v>&gt;5kg</v>
      </c>
      <c r="L777" s="2">
        <f>tdata[[#This Row],[Received_date]]-tdata[[#This Row],[Shipment_Date]]</f>
        <v>3</v>
      </c>
      <c r="M777" s="2">
        <f>VLOOKUP(tdata[[#This Row],[Service_Type]],Table2[#All],2,0)</f>
        <v>3</v>
      </c>
      <c r="N777" s="2" t="str">
        <f>IF(tdata[[#This Row],[Delivery_Days]]&lt;=tdata[[#This Row],[SLA_Days]],"On Time","Late")</f>
        <v>On Time</v>
      </c>
      <c r="O777" s="2">
        <f>VLOOKUP(tdata[[#This Row],[Service_Type]],Table2[#All],4,0)</f>
        <v>10000</v>
      </c>
      <c r="P777" s="2">
        <f>tdata[[#This Row],[price_per_kilo]]*tdata[[#This Row],[Weight_KG]]</f>
        <v>83000</v>
      </c>
      <c r="Q777" s="2" t="str">
        <f>VLOOKUP(tdata[[#This Row],[id_employee]],temployee[#All],2,0)</f>
        <v>Xaverius Adi</v>
      </c>
      <c r="R777" s="2" t="str">
        <f>VLOOKUP(tdata[[#This Row],[id_employee]],temployee[#All],4,0)</f>
        <v>crowd source</v>
      </c>
      <c r="S777" s="9" t="str">
        <f>VLOOKUP(tdata[[#This Row],[id_employee]],temployee[#All],5,0)</f>
        <v>driver</v>
      </c>
    </row>
    <row r="778" spans="2:19" x14ac:dyDescent="0.35">
      <c r="B778" s="8" t="s">
        <v>797</v>
      </c>
      <c r="C778" s="2" t="s">
        <v>1347</v>
      </c>
      <c r="D778" s="5">
        <v>45643</v>
      </c>
      <c r="E778" s="5">
        <v>45650</v>
      </c>
      <c r="F778" s="2" t="s">
        <v>12</v>
      </c>
      <c r="G778" s="2" t="s">
        <v>32</v>
      </c>
      <c r="H778" s="2" t="s">
        <v>1224</v>
      </c>
      <c r="I778" s="2" t="s">
        <v>17</v>
      </c>
      <c r="J778" s="2">
        <v>1.1000000000000001</v>
      </c>
      <c r="K778" s="2" t="str">
        <f t="shared" si="32"/>
        <v>&lt; 5kg</v>
      </c>
      <c r="L778" s="2">
        <f>tdata[[#This Row],[Received_date]]-tdata[[#This Row],[Shipment_Date]]</f>
        <v>7</v>
      </c>
      <c r="M778" s="2">
        <f>VLOOKUP(tdata[[#This Row],[Service_Type]],Table2[#All],2,0)</f>
        <v>3</v>
      </c>
      <c r="N778" s="2" t="str">
        <f>IF(tdata[[#This Row],[Delivery_Days]]&lt;=tdata[[#This Row],[SLA_Days]],"On Time","Late")</f>
        <v>Late</v>
      </c>
      <c r="O778" s="2">
        <f>VLOOKUP(tdata[[#This Row],[Service_Type]],Table2[#All],4,0)</f>
        <v>10000</v>
      </c>
      <c r="P778" s="2">
        <f>tdata[[#This Row],[price_per_kilo]]*tdata[[#This Row],[Weight_KG]]</f>
        <v>11000</v>
      </c>
      <c r="Q778" s="2" t="str">
        <f>VLOOKUP(tdata[[#This Row],[id_employee]],temployee[#All],2,0)</f>
        <v>Yuliana Kartini</v>
      </c>
      <c r="R778" s="2" t="str">
        <f>VLOOKUP(tdata[[#This Row],[id_employee]],temployee[#All],4,0)</f>
        <v>internal</v>
      </c>
      <c r="S778" s="9" t="str">
        <f>VLOOKUP(tdata[[#This Row],[id_employee]],temployee[#All],5,0)</f>
        <v>rider</v>
      </c>
    </row>
    <row r="779" spans="2:19" x14ac:dyDescent="0.35">
      <c r="B779" s="8" t="s">
        <v>798</v>
      </c>
      <c r="C779" s="2" t="s">
        <v>1348</v>
      </c>
      <c r="D779" s="5">
        <v>45341</v>
      </c>
      <c r="E779" s="5">
        <f>D779+4</f>
        <v>45345</v>
      </c>
      <c r="F779" s="2" t="s">
        <v>30</v>
      </c>
      <c r="G779" s="2" t="s">
        <v>49</v>
      </c>
      <c r="H779" s="2" t="s">
        <v>1224</v>
      </c>
      <c r="I779" s="2" t="s">
        <v>13</v>
      </c>
      <c r="J779" s="2">
        <v>7.07</v>
      </c>
      <c r="K779" s="2" t="str">
        <f t="shared" si="32"/>
        <v>&gt;5kg</v>
      </c>
      <c r="L779" s="2">
        <f>tdata[[#This Row],[Received_date]]-tdata[[#This Row],[Shipment_Date]]</f>
        <v>4</v>
      </c>
      <c r="M779" s="2">
        <f>VLOOKUP(tdata[[#This Row],[Service_Type]],Table2[#All],2,0)</f>
        <v>3</v>
      </c>
      <c r="N779" s="2" t="str">
        <f>IF(tdata[[#This Row],[Delivery_Days]]&lt;=tdata[[#This Row],[SLA_Days]],"On Time","Late")</f>
        <v>Late</v>
      </c>
      <c r="O779" s="2">
        <f>VLOOKUP(tdata[[#This Row],[Service_Type]],Table2[#All],4,0)</f>
        <v>10000</v>
      </c>
      <c r="P779" s="2">
        <f>tdata[[#This Row],[price_per_kilo]]*tdata[[#This Row],[Weight_KG]]</f>
        <v>70700</v>
      </c>
      <c r="Q779" s="2" t="str">
        <f>VLOOKUP(tdata[[#This Row],[id_employee]],temployee[#All],2,0)</f>
        <v>Zaki Alamsyah</v>
      </c>
      <c r="R779" s="2" t="str">
        <f>VLOOKUP(tdata[[#This Row],[id_employee]],temployee[#All],4,0)</f>
        <v>internal</v>
      </c>
      <c r="S779" s="9" t="str">
        <f>VLOOKUP(tdata[[#This Row],[id_employee]],temployee[#All],5,0)</f>
        <v>rider</v>
      </c>
    </row>
    <row r="780" spans="2:19" x14ac:dyDescent="0.35">
      <c r="B780" s="8" t="s">
        <v>799</v>
      </c>
      <c r="C780" s="2" t="s">
        <v>1349</v>
      </c>
      <c r="D780" s="5">
        <v>45316</v>
      </c>
      <c r="E780" s="5">
        <v>45323</v>
      </c>
      <c r="F780" s="2" t="s">
        <v>32</v>
      </c>
      <c r="G780" s="2" t="s">
        <v>12</v>
      </c>
      <c r="H780" s="2" t="s">
        <v>1224</v>
      </c>
      <c r="I780" s="2" t="s">
        <v>17</v>
      </c>
      <c r="J780" s="2">
        <v>9.32</v>
      </c>
      <c r="K780" s="2" t="str">
        <f t="shared" si="32"/>
        <v>&gt;5kg</v>
      </c>
      <c r="L780" s="2">
        <f>tdata[[#This Row],[Received_date]]-tdata[[#This Row],[Shipment_Date]]</f>
        <v>7</v>
      </c>
      <c r="M780" s="2">
        <f>VLOOKUP(tdata[[#This Row],[Service_Type]],Table2[#All],2,0)</f>
        <v>3</v>
      </c>
      <c r="N780" s="2" t="str">
        <f>IF(tdata[[#This Row],[Delivery_Days]]&lt;=tdata[[#This Row],[SLA_Days]],"On Time","Late")</f>
        <v>Late</v>
      </c>
      <c r="O780" s="2">
        <f>VLOOKUP(tdata[[#This Row],[Service_Type]],Table2[#All],4,0)</f>
        <v>10000</v>
      </c>
      <c r="P780" s="2">
        <f>tdata[[#This Row],[price_per_kilo]]*tdata[[#This Row],[Weight_KG]]</f>
        <v>93200</v>
      </c>
      <c r="Q780" s="2" t="str">
        <f>VLOOKUP(tdata[[#This Row],[id_employee]],temployee[#All],2,0)</f>
        <v>Arief Setyawan</v>
      </c>
      <c r="R780" s="2" t="str">
        <f>VLOOKUP(tdata[[#This Row],[id_employee]],temployee[#All],4,0)</f>
        <v>crowd source</v>
      </c>
      <c r="S780" s="9" t="str">
        <f>VLOOKUP(tdata[[#This Row],[id_employee]],temployee[#All],5,0)</f>
        <v>driver</v>
      </c>
    </row>
    <row r="781" spans="2:19" x14ac:dyDescent="0.35">
      <c r="B781" s="8" t="s">
        <v>800</v>
      </c>
      <c r="C781" s="2" t="s">
        <v>1350</v>
      </c>
      <c r="D781" s="5">
        <v>45229</v>
      </c>
      <c r="E781" s="5">
        <f>D781+4</f>
        <v>45233</v>
      </c>
      <c r="F781" s="2" t="s">
        <v>16</v>
      </c>
      <c r="G781" s="2" t="s">
        <v>15</v>
      </c>
      <c r="H781" s="2" t="s">
        <v>1224</v>
      </c>
      <c r="I781" s="2" t="s">
        <v>17</v>
      </c>
      <c r="J781" s="2">
        <v>6.92</v>
      </c>
      <c r="K781" s="2" t="str">
        <f t="shared" si="32"/>
        <v>&gt;5kg</v>
      </c>
      <c r="L781" s="2">
        <f>tdata[[#This Row],[Received_date]]-tdata[[#This Row],[Shipment_Date]]</f>
        <v>4</v>
      </c>
      <c r="M781" s="2">
        <f>VLOOKUP(tdata[[#This Row],[Service_Type]],Table2[#All],2,0)</f>
        <v>3</v>
      </c>
      <c r="N781" s="2" t="str">
        <f>IF(tdata[[#This Row],[Delivery_Days]]&lt;=tdata[[#This Row],[SLA_Days]],"On Time","Late")</f>
        <v>Late</v>
      </c>
      <c r="O781" s="2">
        <f>VLOOKUP(tdata[[#This Row],[Service_Type]],Table2[#All],4,0)</f>
        <v>10000</v>
      </c>
      <c r="P781" s="2">
        <f>tdata[[#This Row],[price_per_kilo]]*tdata[[#This Row],[Weight_KG]]</f>
        <v>69200</v>
      </c>
      <c r="Q781" s="2" t="str">
        <f>VLOOKUP(tdata[[#This Row],[id_employee]],temployee[#All],2,0)</f>
        <v>Bunga Cahyani</v>
      </c>
      <c r="R781" s="2" t="str">
        <f>VLOOKUP(tdata[[#This Row],[id_employee]],temployee[#All],4,0)</f>
        <v>internal</v>
      </c>
      <c r="S781" s="9" t="str">
        <f>VLOOKUP(tdata[[#This Row],[id_employee]],temployee[#All],5,0)</f>
        <v>rider</v>
      </c>
    </row>
    <row r="782" spans="2:19" x14ac:dyDescent="0.35">
      <c r="B782" s="8" t="s">
        <v>801</v>
      </c>
      <c r="C782" s="2" t="s">
        <v>1351</v>
      </c>
      <c r="D782" s="5">
        <v>45490</v>
      </c>
      <c r="E782" s="5">
        <v>45498</v>
      </c>
      <c r="F782" s="2" t="s">
        <v>26</v>
      </c>
      <c r="G782" s="2" t="s">
        <v>49</v>
      </c>
      <c r="H782" s="2" t="s">
        <v>1224</v>
      </c>
      <c r="I782" s="2" t="s">
        <v>17</v>
      </c>
      <c r="J782" s="2">
        <v>4.16</v>
      </c>
      <c r="K782" s="2" t="str">
        <f t="shared" si="32"/>
        <v>&lt; 5kg</v>
      </c>
      <c r="L782" s="2">
        <f>tdata[[#This Row],[Received_date]]-tdata[[#This Row],[Shipment_Date]]</f>
        <v>8</v>
      </c>
      <c r="M782" s="2">
        <f>VLOOKUP(tdata[[#This Row],[Service_Type]],Table2[#All],2,0)</f>
        <v>3</v>
      </c>
      <c r="N782" s="2" t="str">
        <f>IF(tdata[[#This Row],[Delivery_Days]]&lt;=tdata[[#This Row],[SLA_Days]],"On Time","Late")</f>
        <v>Late</v>
      </c>
      <c r="O782" s="2">
        <f>VLOOKUP(tdata[[#This Row],[Service_Type]],Table2[#All],4,0)</f>
        <v>10000</v>
      </c>
      <c r="P782" s="2">
        <f>tdata[[#This Row],[price_per_kilo]]*tdata[[#This Row],[Weight_KG]]</f>
        <v>41600</v>
      </c>
      <c r="Q782" s="2" t="str">
        <f>VLOOKUP(tdata[[#This Row],[id_employee]],temployee[#All],2,0)</f>
        <v>Cahyo Prabowo</v>
      </c>
      <c r="R782" s="2" t="str">
        <f>VLOOKUP(tdata[[#This Row],[id_employee]],temployee[#All],4,0)</f>
        <v>internal</v>
      </c>
      <c r="S782" s="9" t="str">
        <f>VLOOKUP(tdata[[#This Row],[id_employee]],temployee[#All],5,0)</f>
        <v>driver</v>
      </c>
    </row>
    <row r="783" spans="2:19" x14ac:dyDescent="0.35">
      <c r="B783" s="8" t="s">
        <v>802</v>
      </c>
      <c r="C783" s="2" t="s">
        <v>1352</v>
      </c>
      <c r="D783" s="5">
        <v>45129</v>
      </c>
      <c r="E783" s="5">
        <v>45129</v>
      </c>
      <c r="F783" s="2" t="s">
        <v>49</v>
      </c>
      <c r="G783" s="2" t="s">
        <v>15</v>
      </c>
      <c r="H783" s="2" t="s">
        <v>1223</v>
      </c>
      <c r="I783" s="2" t="s">
        <v>13</v>
      </c>
      <c r="J783" s="2">
        <v>4.1900000000000004</v>
      </c>
      <c r="K783" s="2" t="str">
        <f t="shared" si="32"/>
        <v>&lt; 5kg</v>
      </c>
      <c r="L783" s="2">
        <f>tdata[[#This Row],[Received_date]]-tdata[[#This Row],[Shipment_Date]]</f>
        <v>0</v>
      </c>
      <c r="M783" s="2">
        <f>VLOOKUP(tdata[[#This Row],[Service_Type]],Table2[#All],2,0)</f>
        <v>1</v>
      </c>
      <c r="N783" s="2" t="str">
        <f>IF(tdata[[#This Row],[Delivery_Days]]&lt;=tdata[[#This Row],[SLA_Days]],"On Time","Late")</f>
        <v>On Time</v>
      </c>
      <c r="O783" s="2">
        <f>VLOOKUP(tdata[[#This Row],[Service_Type]],Table2[#All],4,0)</f>
        <v>12000</v>
      </c>
      <c r="P783" s="2">
        <f>tdata[[#This Row],[price_per_kilo]]*tdata[[#This Row],[Weight_KG]]</f>
        <v>50280.000000000007</v>
      </c>
      <c r="Q783" s="2" t="str">
        <f>VLOOKUP(tdata[[#This Row],[id_employee]],temployee[#All],2,0)</f>
        <v>Diah Permata</v>
      </c>
      <c r="R783" s="2" t="str">
        <f>VLOOKUP(tdata[[#This Row],[id_employee]],temployee[#All],4,0)</f>
        <v>crowd source</v>
      </c>
      <c r="S783" s="9" t="str">
        <f>VLOOKUP(tdata[[#This Row],[id_employee]],temployee[#All],5,0)</f>
        <v>rider</v>
      </c>
    </row>
    <row r="784" spans="2:19" x14ac:dyDescent="0.35">
      <c r="B784" s="8" t="s">
        <v>803</v>
      </c>
      <c r="C784" s="2" t="s">
        <v>1353</v>
      </c>
      <c r="D784" s="5">
        <v>45101</v>
      </c>
      <c r="E784" s="5">
        <f>D784+4</f>
        <v>45105</v>
      </c>
      <c r="F784" s="2" t="s">
        <v>11</v>
      </c>
      <c r="G784" s="2" t="s">
        <v>15</v>
      </c>
      <c r="H784" s="2" t="s">
        <v>1223</v>
      </c>
      <c r="I784" s="2" t="s">
        <v>17</v>
      </c>
      <c r="J784" s="2">
        <v>5.93</v>
      </c>
      <c r="K784" s="2" t="str">
        <f t="shared" si="32"/>
        <v>&gt;5kg</v>
      </c>
      <c r="L784" s="2">
        <f>tdata[[#This Row],[Received_date]]-tdata[[#This Row],[Shipment_Date]]</f>
        <v>4</v>
      </c>
      <c r="M784" s="2">
        <f>VLOOKUP(tdata[[#This Row],[Service_Type]],Table2[#All],2,0)</f>
        <v>1</v>
      </c>
      <c r="N784" s="2" t="str">
        <f>IF(tdata[[#This Row],[Delivery_Days]]&lt;=tdata[[#This Row],[SLA_Days]],"On Time","Late")</f>
        <v>Late</v>
      </c>
      <c r="O784" s="2">
        <f>VLOOKUP(tdata[[#This Row],[Service_Type]],Table2[#All],4,0)</f>
        <v>12000</v>
      </c>
      <c r="P784" s="2">
        <f>tdata[[#This Row],[price_per_kilo]]*tdata[[#This Row],[Weight_KG]]</f>
        <v>71160</v>
      </c>
      <c r="Q784" s="2" t="str">
        <f>VLOOKUP(tdata[[#This Row],[id_employee]],temployee[#All],2,0)</f>
        <v>Evania Putri</v>
      </c>
      <c r="R784" s="2" t="str">
        <f>VLOOKUP(tdata[[#This Row],[id_employee]],temployee[#All],4,0)</f>
        <v>internal</v>
      </c>
      <c r="S784" s="9" t="str">
        <f>VLOOKUP(tdata[[#This Row],[id_employee]],temployee[#All],5,0)</f>
        <v>rider</v>
      </c>
    </row>
    <row r="785" spans="2:19" x14ac:dyDescent="0.35">
      <c r="B785" s="8" t="s">
        <v>804</v>
      </c>
      <c r="C785" s="2" t="s">
        <v>1354</v>
      </c>
      <c r="D785" s="5">
        <v>45367</v>
      </c>
      <c r="E785" s="5">
        <v>45374</v>
      </c>
      <c r="F785" s="2" t="s">
        <v>15</v>
      </c>
      <c r="G785" s="2" t="s">
        <v>32</v>
      </c>
      <c r="H785" s="2" t="s">
        <v>23</v>
      </c>
      <c r="I785" s="2" t="s">
        <v>13</v>
      </c>
      <c r="J785" s="2">
        <v>1.01</v>
      </c>
      <c r="K785" s="2" t="str">
        <f t="shared" si="32"/>
        <v>&lt; 5kg</v>
      </c>
      <c r="L785" s="2">
        <f>tdata[[#This Row],[Received_date]]-tdata[[#This Row],[Shipment_Date]]</f>
        <v>7</v>
      </c>
      <c r="M785" s="2">
        <f>VLOOKUP(tdata[[#This Row],[Service_Type]],Table2[#All],2,0)</f>
        <v>5</v>
      </c>
      <c r="N785" s="2" t="str">
        <f>IF(tdata[[#This Row],[Delivery_Days]]&lt;=tdata[[#This Row],[SLA_Days]],"On Time","Late")</f>
        <v>Late</v>
      </c>
      <c r="O785" s="2">
        <f>VLOOKUP(tdata[[#This Row],[Service_Type]],Table2[#All],4,0)</f>
        <v>9000</v>
      </c>
      <c r="P785" s="2">
        <f>tdata[[#This Row],[price_per_kilo]]*tdata[[#This Row],[Weight_KG]]</f>
        <v>9090</v>
      </c>
      <c r="Q785" s="2" t="str">
        <f>VLOOKUP(tdata[[#This Row],[id_employee]],temployee[#All],2,0)</f>
        <v>Fikri Ramadhan</v>
      </c>
      <c r="R785" s="2" t="str">
        <f>VLOOKUP(tdata[[#This Row],[id_employee]],temployee[#All],4,0)</f>
        <v>crowd source</v>
      </c>
      <c r="S785" s="9" t="str">
        <f>VLOOKUP(tdata[[#This Row],[id_employee]],temployee[#All],5,0)</f>
        <v>driver</v>
      </c>
    </row>
    <row r="786" spans="2:19" x14ac:dyDescent="0.35">
      <c r="B786" s="8" t="s">
        <v>805</v>
      </c>
      <c r="C786" s="2" t="s">
        <v>1355</v>
      </c>
      <c r="D786" s="5">
        <v>45529</v>
      </c>
      <c r="E786" s="5">
        <f>D786+4</f>
        <v>45533</v>
      </c>
      <c r="F786" s="2" t="s">
        <v>20</v>
      </c>
      <c r="G786" s="2" t="s">
        <v>49</v>
      </c>
      <c r="H786" s="2" t="s">
        <v>1224</v>
      </c>
      <c r="I786" s="2" t="s">
        <v>17</v>
      </c>
      <c r="J786" s="2">
        <v>9.6</v>
      </c>
      <c r="K786" s="2" t="str">
        <f t="shared" si="32"/>
        <v>&gt;5kg</v>
      </c>
      <c r="L786" s="2">
        <f>tdata[[#This Row],[Received_date]]-tdata[[#This Row],[Shipment_Date]]</f>
        <v>4</v>
      </c>
      <c r="M786" s="2">
        <f>VLOOKUP(tdata[[#This Row],[Service_Type]],Table2[#All],2,0)</f>
        <v>3</v>
      </c>
      <c r="N786" s="2" t="str">
        <f>IF(tdata[[#This Row],[Delivery_Days]]&lt;=tdata[[#This Row],[SLA_Days]],"On Time","Late")</f>
        <v>Late</v>
      </c>
      <c r="O786" s="2">
        <f>VLOOKUP(tdata[[#This Row],[Service_Type]],Table2[#All],4,0)</f>
        <v>10000</v>
      </c>
      <c r="P786" s="2">
        <f>tdata[[#This Row],[price_per_kilo]]*tdata[[#This Row],[Weight_KG]]</f>
        <v>96000</v>
      </c>
      <c r="Q786" s="2" t="str">
        <f>VLOOKUP(tdata[[#This Row],[id_employee]],temployee[#All],2,0)</f>
        <v>Gilang Ramli</v>
      </c>
      <c r="R786" s="2" t="str">
        <f>VLOOKUP(tdata[[#This Row],[id_employee]],temployee[#All],4,0)</f>
        <v>internal</v>
      </c>
      <c r="S786" s="9" t="str">
        <f>VLOOKUP(tdata[[#This Row],[id_employee]],temployee[#All],5,0)</f>
        <v>rider</v>
      </c>
    </row>
    <row r="787" spans="2:19" x14ac:dyDescent="0.35">
      <c r="B787" s="8" t="s">
        <v>806</v>
      </c>
      <c r="C787" s="2" t="s">
        <v>1356</v>
      </c>
      <c r="D787" s="5">
        <v>45037</v>
      </c>
      <c r="E787" s="5">
        <v>45038</v>
      </c>
      <c r="F787" s="2" t="s">
        <v>22</v>
      </c>
      <c r="G787" s="2" t="s">
        <v>16</v>
      </c>
      <c r="H787" s="2" t="s">
        <v>1223</v>
      </c>
      <c r="I787" s="2" t="s">
        <v>13</v>
      </c>
      <c r="J787" s="2">
        <v>3.65</v>
      </c>
      <c r="K787" s="2" t="str">
        <f t="shared" si="32"/>
        <v>&lt; 5kg</v>
      </c>
      <c r="L787" s="2">
        <f>tdata[[#This Row],[Received_date]]-tdata[[#This Row],[Shipment_Date]]</f>
        <v>1</v>
      </c>
      <c r="M787" s="2">
        <f>VLOOKUP(tdata[[#This Row],[Service_Type]],Table2[#All],2,0)</f>
        <v>1</v>
      </c>
      <c r="N787" s="2" t="str">
        <f>IF(tdata[[#This Row],[Delivery_Days]]&lt;=tdata[[#This Row],[SLA_Days]],"On Time","Late")</f>
        <v>On Time</v>
      </c>
      <c r="O787" s="2">
        <f>VLOOKUP(tdata[[#This Row],[Service_Type]],Table2[#All],4,0)</f>
        <v>12000</v>
      </c>
      <c r="P787" s="2">
        <f>tdata[[#This Row],[price_per_kilo]]*tdata[[#This Row],[Weight_KG]]</f>
        <v>43800</v>
      </c>
      <c r="Q787" s="2" t="str">
        <f>VLOOKUP(tdata[[#This Row],[id_employee]],temployee[#All],2,0)</f>
        <v>Hana Zahra</v>
      </c>
      <c r="R787" s="2" t="str">
        <f>VLOOKUP(tdata[[#This Row],[id_employee]],temployee[#All],4,0)</f>
        <v>internal</v>
      </c>
      <c r="S787" s="9" t="str">
        <f>VLOOKUP(tdata[[#This Row],[id_employee]],temployee[#All],5,0)</f>
        <v>rider</v>
      </c>
    </row>
    <row r="788" spans="2:19" x14ac:dyDescent="0.35">
      <c r="B788" s="8" t="s">
        <v>807</v>
      </c>
      <c r="C788" s="2" t="s">
        <v>1357</v>
      </c>
      <c r="D788" s="5">
        <v>44932</v>
      </c>
      <c r="E788" s="5">
        <v>44936</v>
      </c>
      <c r="F788" s="2" t="s">
        <v>12</v>
      </c>
      <c r="G788" s="2" t="s">
        <v>22</v>
      </c>
      <c r="H788" s="2" t="s">
        <v>1224</v>
      </c>
      <c r="I788" s="2" t="s">
        <v>17</v>
      </c>
      <c r="J788" s="2">
        <v>7.62</v>
      </c>
      <c r="K788" s="2" t="str">
        <f t="shared" si="32"/>
        <v>&gt;5kg</v>
      </c>
      <c r="L788" s="2">
        <f>tdata[[#This Row],[Received_date]]-tdata[[#This Row],[Shipment_Date]]</f>
        <v>4</v>
      </c>
      <c r="M788" s="2">
        <f>VLOOKUP(tdata[[#This Row],[Service_Type]],Table2[#All],2,0)</f>
        <v>3</v>
      </c>
      <c r="N788" s="2" t="str">
        <f>IF(tdata[[#This Row],[Delivery_Days]]&lt;=tdata[[#This Row],[SLA_Days]],"On Time","Late")</f>
        <v>Late</v>
      </c>
      <c r="O788" s="2">
        <f>VLOOKUP(tdata[[#This Row],[Service_Type]],Table2[#All],4,0)</f>
        <v>10000</v>
      </c>
      <c r="P788" s="2">
        <f>tdata[[#This Row],[price_per_kilo]]*tdata[[#This Row],[Weight_KG]]</f>
        <v>76200</v>
      </c>
      <c r="Q788" s="2" t="str">
        <f>VLOOKUP(tdata[[#This Row],[id_employee]],temployee[#All],2,0)</f>
        <v>Irfan Maulana</v>
      </c>
      <c r="R788" s="2" t="str">
        <f>VLOOKUP(tdata[[#This Row],[id_employee]],temployee[#All],4,0)</f>
        <v>internal</v>
      </c>
      <c r="S788" s="9" t="str">
        <f>VLOOKUP(tdata[[#This Row],[id_employee]],temployee[#All],5,0)</f>
        <v>driver</v>
      </c>
    </row>
    <row r="789" spans="2:19" x14ac:dyDescent="0.35">
      <c r="B789" s="8" t="s">
        <v>808</v>
      </c>
      <c r="C789" s="2" t="s">
        <v>1358</v>
      </c>
      <c r="D789" s="5">
        <v>45548</v>
      </c>
      <c r="E789" s="5">
        <v>45557</v>
      </c>
      <c r="F789" s="2" t="s">
        <v>30</v>
      </c>
      <c r="G789" s="2" t="s">
        <v>30</v>
      </c>
      <c r="H789" s="2" t="s">
        <v>1223</v>
      </c>
      <c r="I789" s="2" t="s">
        <v>17</v>
      </c>
      <c r="J789" s="2">
        <v>8.2100000000000009</v>
      </c>
      <c r="K789" s="2" t="str">
        <f t="shared" si="32"/>
        <v>&gt;5kg</v>
      </c>
      <c r="L789" s="2">
        <f>tdata[[#This Row],[Received_date]]-tdata[[#This Row],[Shipment_Date]]</f>
        <v>9</v>
      </c>
      <c r="M789" s="2">
        <f>VLOOKUP(tdata[[#This Row],[Service_Type]],Table2[#All],2,0)</f>
        <v>1</v>
      </c>
      <c r="N789" s="2" t="str">
        <f>IF(tdata[[#This Row],[Delivery_Days]]&lt;=tdata[[#This Row],[SLA_Days]],"On Time","Late")</f>
        <v>Late</v>
      </c>
      <c r="O789" s="2">
        <f>VLOOKUP(tdata[[#This Row],[Service_Type]],Table2[#All],4,0)</f>
        <v>12000</v>
      </c>
      <c r="P789" s="2">
        <f>tdata[[#This Row],[price_per_kilo]]*tdata[[#This Row],[Weight_KG]]</f>
        <v>98520.000000000015</v>
      </c>
      <c r="Q789" s="2" t="str">
        <f>VLOOKUP(tdata[[#This Row],[id_employee]],temployee[#All],2,0)</f>
        <v>Jihan Salsabila</v>
      </c>
      <c r="R789" s="2" t="str">
        <f>VLOOKUP(tdata[[#This Row],[id_employee]],temployee[#All],4,0)</f>
        <v>crowd source</v>
      </c>
      <c r="S789" s="9" t="str">
        <f>VLOOKUP(tdata[[#This Row],[id_employee]],temployee[#All],5,0)</f>
        <v>rider</v>
      </c>
    </row>
    <row r="790" spans="2:19" x14ac:dyDescent="0.35">
      <c r="B790" s="8" t="s">
        <v>809</v>
      </c>
      <c r="C790" s="2" t="s">
        <v>1359</v>
      </c>
      <c r="D790" s="5">
        <v>45029</v>
      </c>
      <c r="E790" s="5">
        <f>D790+4</f>
        <v>45033</v>
      </c>
      <c r="F790" s="2" t="s">
        <v>32</v>
      </c>
      <c r="G790" s="2" t="s">
        <v>32</v>
      </c>
      <c r="H790" s="2" t="s">
        <v>23</v>
      </c>
      <c r="I790" s="2" t="s">
        <v>17</v>
      </c>
      <c r="J790" s="2">
        <v>7.58</v>
      </c>
      <c r="K790" s="2" t="str">
        <f t="shared" si="32"/>
        <v>&gt;5kg</v>
      </c>
      <c r="L790" s="2">
        <f>tdata[[#This Row],[Received_date]]-tdata[[#This Row],[Shipment_Date]]</f>
        <v>4</v>
      </c>
      <c r="M790" s="2">
        <f>VLOOKUP(tdata[[#This Row],[Service_Type]],Table2[#All],2,0)</f>
        <v>5</v>
      </c>
      <c r="N790" s="2" t="str">
        <f>IF(tdata[[#This Row],[Delivery_Days]]&lt;=tdata[[#This Row],[SLA_Days]],"On Time","Late")</f>
        <v>On Time</v>
      </c>
      <c r="O790" s="2">
        <f>VLOOKUP(tdata[[#This Row],[Service_Type]],Table2[#All],4,0)</f>
        <v>9000</v>
      </c>
      <c r="P790" s="2">
        <f>tdata[[#This Row],[price_per_kilo]]*tdata[[#This Row],[Weight_KG]]</f>
        <v>68220</v>
      </c>
      <c r="Q790" s="2" t="str">
        <f>VLOOKUP(tdata[[#This Row],[id_employee]],temployee[#All],2,0)</f>
        <v>Koko Santoso</v>
      </c>
      <c r="R790" s="2" t="str">
        <f>VLOOKUP(tdata[[#This Row],[id_employee]],temployee[#All],4,0)</f>
        <v>internal</v>
      </c>
      <c r="S790" s="9" t="str">
        <f>VLOOKUP(tdata[[#This Row],[id_employee]],temployee[#All],5,0)</f>
        <v>rider</v>
      </c>
    </row>
    <row r="791" spans="2:19" x14ac:dyDescent="0.35">
      <c r="B791" s="8" t="s">
        <v>810</v>
      </c>
      <c r="C791" s="2" t="s">
        <v>1360</v>
      </c>
      <c r="D791" s="5">
        <v>45564</v>
      </c>
      <c r="E791" s="5">
        <v>45570</v>
      </c>
      <c r="F791" s="2" t="s">
        <v>16</v>
      </c>
      <c r="G791" s="2" t="s">
        <v>12</v>
      </c>
      <c r="H791" s="2" t="s">
        <v>23</v>
      </c>
      <c r="I791" s="2" t="s">
        <v>17</v>
      </c>
      <c r="J791" s="2">
        <v>8.24</v>
      </c>
      <c r="K791" s="2" t="str">
        <f t="shared" si="32"/>
        <v>&gt;5kg</v>
      </c>
      <c r="L791" s="2">
        <f>tdata[[#This Row],[Received_date]]-tdata[[#This Row],[Shipment_Date]]</f>
        <v>6</v>
      </c>
      <c r="M791" s="2">
        <f>VLOOKUP(tdata[[#This Row],[Service_Type]],Table2[#All],2,0)</f>
        <v>5</v>
      </c>
      <c r="N791" s="2" t="str">
        <f>IF(tdata[[#This Row],[Delivery_Days]]&lt;=tdata[[#This Row],[SLA_Days]],"On Time","Late")</f>
        <v>Late</v>
      </c>
      <c r="O791" s="2">
        <f>VLOOKUP(tdata[[#This Row],[Service_Type]],Table2[#All],4,0)</f>
        <v>9000</v>
      </c>
      <c r="P791" s="2">
        <f>tdata[[#This Row],[price_per_kilo]]*tdata[[#This Row],[Weight_KG]]</f>
        <v>74160</v>
      </c>
      <c r="Q791" s="2" t="str">
        <f>VLOOKUP(tdata[[#This Row],[id_employee]],temployee[#All],2,0)</f>
        <v>Luthfi Hakim</v>
      </c>
      <c r="R791" s="2" t="str">
        <f>VLOOKUP(tdata[[#This Row],[id_employee]],temployee[#All],4,0)</f>
        <v>crowd source</v>
      </c>
      <c r="S791" s="9" t="str">
        <f>VLOOKUP(tdata[[#This Row],[id_employee]],temployee[#All],5,0)</f>
        <v>driver</v>
      </c>
    </row>
    <row r="792" spans="2:19" x14ac:dyDescent="0.35">
      <c r="B792" s="8" t="s">
        <v>811</v>
      </c>
      <c r="C792" s="2" t="s">
        <v>1361</v>
      </c>
      <c r="D792" s="5">
        <v>45138</v>
      </c>
      <c r="E792" s="5">
        <f>D792+4</f>
        <v>45142</v>
      </c>
      <c r="F792" s="2" t="s">
        <v>26</v>
      </c>
      <c r="G792" s="2" t="s">
        <v>22</v>
      </c>
      <c r="H792" s="2" t="s">
        <v>1224</v>
      </c>
      <c r="I792" s="2" t="s">
        <v>17</v>
      </c>
      <c r="J792" s="2">
        <v>7.11</v>
      </c>
      <c r="K792" s="2" t="str">
        <f t="shared" si="32"/>
        <v>&gt;5kg</v>
      </c>
      <c r="L792" s="2">
        <f>tdata[[#This Row],[Received_date]]-tdata[[#This Row],[Shipment_Date]]</f>
        <v>4</v>
      </c>
      <c r="M792" s="2">
        <f>VLOOKUP(tdata[[#This Row],[Service_Type]],Table2[#All],2,0)</f>
        <v>3</v>
      </c>
      <c r="N792" s="2" t="str">
        <f>IF(tdata[[#This Row],[Delivery_Days]]&lt;=tdata[[#This Row],[SLA_Days]],"On Time","Late")</f>
        <v>Late</v>
      </c>
      <c r="O792" s="2">
        <f>VLOOKUP(tdata[[#This Row],[Service_Type]],Table2[#All],4,0)</f>
        <v>10000</v>
      </c>
      <c r="P792" s="2">
        <f>tdata[[#This Row],[price_per_kilo]]*tdata[[#This Row],[Weight_KG]]</f>
        <v>71100</v>
      </c>
      <c r="Q792" s="2" t="str">
        <f>VLOOKUP(tdata[[#This Row],[id_employee]],temployee[#All],2,0)</f>
        <v>Melati Anggraini</v>
      </c>
      <c r="R792" s="2" t="str">
        <f>VLOOKUP(tdata[[#This Row],[id_employee]],temployee[#All],4,0)</f>
        <v>internal</v>
      </c>
      <c r="S792" s="9" t="str">
        <f>VLOOKUP(tdata[[#This Row],[id_employee]],temployee[#All],5,0)</f>
        <v>rider</v>
      </c>
    </row>
    <row r="793" spans="2:19" x14ac:dyDescent="0.35">
      <c r="B793" s="8" t="s">
        <v>812</v>
      </c>
      <c r="C793" s="2" t="s">
        <v>1362</v>
      </c>
      <c r="D793" s="5">
        <v>45467</v>
      </c>
      <c r="E793" s="5">
        <v>45469</v>
      </c>
      <c r="F793" s="2" t="s">
        <v>49</v>
      </c>
      <c r="G793" s="2" t="s">
        <v>22</v>
      </c>
      <c r="H793" s="2" t="s">
        <v>1224</v>
      </c>
      <c r="I793" s="2" t="s">
        <v>13</v>
      </c>
      <c r="J793" s="2">
        <v>4.2699999999999996</v>
      </c>
      <c r="K793" s="2" t="str">
        <f t="shared" si="32"/>
        <v>&lt; 5kg</v>
      </c>
      <c r="L793" s="2">
        <f>tdata[[#This Row],[Received_date]]-tdata[[#This Row],[Shipment_Date]]</f>
        <v>2</v>
      </c>
      <c r="M793" s="2">
        <f>VLOOKUP(tdata[[#This Row],[Service_Type]],Table2[#All],2,0)</f>
        <v>3</v>
      </c>
      <c r="N793" s="2" t="str">
        <f>IF(tdata[[#This Row],[Delivery_Days]]&lt;=tdata[[#This Row],[SLA_Days]],"On Time","Late")</f>
        <v>On Time</v>
      </c>
      <c r="O793" s="2">
        <f>VLOOKUP(tdata[[#This Row],[Service_Type]],Table2[#All],4,0)</f>
        <v>10000</v>
      </c>
      <c r="P793" s="2">
        <f>tdata[[#This Row],[price_per_kilo]]*tdata[[#This Row],[Weight_KG]]</f>
        <v>42699.999999999993</v>
      </c>
      <c r="Q793" s="2" t="str">
        <f>VLOOKUP(tdata[[#This Row],[id_employee]],temployee[#All],2,0)</f>
        <v>Naufal Rizky</v>
      </c>
      <c r="R793" s="2" t="str">
        <f>VLOOKUP(tdata[[#This Row],[id_employee]],temployee[#All],4,0)</f>
        <v>internal</v>
      </c>
      <c r="S793" s="9" t="str">
        <f>VLOOKUP(tdata[[#This Row],[id_employee]],temployee[#All],5,0)</f>
        <v>driver</v>
      </c>
    </row>
    <row r="794" spans="2:19" x14ac:dyDescent="0.35">
      <c r="B794" s="8" t="s">
        <v>813</v>
      </c>
      <c r="C794" s="2" t="s">
        <v>1363</v>
      </c>
      <c r="D794" s="5">
        <v>45190</v>
      </c>
      <c r="E794" s="5">
        <f>D794+4</f>
        <v>45194</v>
      </c>
      <c r="F794" s="2" t="s">
        <v>11</v>
      </c>
      <c r="G794" s="2" t="s">
        <v>11</v>
      </c>
      <c r="H794" s="2" t="s">
        <v>1223</v>
      </c>
      <c r="I794" s="2" t="s">
        <v>13</v>
      </c>
      <c r="J794" s="2">
        <v>6.42</v>
      </c>
      <c r="K794" s="2" t="str">
        <f t="shared" si="32"/>
        <v>&gt;5kg</v>
      </c>
      <c r="L794" s="2">
        <f>tdata[[#This Row],[Received_date]]-tdata[[#This Row],[Shipment_Date]]</f>
        <v>4</v>
      </c>
      <c r="M794" s="2">
        <f>VLOOKUP(tdata[[#This Row],[Service_Type]],Table2[#All],2,0)</f>
        <v>1</v>
      </c>
      <c r="N794" s="2" t="str">
        <f>IF(tdata[[#This Row],[Delivery_Days]]&lt;=tdata[[#This Row],[SLA_Days]],"On Time","Late")</f>
        <v>Late</v>
      </c>
      <c r="O794" s="2">
        <f>VLOOKUP(tdata[[#This Row],[Service_Type]],Table2[#All],4,0)</f>
        <v>12000</v>
      </c>
      <c r="P794" s="2">
        <f>tdata[[#This Row],[price_per_kilo]]*tdata[[#This Row],[Weight_KG]]</f>
        <v>77040</v>
      </c>
      <c r="Q794" s="2" t="str">
        <f>VLOOKUP(tdata[[#This Row],[id_employee]],temployee[#All],2,0)</f>
        <v>Olin Febriani</v>
      </c>
      <c r="R794" s="2" t="str">
        <f>VLOOKUP(tdata[[#This Row],[id_employee]],temployee[#All],4,0)</f>
        <v>crowd source</v>
      </c>
      <c r="S794" s="9" t="str">
        <f>VLOOKUP(tdata[[#This Row],[id_employee]],temployee[#All],5,0)</f>
        <v>rider</v>
      </c>
    </row>
    <row r="795" spans="2:19" x14ac:dyDescent="0.35">
      <c r="B795" s="8" t="s">
        <v>814</v>
      </c>
      <c r="C795" s="2" t="s">
        <v>1364</v>
      </c>
      <c r="D795" s="5">
        <v>44962</v>
      </c>
      <c r="E795" s="5">
        <v>44971</v>
      </c>
      <c r="F795" s="2" t="s">
        <v>15</v>
      </c>
      <c r="G795" s="2" t="s">
        <v>20</v>
      </c>
      <c r="H795" s="2" t="s">
        <v>23</v>
      </c>
      <c r="I795" s="2" t="s">
        <v>13</v>
      </c>
      <c r="J795" s="2">
        <v>0.73</v>
      </c>
      <c r="K795" s="2" t="str">
        <f t="shared" si="32"/>
        <v>&lt; 5kg</v>
      </c>
      <c r="L795" s="2">
        <f>tdata[[#This Row],[Received_date]]-tdata[[#This Row],[Shipment_Date]]</f>
        <v>9</v>
      </c>
      <c r="M795" s="2">
        <f>VLOOKUP(tdata[[#This Row],[Service_Type]],Table2[#All],2,0)</f>
        <v>5</v>
      </c>
      <c r="N795" s="2" t="str">
        <f>IF(tdata[[#This Row],[Delivery_Days]]&lt;=tdata[[#This Row],[SLA_Days]],"On Time","Late")</f>
        <v>Late</v>
      </c>
      <c r="O795" s="2">
        <f>VLOOKUP(tdata[[#This Row],[Service_Type]],Table2[#All],4,0)</f>
        <v>9000</v>
      </c>
      <c r="P795" s="2">
        <f>tdata[[#This Row],[price_per_kilo]]*tdata[[#This Row],[Weight_KG]]</f>
        <v>6570</v>
      </c>
      <c r="Q795" s="2" t="str">
        <f>VLOOKUP(tdata[[#This Row],[id_employee]],temployee[#All],2,0)</f>
        <v>Praditya Wicaksono</v>
      </c>
      <c r="R795" s="2" t="str">
        <f>VLOOKUP(tdata[[#This Row],[id_employee]],temployee[#All],4,0)</f>
        <v>internal</v>
      </c>
      <c r="S795" s="9" t="str">
        <f>VLOOKUP(tdata[[#This Row],[id_employee]],temployee[#All],5,0)</f>
        <v>driver</v>
      </c>
    </row>
    <row r="796" spans="2:19" x14ac:dyDescent="0.35">
      <c r="B796" s="8" t="s">
        <v>815</v>
      </c>
      <c r="C796" s="2" t="s">
        <v>1365</v>
      </c>
      <c r="D796" s="5">
        <v>45118</v>
      </c>
      <c r="E796" s="5">
        <v>45121</v>
      </c>
      <c r="F796" s="2" t="s">
        <v>20</v>
      </c>
      <c r="G796" s="2" t="s">
        <v>12</v>
      </c>
      <c r="H796" s="2" t="s">
        <v>1223</v>
      </c>
      <c r="I796" s="2" t="s">
        <v>17</v>
      </c>
      <c r="J796" s="2">
        <v>5.91</v>
      </c>
      <c r="K796" s="2" t="str">
        <f t="shared" si="32"/>
        <v>&gt;5kg</v>
      </c>
      <c r="L796" s="2">
        <f>tdata[[#This Row],[Received_date]]-tdata[[#This Row],[Shipment_Date]]</f>
        <v>3</v>
      </c>
      <c r="M796" s="2">
        <f>VLOOKUP(tdata[[#This Row],[Service_Type]],Table2[#All],2,0)</f>
        <v>1</v>
      </c>
      <c r="N796" s="2" t="str">
        <f>IF(tdata[[#This Row],[Delivery_Days]]&lt;=tdata[[#This Row],[SLA_Days]],"On Time","Late")</f>
        <v>Late</v>
      </c>
      <c r="O796" s="2">
        <f>VLOOKUP(tdata[[#This Row],[Service_Type]],Table2[#All],4,0)</f>
        <v>12000</v>
      </c>
      <c r="P796" s="2">
        <f>tdata[[#This Row],[price_per_kilo]]*tdata[[#This Row],[Weight_KG]]</f>
        <v>70920</v>
      </c>
      <c r="Q796" s="2" t="str">
        <f>VLOOKUP(tdata[[#This Row],[id_employee]],temployee[#All],2,0)</f>
        <v>Qory Azzahra</v>
      </c>
      <c r="R796" s="2" t="str">
        <f>VLOOKUP(tdata[[#This Row],[id_employee]],temployee[#All],4,0)</f>
        <v>internal</v>
      </c>
      <c r="S796" s="9" t="str">
        <f>VLOOKUP(tdata[[#This Row],[id_employee]],temployee[#All],5,0)</f>
        <v>rider</v>
      </c>
    </row>
    <row r="797" spans="2:19" x14ac:dyDescent="0.35">
      <c r="B797" s="8" t="s">
        <v>816</v>
      </c>
      <c r="C797" s="2" t="s">
        <v>1366</v>
      </c>
      <c r="D797" s="5">
        <v>45639</v>
      </c>
      <c r="E797" s="5">
        <v>45640</v>
      </c>
      <c r="F797" s="2" t="s">
        <v>22</v>
      </c>
      <c r="G797" s="2" t="s">
        <v>11</v>
      </c>
      <c r="H797" s="2" t="s">
        <v>1223</v>
      </c>
      <c r="I797" s="2" t="s">
        <v>17</v>
      </c>
      <c r="J797" s="2">
        <v>2.69</v>
      </c>
      <c r="K797" s="2" t="str">
        <f t="shared" si="32"/>
        <v>&lt; 5kg</v>
      </c>
      <c r="L797" s="2">
        <f>tdata[[#This Row],[Received_date]]-tdata[[#This Row],[Shipment_Date]]</f>
        <v>1</v>
      </c>
      <c r="M797" s="2">
        <f>VLOOKUP(tdata[[#This Row],[Service_Type]],Table2[#All],2,0)</f>
        <v>1</v>
      </c>
      <c r="N797" s="2" t="str">
        <f>IF(tdata[[#This Row],[Delivery_Days]]&lt;=tdata[[#This Row],[SLA_Days]],"On Time","Late")</f>
        <v>On Time</v>
      </c>
      <c r="O797" s="2">
        <f>VLOOKUP(tdata[[#This Row],[Service_Type]],Table2[#All],4,0)</f>
        <v>12000</v>
      </c>
      <c r="P797" s="2">
        <f>tdata[[#This Row],[price_per_kilo]]*tdata[[#This Row],[Weight_KG]]</f>
        <v>32280</v>
      </c>
      <c r="Q797" s="2" t="str">
        <f>VLOOKUP(tdata[[#This Row],[id_employee]],temployee[#All],2,0)</f>
        <v>Rendi Saputra</v>
      </c>
      <c r="R797" s="2" t="str">
        <f>VLOOKUP(tdata[[#This Row],[id_employee]],temployee[#All],4,0)</f>
        <v>crowd source</v>
      </c>
      <c r="S797" s="9" t="str">
        <f>VLOOKUP(tdata[[#This Row],[id_employee]],temployee[#All],5,0)</f>
        <v>driver</v>
      </c>
    </row>
    <row r="798" spans="2:19" x14ac:dyDescent="0.35">
      <c r="B798" s="8" t="s">
        <v>817</v>
      </c>
      <c r="C798" s="2" t="s">
        <v>1367</v>
      </c>
      <c r="D798" s="5">
        <v>45200</v>
      </c>
      <c r="E798" s="5">
        <f>D798+4</f>
        <v>45204</v>
      </c>
      <c r="F798" s="2" t="s">
        <v>12</v>
      </c>
      <c r="G798" s="2" t="s">
        <v>15</v>
      </c>
      <c r="H798" s="2" t="s">
        <v>1224</v>
      </c>
      <c r="I798" s="2" t="s">
        <v>13</v>
      </c>
      <c r="J798" s="2">
        <v>9.34</v>
      </c>
      <c r="K798" s="2" t="str">
        <f t="shared" si="32"/>
        <v>&gt;5kg</v>
      </c>
      <c r="L798" s="2">
        <f>tdata[[#This Row],[Received_date]]-tdata[[#This Row],[Shipment_Date]]</f>
        <v>4</v>
      </c>
      <c r="M798" s="2">
        <f>VLOOKUP(tdata[[#This Row],[Service_Type]],Table2[#All],2,0)</f>
        <v>3</v>
      </c>
      <c r="N798" s="2" t="str">
        <f>IF(tdata[[#This Row],[Delivery_Days]]&lt;=tdata[[#This Row],[SLA_Days]],"On Time","Late")</f>
        <v>Late</v>
      </c>
      <c r="O798" s="2">
        <f>VLOOKUP(tdata[[#This Row],[Service_Type]],Table2[#All],4,0)</f>
        <v>10000</v>
      </c>
      <c r="P798" s="2">
        <f>tdata[[#This Row],[price_per_kilo]]*tdata[[#This Row],[Weight_KG]]</f>
        <v>93400</v>
      </c>
      <c r="Q798" s="2" t="str">
        <f>VLOOKUP(tdata[[#This Row],[id_employee]],temployee[#All],2,0)</f>
        <v>Salma Nuraini</v>
      </c>
      <c r="R798" s="2" t="str">
        <f>VLOOKUP(tdata[[#This Row],[id_employee]],temployee[#All],4,0)</f>
        <v>internal</v>
      </c>
      <c r="S798" s="9" t="str">
        <f>VLOOKUP(tdata[[#This Row],[id_employee]],temployee[#All],5,0)</f>
        <v>rider</v>
      </c>
    </row>
    <row r="799" spans="2:19" x14ac:dyDescent="0.35">
      <c r="B799" s="8" t="s">
        <v>818</v>
      </c>
      <c r="C799" s="2" t="s">
        <v>1368</v>
      </c>
      <c r="D799" s="5">
        <v>45061</v>
      </c>
      <c r="E799" s="5">
        <v>45061</v>
      </c>
      <c r="F799" s="2" t="s">
        <v>30</v>
      </c>
      <c r="G799" s="2" t="s">
        <v>15</v>
      </c>
      <c r="H799" s="2" t="s">
        <v>1224</v>
      </c>
      <c r="I799" s="2" t="s">
        <v>17</v>
      </c>
      <c r="J799" s="2">
        <v>5.81</v>
      </c>
      <c r="K799" s="2" t="str">
        <f t="shared" si="32"/>
        <v>&gt;5kg</v>
      </c>
      <c r="L799" s="2">
        <f>tdata[[#This Row],[Received_date]]-tdata[[#This Row],[Shipment_Date]]</f>
        <v>0</v>
      </c>
      <c r="M799" s="2">
        <f>VLOOKUP(tdata[[#This Row],[Service_Type]],Table2[#All],2,0)</f>
        <v>3</v>
      </c>
      <c r="N799" s="2" t="str">
        <f>IF(tdata[[#This Row],[Delivery_Days]]&lt;=tdata[[#This Row],[SLA_Days]],"On Time","Late")</f>
        <v>On Time</v>
      </c>
      <c r="O799" s="2">
        <f>VLOOKUP(tdata[[#This Row],[Service_Type]],Table2[#All],4,0)</f>
        <v>10000</v>
      </c>
      <c r="P799" s="2">
        <f>tdata[[#This Row],[price_per_kilo]]*tdata[[#This Row],[Weight_KG]]</f>
        <v>58099.999999999993</v>
      </c>
      <c r="Q799" s="2" t="str">
        <f>VLOOKUP(tdata[[#This Row],[id_employee]],temployee[#All],2,0)</f>
        <v>Tegar Prakoso</v>
      </c>
      <c r="R799" s="2" t="str">
        <f>VLOOKUP(tdata[[#This Row],[id_employee]],temployee[#All],4,0)</f>
        <v>internal</v>
      </c>
      <c r="S799" s="9" t="str">
        <f>VLOOKUP(tdata[[#This Row],[id_employee]],temployee[#All],5,0)</f>
        <v>driver</v>
      </c>
    </row>
    <row r="800" spans="2:19" x14ac:dyDescent="0.35">
      <c r="B800" s="8" t="s">
        <v>819</v>
      </c>
      <c r="C800" s="2" t="s">
        <v>1369</v>
      </c>
      <c r="D800" s="5">
        <v>45190</v>
      </c>
      <c r="E800" s="5">
        <v>45190</v>
      </c>
      <c r="F800" s="2" t="s">
        <v>32</v>
      </c>
      <c r="G800" s="2" t="s">
        <v>15</v>
      </c>
      <c r="H800" s="2" t="s">
        <v>1223</v>
      </c>
      <c r="I800" s="2" t="s">
        <v>17</v>
      </c>
      <c r="J800" s="2">
        <v>4.62</v>
      </c>
      <c r="K800" s="2" t="str">
        <f t="shared" si="32"/>
        <v>&lt; 5kg</v>
      </c>
      <c r="L800" s="2">
        <f>tdata[[#This Row],[Received_date]]-tdata[[#This Row],[Shipment_Date]]</f>
        <v>0</v>
      </c>
      <c r="M800" s="2">
        <f>VLOOKUP(tdata[[#This Row],[Service_Type]],Table2[#All],2,0)</f>
        <v>1</v>
      </c>
      <c r="N800" s="2" t="str">
        <f>IF(tdata[[#This Row],[Delivery_Days]]&lt;=tdata[[#This Row],[SLA_Days]],"On Time","Late")</f>
        <v>On Time</v>
      </c>
      <c r="O800" s="2">
        <f>VLOOKUP(tdata[[#This Row],[Service_Type]],Table2[#All],4,0)</f>
        <v>12000</v>
      </c>
      <c r="P800" s="2">
        <f>tdata[[#This Row],[price_per_kilo]]*tdata[[#This Row],[Weight_KG]]</f>
        <v>55440</v>
      </c>
      <c r="Q800" s="2" t="str">
        <f>VLOOKUP(tdata[[#This Row],[id_employee]],temployee[#All],2,0)</f>
        <v>Ulfa Khairunnisa</v>
      </c>
      <c r="R800" s="2" t="str">
        <f>VLOOKUP(tdata[[#This Row],[id_employee]],temployee[#All],4,0)</f>
        <v>crowd source</v>
      </c>
      <c r="S800" s="9" t="str">
        <f>VLOOKUP(tdata[[#This Row],[id_employee]],temployee[#All],5,0)</f>
        <v>rider</v>
      </c>
    </row>
    <row r="801" spans="2:19" x14ac:dyDescent="0.35">
      <c r="B801" s="8" t="s">
        <v>820</v>
      </c>
      <c r="C801" s="2" t="s">
        <v>1370</v>
      </c>
      <c r="D801" s="5">
        <v>45604</v>
      </c>
      <c r="E801" s="5">
        <v>45605</v>
      </c>
      <c r="F801" s="2" t="s">
        <v>16</v>
      </c>
      <c r="G801" s="2" t="s">
        <v>11</v>
      </c>
      <c r="H801" s="2" t="s">
        <v>23</v>
      </c>
      <c r="I801" s="2" t="s">
        <v>13</v>
      </c>
      <c r="J801" s="2">
        <v>1.56</v>
      </c>
      <c r="K801" s="2" t="str">
        <f t="shared" si="32"/>
        <v>&lt; 5kg</v>
      </c>
      <c r="L801" s="2">
        <f>tdata[[#This Row],[Received_date]]-tdata[[#This Row],[Shipment_Date]]</f>
        <v>1</v>
      </c>
      <c r="M801" s="2">
        <f>VLOOKUP(tdata[[#This Row],[Service_Type]],Table2[#All],2,0)</f>
        <v>5</v>
      </c>
      <c r="N801" s="2" t="str">
        <f>IF(tdata[[#This Row],[Delivery_Days]]&lt;=tdata[[#This Row],[SLA_Days]],"On Time","Late")</f>
        <v>On Time</v>
      </c>
      <c r="O801" s="2">
        <f>VLOOKUP(tdata[[#This Row],[Service_Type]],Table2[#All],4,0)</f>
        <v>9000</v>
      </c>
      <c r="P801" s="2">
        <f>tdata[[#This Row],[price_per_kilo]]*tdata[[#This Row],[Weight_KG]]</f>
        <v>14040</v>
      </c>
      <c r="Q801" s="2" t="str">
        <f>VLOOKUP(tdata[[#This Row],[id_employee]],temployee[#All],2,0)</f>
        <v>Vito Mahendra</v>
      </c>
      <c r="R801" s="2" t="str">
        <f>VLOOKUP(tdata[[#This Row],[id_employee]],temployee[#All],4,0)</f>
        <v>internal</v>
      </c>
      <c r="S801" s="9" t="str">
        <f>VLOOKUP(tdata[[#This Row],[id_employee]],temployee[#All],5,0)</f>
        <v>rider</v>
      </c>
    </row>
    <row r="802" spans="2:19" x14ac:dyDescent="0.35">
      <c r="B802" s="8" t="s">
        <v>821</v>
      </c>
      <c r="C802" s="2" t="s">
        <v>1371</v>
      </c>
      <c r="D802" s="5">
        <v>45061</v>
      </c>
      <c r="E802" s="5">
        <v>45063</v>
      </c>
      <c r="F802" s="2" t="s">
        <v>26</v>
      </c>
      <c r="G802" s="2" t="s">
        <v>12</v>
      </c>
      <c r="H802" s="2" t="s">
        <v>1224</v>
      </c>
      <c r="I802" s="2" t="s">
        <v>17</v>
      </c>
      <c r="J802" s="2">
        <v>0.88</v>
      </c>
      <c r="K802" s="2" t="str">
        <f t="shared" si="32"/>
        <v>&lt; 5kg</v>
      </c>
      <c r="L802" s="2">
        <f>tdata[[#This Row],[Received_date]]-tdata[[#This Row],[Shipment_Date]]</f>
        <v>2</v>
      </c>
      <c r="M802" s="2">
        <f>VLOOKUP(tdata[[#This Row],[Service_Type]],Table2[#All],2,0)</f>
        <v>3</v>
      </c>
      <c r="N802" s="2" t="str">
        <f>IF(tdata[[#This Row],[Delivery_Days]]&lt;=tdata[[#This Row],[SLA_Days]],"On Time","Late")</f>
        <v>On Time</v>
      </c>
      <c r="O802" s="2">
        <f>VLOOKUP(tdata[[#This Row],[Service_Type]],Table2[#All],4,0)</f>
        <v>10000</v>
      </c>
      <c r="P802" s="2">
        <f>tdata[[#This Row],[price_per_kilo]]*tdata[[#This Row],[Weight_KG]]</f>
        <v>8800</v>
      </c>
      <c r="Q802" s="2" t="str">
        <f>VLOOKUP(tdata[[#This Row],[id_employee]],temployee[#All],2,0)</f>
        <v>Winda Sari</v>
      </c>
      <c r="R802" s="2" t="str">
        <f>VLOOKUP(tdata[[#This Row],[id_employee]],temployee[#All],4,0)</f>
        <v>internal</v>
      </c>
      <c r="S802" s="9" t="str">
        <f>VLOOKUP(tdata[[#This Row],[id_employee]],temployee[#All],5,0)</f>
        <v>rider</v>
      </c>
    </row>
    <row r="803" spans="2:19" x14ac:dyDescent="0.35">
      <c r="B803" s="8" t="s">
        <v>822</v>
      </c>
      <c r="C803" s="2" t="s">
        <v>1372</v>
      </c>
      <c r="D803" s="5">
        <v>45606</v>
      </c>
      <c r="E803" s="5">
        <v>45614</v>
      </c>
      <c r="F803" s="2" t="s">
        <v>49</v>
      </c>
      <c r="G803" s="2" t="s">
        <v>32</v>
      </c>
      <c r="H803" s="2" t="s">
        <v>1224</v>
      </c>
      <c r="I803" s="2" t="s">
        <v>17</v>
      </c>
      <c r="J803" s="2">
        <v>10.49</v>
      </c>
      <c r="K803" s="2" t="str">
        <f t="shared" si="32"/>
        <v>&gt;5kg</v>
      </c>
      <c r="L803" s="2">
        <f>tdata[[#This Row],[Received_date]]-tdata[[#This Row],[Shipment_Date]]</f>
        <v>8</v>
      </c>
      <c r="M803" s="2">
        <f>VLOOKUP(tdata[[#This Row],[Service_Type]],Table2[#All],2,0)</f>
        <v>3</v>
      </c>
      <c r="N803" s="2" t="str">
        <f>IF(tdata[[#This Row],[Delivery_Days]]&lt;=tdata[[#This Row],[SLA_Days]],"On Time","Late")</f>
        <v>Late</v>
      </c>
      <c r="O803" s="2">
        <f>VLOOKUP(tdata[[#This Row],[Service_Type]],Table2[#All],4,0)</f>
        <v>10000</v>
      </c>
      <c r="P803" s="2">
        <f>tdata[[#This Row],[price_per_kilo]]*tdata[[#This Row],[Weight_KG]]</f>
        <v>104900</v>
      </c>
      <c r="Q803" s="2" t="str">
        <f>VLOOKUP(tdata[[#This Row],[id_employee]],temployee[#All],2,0)</f>
        <v>Yusuf Al Ghazali</v>
      </c>
      <c r="R803" s="2" t="str">
        <f>VLOOKUP(tdata[[#This Row],[id_employee]],temployee[#All],4,0)</f>
        <v>crowd source</v>
      </c>
      <c r="S803" s="9" t="str">
        <f>VLOOKUP(tdata[[#This Row],[id_employee]],temployee[#All],5,0)</f>
        <v>driver</v>
      </c>
    </row>
    <row r="804" spans="2:19" x14ac:dyDescent="0.35">
      <c r="B804" s="8" t="s">
        <v>823</v>
      </c>
      <c r="C804" s="2" t="s">
        <v>1273</v>
      </c>
      <c r="D804" s="5">
        <v>45058</v>
      </c>
      <c r="E804" s="5">
        <f>D804+4</f>
        <v>45062</v>
      </c>
      <c r="F804" s="2" t="s">
        <v>11</v>
      </c>
      <c r="G804" s="2" t="s">
        <v>15</v>
      </c>
      <c r="H804" s="2" t="s">
        <v>1224</v>
      </c>
      <c r="I804" s="2" t="s">
        <v>13</v>
      </c>
      <c r="J804" s="2">
        <v>6.55</v>
      </c>
      <c r="K804" s="2" t="str">
        <f t="shared" si="32"/>
        <v>&gt;5kg</v>
      </c>
      <c r="L804" s="2">
        <f>tdata[[#This Row],[Received_date]]-tdata[[#This Row],[Shipment_Date]]</f>
        <v>4</v>
      </c>
      <c r="M804" s="2">
        <f>VLOOKUP(tdata[[#This Row],[Service_Type]],Table2[#All],2,0)</f>
        <v>3</v>
      </c>
      <c r="N804" s="2" t="str">
        <f>IF(tdata[[#This Row],[Delivery_Days]]&lt;=tdata[[#This Row],[SLA_Days]],"On Time","Late")</f>
        <v>Late</v>
      </c>
      <c r="O804" s="2">
        <f>VLOOKUP(tdata[[#This Row],[Service_Type]],Table2[#All],4,0)</f>
        <v>10000</v>
      </c>
      <c r="P804" s="2">
        <f>tdata[[#This Row],[price_per_kilo]]*tdata[[#This Row],[Weight_KG]]</f>
        <v>65500</v>
      </c>
      <c r="Q804" s="2" t="str">
        <f>VLOOKUP(tdata[[#This Row],[id_employee]],temployee[#All],2,0)</f>
        <v>Andi Pratama</v>
      </c>
      <c r="R804" s="2" t="str">
        <f>VLOOKUP(tdata[[#This Row],[id_employee]],temployee[#All],4,0)</f>
        <v>internal</v>
      </c>
      <c r="S804" s="9" t="str">
        <f>VLOOKUP(tdata[[#This Row],[id_employee]],temployee[#All],5,0)</f>
        <v>rider</v>
      </c>
    </row>
    <row r="805" spans="2:19" x14ac:dyDescent="0.35">
      <c r="B805" s="8" t="s">
        <v>824</v>
      </c>
      <c r="C805" s="2" t="s">
        <v>1274</v>
      </c>
      <c r="D805" s="5">
        <v>45565</v>
      </c>
      <c r="E805" s="5">
        <v>45567</v>
      </c>
      <c r="F805" s="2" t="s">
        <v>15</v>
      </c>
      <c r="G805" s="2" t="s">
        <v>32</v>
      </c>
      <c r="H805" s="2" t="s">
        <v>23</v>
      </c>
      <c r="I805" s="2" t="s">
        <v>13</v>
      </c>
      <c r="J805" s="2">
        <v>8.17</v>
      </c>
      <c r="K805" s="2" t="str">
        <f t="shared" si="32"/>
        <v>&gt;5kg</v>
      </c>
      <c r="L805" s="2">
        <f>tdata[[#This Row],[Received_date]]-tdata[[#This Row],[Shipment_Date]]</f>
        <v>2</v>
      </c>
      <c r="M805" s="2">
        <f>VLOOKUP(tdata[[#This Row],[Service_Type]],Table2[#All],2,0)</f>
        <v>5</v>
      </c>
      <c r="N805" s="2" t="str">
        <f>IF(tdata[[#This Row],[Delivery_Days]]&lt;=tdata[[#This Row],[SLA_Days]],"On Time","Late")</f>
        <v>On Time</v>
      </c>
      <c r="O805" s="2">
        <f>VLOOKUP(tdata[[#This Row],[Service_Type]],Table2[#All],4,0)</f>
        <v>9000</v>
      </c>
      <c r="P805" s="2">
        <f>tdata[[#This Row],[price_per_kilo]]*tdata[[#This Row],[Weight_KG]]</f>
        <v>73530</v>
      </c>
      <c r="Q805" s="2" t="str">
        <f>VLOOKUP(tdata[[#This Row],[id_employee]],temployee[#All],2,0)</f>
        <v>Budi Santoso</v>
      </c>
      <c r="R805" s="2" t="str">
        <f>VLOOKUP(tdata[[#This Row],[id_employee]],temployee[#All],4,0)</f>
        <v>internal</v>
      </c>
      <c r="S805" s="9" t="str">
        <f>VLOOKUP(tdata[[#This Row],[id_employee]],temployee[#All],5,0)</f>
        <v>driver</v>
      </c>
    </row>
    <row r="806" spans="2:19" x14ac:dyDescent="0.35">
      <c r="B806" s="8" t="s">
        <v>825</v>
      </c>
      <c r="C806" s="2" t="s">
        <v>1275</v>
      </c>
      <c r="D806" s="5">
        <v>45150</v>
      </c>
      <c r="E806" s="5">
        <v>45160</v>
      </c>
      <c r="F806" s="2" t="s">
        <v>20</v>
      </c>
      <c r="G806" s="2" t="s">
        <v>30</v>
      </c>
      <c r="H806" s="2" t="s">
        <v>1224</v>
      </c>
      <c r="I806" s="2" t="s">
        <v>17</v>
      </c>
      <c r="J806" s="2">
        <v>2.41</v>
      </c>
      <c r="K806" s="2" t="str">
        <f t="shared" si="32"/>
        <v>&lt; 5kg</v>
      </c>
      <c r="L806" s="2">
        <f>tdata[[#This Row],[Received_date]]-tdata[[#This Row],[Shipment_Date]]</f>
        <v>10</v>
      </c>
      <c r="M806" s="2">
        <f>VLOOKUP(tdata[[#This Row],[Service_Type]],Table2[#All],2,0)</f>
        <v>3</v>
      </c>
      <c r="N806" s="2" t="str">
        <f>IF(tdata[[#This Row],[Delivery_Days]]&lt;=tdata[[#This Row],[SLA_Days]],"On Time","Late")</f>
        <v>Late</v>
      </c>
      <c r="O806" s="2">
        <f>VLOOKUP(tdata[[#This Row],[Service_Type]],Table2[#All],4,0)</f>
        <v>10000</v>
      </c>
      <c r="P806" s="2">
        <f>tdata[[#This Row],[price_per_kilo]]*tdata[[#This Row],[Weight_KG]]</f>
        <v>24100</v>
      </c>
      <c r="Q806" s="2" t="str">
        <f>VLOOKUP(tdata[[#This Row],[id_employee]],temployee[#All],2,0)</f>
        <v>Citra Lestari</v>
      </c>
      <c r="R806" s="2" t="str">
        <f>VLOOKUP(tdata[[#This Row],[id_employee]],temployee[#All],4,0)</f>
        <v>crowd source</v>
      </c>
      <c r="S806" s="9" t="str">
        <f>VLOOKUP(tdata[[#This Row],[id_employee]],temployee[#All],5,0)</f>
        <v>rider</v>
      </c>
    </row>
    <row r="807" spans="2:19" x14ac:dyDescent="0.35">
      <c r="B807" s="8" t="s">
        <v>826</v>
      </c>
      <c r="C807" s="2" t="s">
        <v>1276</v>
      </c>
      <c r="D807" s="5">
        <v>45373</v>
      </c>
      <c r="E807" s="5">
        <v>45375</v>
      </c>
      <c r="F807" s="2" t="s">
        <v>22</v>
      </c>
      <c r="G807" s="2" t="s">
        <v>15</v>
      </c>
      <c r="H807" s="2" t="s">
        <v>1224</v>
      </c>
      <c r="I807" s="2" t="s">
        <v>13</v>
      </c>
      <c r="J807" s="2">
        <v>3.14</v>
      </c>
      <c r="K807" s="2" t="str">
        <f t="shared" si="32"/>
        <v>&lt; 5kg</v>
      </c>
      <c r="L807" s="2">
        <f>tdata[[#This Row],[Received_date]]-tdata[[#This Row],[Shipment_Date]]</f>
        <v>2</v>
      </c>
      <c r="M807" s="2">
        <f>VLOOKUP(tdata[[#This Row],[Service_Type]],Table2[#All],2,0)</f>
        <v>3</v>
      </c>
      <c r="N807" s="2" t="str">
        <f>IF(tdata[[#This Row],[Delivery_Days]]&lt;=tdata[[#This Row],[SLA_Days]],"On Time","Late")</f>
        <v>On Time</v>
      </c>
      <c r="O807" s="2">
        <f>VLOOKUP(tdata[[#This Row],[Service_Type]],Table2[#All],4,0)</f>
        <v>10000</v>
      </c>
      <c r="P807" s="2">
        <f>tdata[[#This Row],[price_per_kilo]]*tdata[[#This Row],[Weight_KG]]</f>
        <v>31400</v>
      </c>
      <c r="Q807" s="2" t="str">
        <f>VLOOKUP(tdata[[#This Row],[id_employee]],temployee[#All],2,0)</f>
        <v>Dedi Saputra</v>
      </c>
      <c r="R807" s="2" t="str">
        <f>VLOOKUP(tdata[[#This Row],[id_employee]],temployee[#All],4,0)</f>
        <v>crowd source</v>
      </c>
      <c r="S807" s="9" t="str">
        <f>VLOOKUP(tdata[[#This Row],[id_employee]],temployee[#All],5,0)</f>
        <v>driver</v>
      </c>
    </row>
    <row r="808" spans="2:19" x14ac:dyDescent="0.35">
      <c r="B808" s="8" t="s">
        <v>827</v>
      </c>
      <c r="C808" s="2" t="s">
        <v>1277</v>
      </c>
      <c r="D808" s="5">
        <v>44990</v>
      </c>
      <c r="E808" s="5">
        <v>44998</v>
      </c>
      <c r="F808" s="2" t="s">
        <v>12</v>
      </c>
      <c r="G808" s="2" t="s">
        <v>30</v>
      </c>
      <c r="H808" s="2" t="s">
        <v>23</v>
      </c>
      <c r="I808" s="2" t="s">
        <v>13</v>
      </c>
      <c r="J808" s="2">
        <v>5.84</v>
      </c>
      <c r="K808" s="2" t="str">
        <f t="shared" si="32"/>
        <v>&gt;5kg</v>
      </c>
      <c r="L808" s="2">
        <f>tdata[[#This Row],[Received_date]]-tdata[[#This Row],[Shipment_Date]]</f>
        <v>8</v>
      </c>
      <c r="M808" s="2">
        <f>VLOOKUP(tdata[[#This Row],[Service_Type]],Table2[#All],2,0)</f>
        <v>5</v>
      </c>
      <c r="N808" s="2" t="str">
        <f>IF(tdata[[#This Row],[Delivery_Days]]&lt;=tdata[[#This Row],[SLA_Days]],"On Time","Late")</f>
        <v>Late</v>
      </c>
      <c r="O808" s="2">
        <f>VLOOKUP(tdata[[#This Row],[Service_Type]],Table2[#All],4,0)</f>
        <v>9000</v>
      </c>
      <c r="P808" s="2">
        <f>tdata[[#This Row],[price_per_kilo]]*tdata[[#This Row],[Weight_KG]]</f>
        <v>52560</v>
      </c>
      <c r="Q808" s="2" t="str">
        <f>VLOOKUP(tdata[[#This Row],[id_employee]],temployee[#All],2,0)</f>
        <v>Eko Nugroho</v>
      </c>
      <c r="R808" s="2" t="str">
        <f>VLOOKUP(tdata[[#This Row],[id_employee]],temployee[#All],4,0)</f>
        <v>internal</v>
      </c>
      <c r="S808" s="9" t="str">
        <f>VLOOKUP(tdata[[#This Row],[id_employee]],temployee[#All],5,0)</f>
        <v>rider</v>
      </c>
    </row>
    <row r="809" spans="2:19" x14ac:dyDescent="0.35">
      <c r="B809" s="8" t="s">
        <v>828</v>
      </c>
      <c r="C809" s="2" t="s">
        <v>1278</v>
      </c>
      <c r="D809" s="5">
        <v>45352</v>
      </c>
      <c r="E809" s="5">
        <v>45358</v>
      </c>
      <c r="F809" s="2" t="s">
        <v>30</v>
      </c>
      <c r="G809" s="2" t="s">
        <v>20</v>
      </c>
      <c r="H809" s="2" t="s">
        <v>1223</v>
      </c>
      <c r="I809" s="2" t="s">
        <v>17</v>
      </c>
      <c r="J809" s="2">
        <v>4.99</v>
      </c>
      <c r="K809" s="2" t="str">
        <f t="shared" si="32"/>
        <v>&lt; 5kg</v>
      </c>
      <c r="L809" s="2">
        <f>tdata[[#This Row],[Received_date]]-tdata[[#This Row],[Shipment_Date]]</f>
        <v>6</v>
      </c>
      <c r="M809" s="2">
        <f>VLOOKUP(tdata[[#This Row],[Service_Type]],Table2[#All],2,0)</f>
        <v>1</v>
      </c>
      <c r="N809" s="2" t="str">
        <f>IF(tdata[[#This Row],[Delivery_Days]]&lt;=tdata[[#This Row],[SLA_Days]],"On Time","Late")</f>
        <v>Late</v>
      </c>
      <c r="O809" s="2">
        <f>VLOOKUP(tdata[[#This Row],[Service_Type]],Table2[#All],4,0)</f>
        <v>12000</v>
      </c>
      <c r="P809" s="2">
        <f>tdata[[#This Row],[price_per_kilo]]*tdata[[#This Row],[Weight_KG]]</f>
        <v>59880</v>
      </c>
      <c r="Q809" s="2" t="str">
        <f>VLOOKUP(tdata[[#This Row],[id_employee]],temployee[#All],2,0)</f>
        <v>Fajar Hidayat</v>
      </c>
      <c r="R809" s="2" t="str">
        <f>VLOOKUP(tdata[[#This Row],[id_employee]],temployee[#All],4,0)</f>
        <v>internal</v>
      </c>
      <c r="S809" s="9" t="str">
        <f>VLOOKUP(tdata[[#This Row],[id_employee]],temployee[#All],5,0)</f>
        <v>driver</v>
      </c>
    </row>
    <row r="810" spans="2:19" x14ac:dyDescent="0.35">
      <c r="B810" s="8" t="s">
        <v>829</v>
      </c>
      <c r="C810" s="2" t="s">
        <v>1279</v>
      </c>
      <c r="D810" s="5">
        <v>45607</v>
      </c>
      <c r="E810" s="5">
        <v>45617</v>
      </c>
      <c r="F810" s="2" t="s">
        <v>32</v>
      </c>
      <c r="G810" s="2" t="s">
        <v>30</v>
      </c>
      <c r="H810" s="2" t="s">
        <v>1224</v>
      </c>
      <c r="I810" s="2" t="s">
        <v>17</v>
      </c>
      <c r="J810" s="2">
        <v>0.59</v>
      </c>
      <c r="K810" s="2" t="str">
        <f t="shared" si="32"/>
        <v>&lt; 5kg</v>
      </c>
      <c r="L810" s="2">
        <f>tdata[[#This Row],[Received_date]]-tdata[[#This Row],[Shipment_Date]]</f>
        <v>10</v>
      </c>
      <c r="M810" s="2">
        <f>VLOOKUP(tdata[[#This Row],[Service_Type]],Table2[#All],2,0)</f>
        <v>3</v>
      </c>
      <c r="N810" s="2" t="str">
        <f>IF(tdata[[#This Row],[Delivery_Days]]&lt;=tdata[[#This Row],[SLA_Days]],"On Time","Late")</f>
        <v>Late</v>
      </c>
      <c r="O810" s="2">
        <f>VLOOKUP(tdata[[#This Row],[Service_Type]],Table2[#All],4,0)</f>
        <v>10000</v>
      </c>
      <c r="P810" s="2">
        <f>tdata[[#This Row],[price_per_kilo]]*tdata[[#This Row],[Weight_KG]]</f>
        <v>5900</v>
      </c>
      <c r="Q810" s="2" t="str">
        <f>VLOOKUP(tdata[[#This Row],[id_employee]],temployee[#All],2,0)</f>
        <v>Gita Rahmawati</v>
      </c>
      <c r="R810" s="2" t="str">
        <f>VLOOKUP(tdata[[#This Row],[id_employee]],temployee[#All],4,0)</f>
        <v>crowd source</v>
      </c>
      <c r="S810" s="9" t="str">
        <f>VLOOKUP(tdata[[#This Row],[id_employee]],temployee[#All],5,0)</f>
        <v>rider</v>
      </c>
    </row>
    <row r="811" spans="2:19" x14ac:dyDescent="0.35">
      <c r="B811" s="8" t="s">
        <v>830</v>
      </c>
      <c r="C811" s="2" t="s">
        <v>1280</v>
      </c>
      <c r="D811" s="5">
        <v>44969</v>
      </c>
      <c r="E811" s="5">
        <v>44971</v>
      </c>
      <c r="F811" s="2" t="s">
        <v>16</v>
      </c>
      <c r="G811" s="2" t="s">
        <v>20</v>
      </c>
      <c r="H811" s="2" t="s">
        <v>23</v>
      </c>
      <c r="I811" s="2" t="s">
        <v>17</v>
      </c>
      <c r="J811" s="2">
        <v>5.79</v>
      </c>
      <c r="K811" s="2" t="str">
        <f t="shared" si="32"/>
        <v>&gt;5kg</v>
      </c>
      <c r="L811" s="2">
        <f>tdata[[#This Row],[Received_date]]-tdata[[#This Row],[Shipment_Date]]</f>
        <v>2</v>
      </c>
      <c r="M811" s="2">
        <f>VLOOKUP(tdata[[#This Row],[Service_Type]],Table2[#All],2,0)</f>
        <v>5</v>
      </c>
      <c r="N811" s="2" t="str">
        <f>IF(tdata[[#This Row],[Delivery_Days]]&lt;=tdata[[#This Row],[SLA_Days]],"On Time","Late")</f>
        <v>On Time</v>
      </c>
      <c r="O811" s="2">
        <f>VLOOKUP(tdata[[#This Row],[Service_Type]],Table2[#All],4,0)</f>
        <v>9000</v>
      </c>
      <c r="P811" s="2">
        <f>tdata[[#This Row],[price_per_kilo]]*tdata[[#This Row],[Weight_KG]]</f>
        <v>52110</v>
      </c>
      <c r="Q811" s="2" t="str">
        <f>VLOOKUP(tdata[[#This Row],[id_employee]],temployee[#All],2,0)</f>
        <v>Hendra Wijaya</v>
      </c>
      <c r="R811" s="2" t="str">
        <f>VLOOKUP(tdata[[#This Row],[id_employee]],temployee[#All],4,0)</f>
        <v>internal</v>
      </c>
      <c r="S811" s="9" t="str">
        <f>VLOOKUP(tdata[[#This Row],[id_employee]],temployee[#All],5,0)</f>
        <v>driver</v>
      </c>
    </row>
    <row r="812" spans="2:19" x14ac:dyDescent="0.35">
      <c r="B812" s="8" t="s">
        <v>831</v>
      </c>
      <c r="C812" s="2" t="s">
        <v>1281</v>
      </c>
      <c r="D812" s="5">
        <v>45634</v>
      </c>
      <c r="E812" s="5">
        <v>45645</v>
      </c>
      <c r="F812" s="2" t="s">
        <v>26</v>
      </c>
      <c r="G812" s="2" t="s">
        <v>20</v>
      </c>
      <c r="H812" s="2" t="s">
        <v>1224</v>
      </c>
      <c r="I812" s="2" t="s">
        <v>13</v>
      </c>
      <c r="J812" s="2">
        <v>4.26</v>
      </c>
      <c r="K812" s="2" t="str">
        <f t="shared" si="32"/>
        <v>&lt; 5kg</v>
      </c>
      <c r="L812" s="2">
        <f>tdata[[#This Row],[Received_date]]-tdata[[#This Row],[Shipment_Date]]</f>
        <v>11</v>
      </c>
      <c r="M812" s="2">
        <f>VLOOKUP(tdata[[#This Row],[Service_Type]],Table2[#All],2,0)</f>
        <v>3</v>
      </c>
      <c r="N812" s="2" t="str">
        <f>IF(tdata[[#This Row],[Delivery_Days]]&lt;=tdata[[#This Row],[SLA_Days]],"On Time","Late")</f>
        <v>Late</v>
      </c>
      <c r="O812" s="2">
        <f>VLOOKUP(tdata[[#This Row],[Service_Type]],Table2[#All],4,0)</f>
        <v>10000</v>
      </c>
      <c r="P812" s="2">
        <f>tdata[[#This Row],[price_per_kilo]]*tdata[[#This Row],[Weight_KG]]</f>
        <v>42600</v>
      </c>
      <c r="Q812" s="2" t="str">
        <f>VLOOKUP(tdata[[#This Row],[id_employee]],temployee[#All],2,0)</f>
        <v>Indah Permata</v>
      </c>
      <c r="R812" s="2" t="str">
        <f>VLOOKUP(tdata[[#This Row],[id_employee]],temployee[#All],4,0)</f>
        <v>crowd source</v>
      </c>
      <c r="S812" s="9" t="str">
        <f>VLOOKUP(tdata[[#This Row],[id_employee]],temployee[#All],5,0)</f>
        <v>rider</v>
      </c>
    </row>
    <row r="813" spans="2:19" x14ac:dyDescent="0.35">
      <c r="B813" s="8" t="s">
        <v>832</v>
      </c>
      <c r="C813" s="2" t="s">
        <v>1282</v>
      </c>
      <c r="D813" s="5">
        <v>45291</v>
      </c>
      <c r="E813" s="5">
        <v>45296</v>
      </c>
      <c r="F813" s="2" t="s">
        <v>49</v>
      </c>
      <c r="G813" s="2" t="s">
        <v>12</v>
      </c>
      <c r="H813" s="2" t="s">
        <v>23</v>
      </c>
      <c r="I813" s="2" t="s">
        <v>17</v>
      </c>
      <c r="J813" s="2">
        <v>4.41</v>
      </c>
      <c r="K813" s="2" t="str">
        <f t="shared" si="32"/>
        <v>&lt; 5kg</v>
      </c>
      <c r="L813" s="2">
        <f>tdata[[#This Row],[Received_date]]-tdata[[#This Row],[Shipment_Date]]</f>
        <v>5</v>
      </c>
      <c r="M813" s="2">
        <f>VLOOKUP(tdata[[#This Row],[Service_Type]],Table2[#All],2,0)</f>
        <v>5</v>
      </c>
      <c r="N813" s="2" t="str">
        <f>IF(tdata[[#This Row],[Delivery_Days]]&lt;=tdata[[#This Row],[SLA_Days]],"On Time","Late")</f>
        <v>On Time</v>
      </c>
      <c r="O813" s="2">
        <f>VLOOKUP(tdata[[#This Row],[Service_Type]],Table2[#All],4,0)</f>
        <v>9000</v>
      </c>
      <c r="P813" s="2">
        <f>tdata[[#This Row],[price_per_kilo]]*tdata[[#This Row],[Weight_KG]]</f>
        <v>39690</v>
      </c>
      <c r="Q813" s="2" t="str">
        <f>VLOOKUP(tdata[[#This Row],[id_employee]],temployee[#All],2,0)</f>
        <v>Joko Susilo</v>
      </c>
      <c r="R813" s="2" t="str">
        <f>VLOOKUP(tdata[[#This Row],[id_employee]],temployee[#All],4,0)</f>
        <v>internal</v>
      </c>
      <c r="S813" s="9" t="str">
        <f>VLOOKUP(tdata[[#This Row],[id_employee]],temployee[#All],5,0)</f>
        <v>driver</v>
      </c>
    </row>
    <row r="814" spans="2:19" x14ac:dyDescent="0.35">
      <c r="B814" s="8" t="s">
        <v>833</v>
      </c>
      <c r="C814" s="2" t="s">
        <v>1283</v>
      </c>
      <c r="D814" s="5">
        <v>45203</v>
      </c>
      <c r="E814" s="5">
        <v>45206</v>
      </c>
      <c r="F814" s="2" t="s">
        <v>11</v>
      </c>
      <c r="G814" s="2" t="s">
        <v>20</v>
      </c>
      <c r="H814" s="2" t="s">
        <v>23</v>
      </c>
      <c r="I814" s="2" t="s">
        <v>13</v>
      </c>
      <c r="J814" s="2">
        <v>6.27</v>
      </c>
      <c r="K814" s="2" t="str">
        <f t="shared" si="32"/>
        <v>&gt;5kg</v>
      </c>
      <c r="L814" s="2">
        <f>tdata[[#This Row],[Received_date]]-tdata[[#This Row],[Shipment_Date]]</f>
        <v>3</v>
      </c>
      <c r="M814" s="2">
        <f>VLOOKUP(tdata[[#This Row],[Service_Type]],Table2[#All],2,0)</f>
        <v>5</v>
      </c>
      <c r="N814" s="2" t="str">
        <f>IF(tdata[[#This Row],[Delivery_Days]]&lt;=tdata[[#This Row],[SLA_Days]],"On Time","Late")</f>
        <v>On Time</v>
      </c>
      <c r="O814" s="2">
        <f>VLOOKUP(tdata[[#This Row],[Service_Type]],Table2[#All],4,0)</f>
        <v>9000</v>
      </c>
      <c r="P814" s="2">
        <f>tdata[[#This Row],[price_per_kilo]]*tdata[[#This Row],[Weight_KG]]</f>
        <v>56429.999999999993</v>
      </c>
      <c r="Q814" s="2" t="str">
        <f>VLOOKUP(tdata[[#This Row],[id_employee]],temployee[#All],2,0)</f>
        <v>Kurniawan Putra</v>
      </c>
      <c r="R814" s="2" t="str">
        <f>VLOOKUP(tdata[[#This Row],[id_employee]],temployee[#All],4,0)</f>
        <v>crowd source</v>
      </c>
      <c r="S814" s="9" t="str">
        <f>VLOOKUP(tdata[[#This Row],[id_employee]],temployee[#All],5,0)</f>
        <v>driver</v>
      </c>
    </row>
    <row r="815" spans="2:19" x14ac:dyDescent="0.35">
      <c r="B815" s="8" t="s">
        <v>834</v>
      </c>
      <c r="C815" s="2" t="s">
        <v>1284</v>
      </c>
      <c r="D815" s="5">
        <v>45358</v>
      </c>
      <c r="E815" s="5">
        <v>45360</v>
      </c>
      <c r="F815" s="2" t="s">
        <v>15</v>
      </c>
      <c r="G815" s="2" t="s">
        <v>49</v>
      </c>
      <c r="H815" s="2" t="s">
        <v>1224</v>
      </c>
      <c r="I815" s="2" t="s">
        <v>17</v>
      </c>
      <c r="J815" s="2">
        <v>0.75</v>
      </c>
      <c r="K815" s="2" t="str">
        <f t="shared" si="32"/>
        <v>&lt; 5kg</v>
      </c>
      <c r="L815" s="2">
        <f>tdata[[#This Row],[Received_date]]-tdata[[#This Row],[Shipment_Date]]</f>
        <v>2</v>
      </c>
      <c r="M815" s="2">
        <f>VLOOKUP(tdata[[#This Row],[Service_Type]],Table2[#All],2,0)</f>
        <v>3</v>
      </c>
      <c r="N815" s="2" t="str">
        <f>IF(tdata[[#This Row],[Delivery_Days]]&lt;=tdata[[#This Row],[SLA_Days]],"On Time","Late")</f>
        <v>On Time</v>
      </c>
      <c r="O815" s="2">
        <f>VLOOKUP(tdata[[#This Row],[Service_Type]],Table2[#All],4,0)</f>
        <v>10000</v>
      </c>
      <c r="P815" s="2">
        <f>tdata[[#This Row],[price_per_kilo]]*tdata[[#This Row],[Weight_KG]]</f>
        <v>7500</v>
      </c>
      <c r="Q815" s="2" t="str">
        <f>VLOOKUP(tdata[[#This Row],[id_employee]],temployee[#All],2,0)</f>
        <v>Lina Marlina</v>
      </c>
      <c r="R815" s="2" t="str">
        <f>VLOOKUP(tdata[[#This Row],[id_employee]],temployee[#All],4,0)</f>
        <v>internal</v>
      </c>
      <c r="S815" s="9" t="str">
        <f>VLOOKUP(tdata[[#This Row],[id_employee]],temployee[#All],5,0)</f>
        <v>rider</v>
      </c>
    </row>
    <row r="816" spans="2:19" x14ac:dyDescent="0.35">
      <c r="B816" s="8" t="s">
        <v>835</v>
      </c>
      <c r="C816" s="2" t="s">
        <v>1285</v>
      </c>
      <c r="D816" s="5">
        <v>45406</v>
      </c>
      <c r="E816" s="5">
        <v>45408</v>
      </c>
      <c r="F816" s="2" t="s">
        <v>20</v>
      </c>
      <c r="G816" s="2" t="s">
        <v>15</v>
      </c>
      <c r="H816" s="2" t="s">
        <v>23</v>
      </c>
      <c r="I816" s="2" t="s">
        <v>13</v>
      </c>
      <c r="J816" s="2">
        <v>4.07</v>
      </c>
      <c r="K816" s="2" t="str">
        <f t="shared" si="32"/>
        <v>&lt; 5kg</v>
      </c>
      <c r="L816" s="2">
        <f>tdata[[#This Row],[Received_date]]-tdata[[#This Row],[Shipment_Date]]</f>
        <v>2</v>
      </c>
      <c r="M816" s="2">
        <f>VLOOKUP(tdata[[#This Row],[Service_Type]],Table2[#All],2,0)</f>
        <v>5</v>
      </c>
      <c r="N816" s="2" t="str">
        <f>IF(tdata[[#This Row],[Delivery_Days]]&lt;=tdata[[#This Row],[SLA_Days]],"On Time","Late")</f>
        <v>On Time</v>
      </c>
      <c r="O816" s="2">
        <f>VLOOKUP(tdata[[#This Row],[Service_Type]],Table2[#All],4,0)</f>
        <v>9000</v>
      </c>
      <c r="P816" s="2">
        <f>tdata[[#This Row],[price_per_kilo]]*tdata[[#This Row],[Weight_KG]]</f>
        <v>36630</v>
      </c>
      <c r="Q816" s="2" t="str">
        <f>VLOOKUP(tdata[[#This Row],[id_employee]],temployee[#All],2,0)</f>
        <v>Rizky Ananda</v>
      </c>
      <c r="R816" s="2" t="str">
        <f>VLOOKUP(tdata[[#This Row],[id_employee]],temployee[#All],4,0)</f>
        <v>crowd source</v>
      </c>
      <c r="S816" s="9" t="str">
        <f>VLOOKUP(tdata[[#This Row],[id_employee]],temployee[#All],5,0)</f>
        <v>rider</v>
      </c>
    </row>
    <row r="817" spans="2:19" x14ac:dyDescent="0.35">
      <c r="B817" s="8" t="s">
        <v>836</v>
      </c>
      <c r="C817" s="2" t="s">
        <v>1286</v>
      </c>
      <c r="D817" s="5">
        <v>45466</v>
      </c>
      <c r="E817" s="5">
        <v>45468</v>
      </c>
      <c r="F817" s="2" t="s">
        <v>22</v>
      </c>
      <c r="G817" s="2" t="s">
        <v>15</v>
      </c>
      <c r="H817" s="2" t="s">
        <v>23</v>
      </c>
      <c r="I817" s="2" t="s">
        <v>17</v>
      </c>
      <c r="J817" s="2">
        <v>3.51</v>
      </c>
      <c r="K817" s="2" t="str">
        <f t="shared" si="32"/>
        <v>&lt; 5kg</v>
      </c>
      <c r="L817" s="2">
        <f>tdata[[#This Row],[Received_date]]-tdata[[#This Row],[Shipment_Date]]</f>
        <v>2</v>
      </c>
      <c r="M817" s="2">
        <f>VLOOKUP(tdata[[#This Row],[Service_Type]],Table2[#All],2,0)</f>
        <v>5</v>
      </c>
      <c r="N817" s="2" t="str">
        <f>IF(tdata[[#This Row],[Delivery_Days]]&lt;=tdata[[#This Row],[SLA_Days]],"On Time","Late")</f>
        <v>On Time</v>
      </c>
      <c r="O817" s="2">
        <f>VLOOKUP(tdata[[#This Row],[Service_Type]],Table2[#All],4,0)</f>
        <v>9000</v>
      </c>
      <c r="P817" s="2">
        <f>tdata[[#This Row],[price_per_kilo]]*tdata[[#This Row],[Weight_KG]]</f>
        <v>31589.999999999996</v>
      </c>
      <c r="Q817" s="2" t="str">
        <f>VLOOKUP(tdata[[#This Row],[id_employee]],temployee[#All],2,0)</f>
        <v>Nanda Prakoso</v>
      </c>
      <c r="R817" s="2" t="str">
        <f>VLOOKUP(tdata[[#This Row],[id_employee]],temployee[#All],4,0)</f>
        <v>internal</v>
      </c>
      <c r="S817" s="9" t="str">
        <f>VLOOKUP(tdata[[#This Row],[id_employee]],temployee[#All],5,0)</f>
        <v>driver</v>
      </c>
    </row>
    <row r="818" spans="2:19" x14ac:dyDescent="0.35">
      <c r="B818" s="8" t="s">
        <v>837</v>
      </c>
      <c r="C818" s="2" t="s">
        <v>1287</v>
      </c>
      <c r="D818" s="5">
        <v>45221</v>
      </c>
      <c r="E818" s="5">
        <v>45224</v>
      </c>
      <c r="F818" s="2" t="s">
        <v>12</v>
      </c>
      <c r="G818" s="2" t="s">
        <v>30</v>
      </c>
      <c r="H818" s="2" t="s">
        <v>1224</v>
      </c>
      <c r="I818" s="2" t="s">
        <v>13</v>
      </c>
      <c r="J818" s="2">
        <v>10.27</v>
      </c>
      <c r="K818" s="2" t="str">
        <f t="shared" si="32"/>
        <v>&gt;5kg</v>
      </c>
      <c r="L818" s="2">
        <f>tdata[[#This Row],[Received_date]]-tdata[[#This Row],[Shipment_Date]]</f>
        <v>3</v>
      </c>
      <c r="M818" s="2">
        <f>VLOOKUP(tdata[[#This Row],[Service_Type]],Table2[#All],2,0)</f>
        <v>3</v>
      </c>
      <c r="N818" s="2" t="str">
        <f>IF(tdata[[#This Row],[Delivery_Days]]&lt;=tdata[[#This Row],[SLA_Days]],"On Time","Late")</f>
        <v>On Time</v>
      </c>
      <c r="O818" s="2">
        <f>VLOOKUP(tdata[[#This Row],[Service_Type]],Table2[#All],4,0)</f>
        <v>10000</v>
      </c>
      <c r="P818" s="2">
        <f>tdata[[#This Row],[price_per_kilo]]*tdata[[#This Row],[Weight_KG]]</f>
        <v>102700</v>
      </c>
      <c r="Q818" s="2" t="str">
        <f>VLOOKUP(tdata[[#This Row],[id_employee]],temployee[#All],2,0)</f>
        <v>Oktavian Yusuf</v>
      </c>
      <c r="R818" s="2" t="str">
        <f>VLOOKUP(tdata[[#This Row],[id_employee]],temployee[#All],4,0)</f>
        <v>crowd source</v>
      </c>
      <c r="S818" s="9" t="str">
        <f>VLOOKUP(tdata[[#This Row],[id_employee]],temployee[#All],5,0)</f>
        <v>driver</v>
      </c>
    </row>
    <row r="819" spans="2:19" x14ac:dyDescent="0.35">
      <c r="B819" s="8" t="s">
        <v>838</v>
      </c>
      <c r="C819" s="2" t="s">
        <v>1288</v>
      </c>
      <c r="D819" s="5">
        <v>44961</v>
      </c>
      <c r="E819" s="5">
        <f t="shared" ref="E819:E820" si="33">D819+4</f>
        <v>44965</v>
      </c>
      <c r="F819" s="2" t="s">
        <v>30</v>
      </c>
      <c r="G819" s="2" t="s">
        <v>15</v>
      </c>
      <c r="H819" s="2" t="s">
        <v>1223</v>
      </c>
      <c r="I819" s="2" t="s">
        <v>13</v>
      </c>
      <c r="J819" s="2">
        <v>10.43</v>
      </c>
      <c r="K819" s="2" t="str">
        <f t="shared" si="32"/>
        <v>&gt;5kg</v>
      </c>
      <c r="L819" s="2">
        <f>tdata[[#This Row],[Received_date]]-tdata[[#This Row],[Shipment_Date]]</f>
        <v>4</v>
      </c>
      <c r="M819" s="2">
        <f>VLOOKUP(tdata[[#This Row],[Service_Type]],Table2[#All],2,0)</f>
        <v>1</v>
      </c>
      <c r="N819" s="2" t="str">
        <f>IF(tdata[[#This Row],[Delivery_Days]]&lt;=tdata[[#This Row],[SLA_Days]],"On Time","Late")</f>
        <v>Late</v>
      </c>
      <c r="O819" s="2">
        <f>VLOOKUP(tdata[[#This Row],[Service_Type]],Table2[#All],4,0)</f>
        <v>12000</v>
      </c>
      <c r="P819" s="2">
        <f>tdata[[#This Row],[price_per_kilo]]*tdata[[#This Row],[Weight_KG]]</f>
        <v>125160</v>
      </c>
      <c r="Q819" s="2" t="str">
        <f>VLOOKUP(tdata[[#This Row],[id_employee]],temployee[#All],2,0)</f>
        <v>Putri Ayu Lestari</v>
      </c>
      <c r="R819" s="2" t="str">
        <f>VLOOKUP(tdata[[#This Row],[id_employee]],temployee[#All],4,0)</f>
        <v>internal</v>
      </c>
      <c r="S819" s="9" t="str">
        <f>VLOOKUP(tdata[[#This Row],[id_employee]],temployee[#All],5,0)</f>
        <v>rider</v>
      </c>
    </row>
    <row r="820" spans="2:19" x14ac:dyDescent="0.35">
      <c r="B820" s="8" t="s">
        <v>839</v>
      </c>
      <c r="C820" s="2" t="s">
        <v>1289</v>
      </c>
      <c r="D820" s="5">
        <v>45500</v>
      </c>
      <c r="E820" s="5">
        <f t="shared" si="33"/>
        <v>45504</v>
      </c>
      <c r="F820" s="2" t="s">
        <v>32</v>
      </c>
      <c r="G820" s="2" t="s">
        <v>32</v>
      </c>
      <c r="H820" s="2" t="s">
        <v>1224</v>
      </c>
      <c r="I820" s="2" t="s">
        <v>13</v>
      </c>
      <c r="J820" s="2">
        <v>8.34</v>
      </c>
      <c r="K820" s="2" t="str">
        <f t="shared" si="32"/>
        <v>&gt;5kg</v>
      </c>
      <c r="L820" s="2">
        <f>tdata[[#This Row],[Received_date]]-tdata[[#This Row],[Shipment_Date]]</f>
        <v>4</v>
      </c>
      <c r="M820" s="2">
        <f>VLOOKUP(tdata[[#This Row],[Service_Type]],Table2[#All],2,0)</f>
        <v>3</v>
      </c>
      <c r="N820" s="2" t="str">
        <f>IF(tdata[[#This Row],[Delivery_Days]]&lt;=tdata[[#This Row],[SLA_Days]],"On Time","Late")</f>
        <v>Late</v>
      </c>
      <c r="O820" s="2">
        <f>VLOOKUP(tdata[[#This Row],[Service_Type]],Table2[#All],4,0)</f>
        <v>10000</v>
      </c>
      <c r="P820" s="2">
        <f>tdata[[#This Row],[price_per_kilo]]*tdata[[#This Row],[Weight_KG]]</f>
        <v>83400</v>
      </c>
      <c r="Q820" s="2" t="str">
        <f>VLOOKUP(tdata[[#This Row],[id_employee]],temployee[#All],2,0)</f>
        <v>Rafi Maulana</v>
      </c>
      <c r="R820" s="2" t="str">
        <f>VLOOKUP(tdata[[#This Row],[id_employee]],temployee[#All],4,0)</f>
        <v>internal</v>
      </c>
      <c r="S820" s="9" t="str">
        <f>VLOOKUP(tdata[[#This Row],[id_employee]],temployee[#All],5,0)</f>
        <v>rider</v>
      </c>
    </row>
    <row r="821" spans="2:19" x14ac:dyDescent="0.35">
      <c r="B821" s="8" t="s">
        <v>840</v>
      </c>
      <c r="C821" s="2" t="s">
        <v>1290</v>
      </c>
      <c r="D821" s="5">
        <v>45414</v>
      </c>
      <c r="E821" s="5">
        <v>45422</v>
      </c>
      <c r="F821" s="2" t="s">
        <v>16</v>
      </c>
      <c r="G821" s="2" t="s">
        <v>49</v>
      </c>
      <c r="H821" s="2" t="s">
        <v>1223</v>
      </c>
      <c r="I821" s="2" t="s">
        <v>13</v>
      </c>
      <c r="J821" s="2">
        <v>3.18</v>
      </c>
      <c r="K821" s="2" t="str">
        <f t="shared" si="32"/>
        <v>&lt; 5kg</v>
      </c>
      <c r="L821" s="2">
        <f>tdata[[#This Row],[Received_date]]-tdata[[#This Row],[Shipment_Date]]</f>
        <v>8</v>
      </c>
      <c r="M821" s="2">
        <f>VLOOKUP(tdata[[#This Row],[Service_Type]],Table2[#All],2,0)</f>
        <v>1</v>
      </c>
      <c r="N821" s="2" t="str">
        <f>IF(tdata[[#This Row],[Delivery_Days]]&lt;=tdata[[#This Row],[SLA_Days]],"On Time","Late")</f>
        <v>Late</v>
      </c>
      <c r="O821" s="2">
        <f>VLOOKUP(tdata[[#This Row],[Service_Type]],Table2[#All],4,0)</f>
        <v>12000</v>
      </c>
      <c r="P821" s="2">
        <f>tdata[[#This Row],[price_per_kilo]]*tdata[[#This Row],[Weight_KG]]</f>
        <v>38160</v>
      </c>
      <c r="Q821" s="2" t="str">
        <f>VLOOKUP(tdata[[#This Row],[id_employee]],temployee[#All],2,0)</f>
        <v>Sari Puspita</v>
      </c>
      <c r="R821" s="2" t="str">
        <f>VLOOKUP(tdata[[#This Row],[id_employee]],temployee[#All],4,0)</f>
        <v>crowd source</v>
      </c>
      <c r="S821" s="9" t="str">
        <f>VLOOKUP(tdata[[#This Row],[id_employee]],temployee[#All],5,0)</f>
        <v>rider</v>
      </c>
    </row>
    <row r="822" spans="2:19" x14ac:dyDescent="0.35">
      <c r="B822" s="8" t="s">
        <v>841</v>
      </c>
      <c r="C822" s="2" t="s">
        <v>1291</v>
      </c>
      <c r="D822" s="5">
        <v>45231</v>
      </c>
      <c r="E822" s="5">
        <v>45234</v>
      </c>
      <c r="F822" s="2" t="s">
        <v>26</v>
      </c>
      <c r="G822" s="2" t="s">
        <v>12</v>
      </c>
      <c r="H822" s="2" t="s">
        <v>23</v>
      </c>
      <c r="I822" s="2" t="s">
        <v>17</v>
      </c>
      <c r="J822" s="2">
        <v>1.81</v>
      </c>
      <c r="K822" s="2" t="str">
        <f t="shared" si="32"/>
        <v>&lt; 5kg</v>
      </c>
      <c r="L822" s="2">
        <f>tdata[[#This Row],[Received_date]]-tdata[[#This Row],[Shipment_Date]]</f>
        <v>3</v>
      </c>
      <c r="M822" s="2">
        <f>VLOOKUP(tdata[[#This Row],[Service_Type]],Table2[#All],2,0)</f>
        <v>5</v>
      </c>
      <c r="N822" s="2" t="str">
        <f>IF(tdata[[#This Row],[Delivery_Days]]&lt;=tdata[[#This Row],[SLA_Days]],"On Time","Late")</f>
        <v>On Time</v>
      </c>
      <c r="O822" s="2">
        <f>VLOOKUP(tdata[[#This Row],[Service_Type]],Table2[#All],4,0)</f>
        <v>9000</v>
      </c>
      <c r="P822" s="2">
        <f>tdata[[#This Row],[price_per_kilo]]*tdata[[#This Row],[Weight_KG]]</f>
        <v>16290</v>
      </c>
      <c r="Q822" s="2" t="str">
        <f>VLOOKUP(tdata[[#This Row],[id_employee]],temployee[#All],2,0)</f>
        <v>Teguh Wibowo</v>
      </c>
      <c r="R822" s="2" t="str">
        <f>VLOOKUP(tdata[[#This Row],[id_employee]],temployee[#All],4,0)</f>
        <v>internal</v>
      </c>
      <c r="S822" s="9" t="str">
        <f>VLOOKUP(tdata[[#This Row],[id_employee]],temployee[#All],5,0)</f>
        <v>driver</v>
      </c>
    </row>
    <row r="823" spans="2:19" x14ac:dyDescent="0.35">
      <c r="B823" s="8" t="s">
        <v>842</v>
      </c>
      <c r="C823" s="2" t="s">
        <v>1292</v>
      </c>
      <c r="D823" s="5">
        <v>45122</v>
      </c>
      <c r="E823" s="5">
        <v>45125</v>
      </c>
      <c r="F823" s="2" t="s">
        <v>49</v>
      </c>
      <c r="G823" s="2" t="s">
        <v>22</v>
      </c>
      <c r="H823" s="2" t="s">
        <v>1223</v>
      </c>
      <c r="I823" s="2" t="s">
        <v>17</v>
      </c>
      <c r="J823" s="2">
        <v>1.32</v>
      </c>
      <c r="K823" s="2" t="str">
        <f t="shared" si="32"/>
        <v>&lt; 5kg</v>
      </c>
      <c r="L823" s="2">
        <f>tdata[[#This Row],[Received_date]]-tdata[[#This Row],[Shipment_Date]]</f>
        <v>3</v>
      </c>
      <c r="M823" s="2">
        <f>VLOOKUP(tdata[[#This Row],[Service_Type]],Table2[#All],2,0)</f>
        <v>1</v>
      </c>
      <c r="N823" s="2" t="str">
        <f>IF(tdata[[#This Row],[Delivery_Days]]&lt;=tdata[[#This Row],[SLA_Days]],"On Time","Late")</f>
        <v>Late</v>
      </c>
      <c r="O823" s="2">
        <f>VLOOKUP(tdata[[#This Row],[Service_Type]],Table2[#All],4,0)</f>
        <v>12000</v>
      </c>
      <c r="P823" s="2">
        <f>tdata[[#This Row],[price_per_kilo]]*tdata[[#This Row],[Weight_KG]]</f>
        <v>15840</v>
      </c>
      <c r="Q823" s="2" t="str">
        <f>VLOOKUP(tdata[[#This Row],[id_employee]],temployee[#All],2,0)</f>
        <v>Umi Kalsum</v>
      </c>
      <c r="R823" s="2" t="str">
        <f>VLOOKUP(tdata[[#This Row],[id_employee]],temployee[#All],4,0)</f>
        <v>crowd source</v>
      </c>
      <c r="S823" s="9" t="str">
        <f>VLOOKUP(tdata[[#This Row],[id_employee]],temployee[#All],5,0)</f>
        <v>rider</v>
      </c>
    </row>
    <row r="824" spans="2:19" x14ac:dyDescent="0.35">
      <c r="B824" s="8" t="s">
        <v>843</v>
      </c>
      <c r="C824" s="2" t="s">
        <v>1293</v>
      </c>
      <c r="D824" s="5">
        <v>45536</v>
      </c>
      <c r="E824" s="5">
        <f>D824+4</f>
        <v>45540</v>
      </c>
      <c r="F824" s="2" t="s">
        <v>11</v>
      </c>
      <c r="G824" s="2" t="s">
        <v>22</v>
      </c>
      <c r="H824" s="2" t="s">
        <v>23</v>
      </c>
      <c r="I824" s="2" t="s">
        <v>17</v>
      </c>
      <c r="J824" s="2">
        <v>9.85</v>
      </c>
      <c r="K824" s="2" t="str">
        <f t="shared" si="32"/>
        <v>&gt;5kg</v>
      </c>
      <c r="L824" s="2">
        <f>tdata[[#This Row],[Received_date]]-tdata[[#This Row],[Shipment_Date]]</f>
        <v>4</v>
      </c>
      <c r="M824" s="2">
        <f>VLOOKUP(tdata[[#This Row],[Service_Type]],Table2[#All],2,0)</f>
        <v>5</v>
      </c>
      <c r="N824" s="2" t="str">
        <f>IF(tdata[[#This Row],[Delivery_Days]]&lt;=tdata[[#This Row],[SLA_Days]],"On Time","Late")</f>
        <v>On Time</v>
      </c>
      <c r="O824" s="2">
        <f>VLOOKUP(tdata[[#This Row],[Service_Type]],Table2[#All],4,0)</f>
        <v>9000</v>
      </c>
      <c r="P824" s="2">
        <f>tdata[[#This Row],[price_per_kilo]]*tdata[[#This Row],[Weight_KG]]</f>
        <v>88650</v>
      </c>
      <c r="Q824" s="2" t="str">
        <f>VLOOKUP(tdata[[#This Row],[id_employee]],temployee[#All],2,0)</f>
        <v>Vina Oktaviani</v>
      </c>
      <c r="R824" s="2" t="str">
        <f>VLOOKUP(tdata[[#This Row],[id_employee]],temployee[#All],4,0)</f>
        <v>internal</v>
      </c>
      <c r="S824" s="9" t="str">
        <f>VLOOKUP(tdata[[#This Row],[id_employee]],temployee[#All],5,0)</f>
        <v>rider</v>
      </c>
    </row>
    <row r="825" spans="2:19" x14ac:dyDescent="0.35">
      <c r="B825" s="8" t="s">
        <v>844</v>
      </c>
      <c r="C825" s="2" t="s">
        <v>1294</v>
      </c>
      <c r="D825" s="5">
        <v>45138</v>
      </c>
      <c r="E825" s="5">
        <v>45147</v>
      </c>
      <c r="F825" s="2" t="s">
        <v>15</v>
      </c>
      <c r="G825" s="2" t="s">
        <v>32</v>
      </c>
      <c r="H825" s="2" t="s">
        <v>23</v>
      </c>
      <c r="I825" s="2" t="s">
        <v>13</v>
      </c>
      <c r="J825" s="2">
        <v>6.2</v>
      </c>
      <c r="K825" s="2" t="str">
        <f t="shared" si="32"/>
        <v>&gt;5kg</v>
      </c>
      <c r="L825" s="2">
        <f>tdata[[#This Row],[Received_date]]-tdata[[#This Row],[Shipment_Date]]</f>
        <v>9</v>
      </c>
      <c r="M825" s="2">
        <f>VLOOKUP(tdata[[#This Row],[Service_Type]],Table2[#All],2,0)</f>
        <v>5</v>
      </c>
      <c r="N825" s="2" t="str">
        <f>IF(tdata[[#This Row],[Delivery_Days]]&lt;=tdata[[#This Row],[SLA_Days]],"On Time","Late")</f>
        <v>Late</v>
      </c>
      <c r="O825" s="2">
        <f>VLOOKUP(tdata[[#This Row],[Service_Type]],Table2[#All],4,0)</f>
        <v>9000</v>
      </c>
      <c r="P825" s="2">
        <f>tdata[[#This Row],[price_per_kilo]]*tdata[[#This Row],[Weight_KG]]</f>
        <v>55800</v>
      </c>
      <c r="Q825" s="2" t="str">
        <f>VLOOKUP(tdata[[#This Row],[id_employee]],temployee[#All],2,0)</f>
        <v>Wahyu Setiawan</v>
      </c>
      <c r="R825" s="2" t="str">
        <f>VLOOKUP(tdata[[#This Row],[id_employee]],temployee[#All],4,0)</f>
        <v>crowd source</v>
      </c>
      <c r="S825" s="9" t="str">
        <f>VLOOKUP(tdata[[#This Row],[id_employee]],temployee[#All],5,0)</f>
        <v>driver</v>
      </c>
    </row>
    <row r="826" spans="2:19" x14ac:dyDescent="0.35">
      <c r="B826" s="8" t="s">
        <v>845</v>
      </c>
      <c r="C826" s="2" t="s">
        <v>1295</v>
      </c>
      <c r="D826" s="5">
        <v>45643</v>
      </c>
      <c r="E826" s="5">
        <v>45649</v>
      </c>
      <c r="F826" s="2" t="s">
        <v>20</v>
      </c>
      <c r="G826" s="2" t="s">
        <v>30</v>
      </c>
      <c r="H826" s="2" t="s">
        <v>1224</v>
      </c>
      <c r="I826" s="2" t="s">
        <v>17</v>
      </c>
      <c r="J826" s="2">
        <v>8.57</v>
      </c>
      <c r="K826" s="2" t="str">
        <f t="shared" si="32"/>
        <v>&gt;5kg</v>
      </c>
      <c r="L826" s="2">
        <f>tdata[[#This Row],[Received_date]]-tdata[[#This Row],[Shipment_Date]]</f>
        <v>6</v>
      </c>
      <c r="M826" s="2">
        <f>VLOOKUP(tdata[[#This Row],[Service_Type]],Table2[#All],2,0)</f>
        <v>3</v>
      </c>
      <c r="N826" s="2" t="str">
        <f>IF(tdata[[#This Row],[Delivery_Days]]&lt;=tdata[[#This Row],[SLA_Days]],"On Time","Late")</f>
        <v>Late</v>
      </c>
      <c r="O826" s="2">
        <f>VLOOKUP(tdata[[#This Row],[Service_Type]],Table2[#All],4,0)</f>
        <v>10000</v>
      </c>
      <c r="P826" s="2">
        <f>tdata[[#This Row],[price_per_kilo]]*tdata[[#This Row],[Weight_KG]]</f>
        <v>85700</v>
      </c>
      <c r="Q826" s="2" t="str">
        <f>VLOOKUP(tdata[[#This Row],[id_employee]],temployee[#All],2,0)</f>
        <v>Yogi Firmansyah</v>
      </c>
      <c r="R826" s="2" t="str">
        <f>VLOOKUP(tdata[[#This Row],[id_employee]],temployee[#All],4,0)</f>
        <v>internal</v>
      </c>
      <c r="S826" s="9" t="str">
        <f>VLOOKUP(tdata[[#This Row],[id_employee]],temployee[#All],5,0)</f>
        <v>driver</v>
      </c>
    </row>
    <row r="827" spans="2:19" x14ac:dyDescent="0.35">
      <c r="B827" s="8" t="s">
        <v>846</v>
      </c>
      <c r="C827" s="2" t="s">
        <v>1296</v>
      </c>
      <c r="D827" s="5">
        <v>45552</v>
      </c>
      <c r="E827" s="5">
        <v>45552</v>
      </c>
      <c r="F827" s="2" t="s">
        <v>22</v>
      </c>
      <c r="G827" s="2" t="s">
        <v>22</v>
      </c>
      <c r="H827" s="2" t="s">
        <v>1224</v>
      </c>
      <c r="I827" s="2" t="s">
        <v>13</v>
      </c>
      <c r="J827" s="2">
        <v>0.96</v>
      </c>
      <c r="K827" s="2" t="str">
        <f t="shared" si="32"/>
        <v>&lt; 5kg</v>
      </c>
      <c r="L827" s="2">
        <f>tdata[[#This Row],[Received_date]]-tdata[[#This Row],[Shipment_Date]]</f>
        <v>0</v>
      </c>
      <c r="M827" s="2">
        <f>VLOOKUP(tdata[[#This Row],[Service_Type]],Table2[#All],2,0)</f>
        <v>3</v>
      </c>
      <c r="N827" s="2" t="str">
        <f>IF(tdata[[#This Row],[Delivery_Days]]&lt;=tdata[[#This Row],[SLA_Days]],"On Time","Late")</f>
        <v>On Time</v>
      </c>
      <c r="O827" s="2">
        <f>VLOOKUP(tdata[[#This Row],[Service_Type]],Table2[#All],4,0)</f>
        <v>10000</v>
      </c>
      <c r="P827" s="2">
        <f>tdata[[#This Row],[price_per_kilo]]*tdata[[#This Row],[Weight_KG]]</f>
        <v>9600</v>
      </c>
      <c r="Q827" s="2" t="str">
        <f>VLOOKUP(tdata[[#This Row],[id_employee]],temployee[#All],2,0)</f>
        <v>Zainal Abidin</v>
      </c>
      <c r="R827" s="2" t="str">
        <f>VLOOKUP(tdata[[#This Row],[id_employee]],temployee[#All],4,0)</f>
        <v>crowd source</v>
      </c>
      <c r="S827" s="9" t="str">
        <f>VLOOKUP(tdata[[#This Row],[id_employee]],temployee[#All],5,0)</f>
        <v>driver</v>
      </c>
    </row>
    <row r="828" spans="2:19" x14ac:dyDescent="0.35">
      <c r="B828" s="8" t="s">
        <v>847</v>
      </c>
      <c r="C828" s="2" t="s">
        <v>1297</v>
      </c>
      <c r="D828" s="5">
        <v>45607</v>
      </c>
      <c r="E828" s="5">
        <v>45607</v>
      </c>
      <c r="F828" s="2" t="s">
        <v>12</v>
      </c>
      <c r="G828" s="2" t="s">
        <v>26</v>
      </c>
      <c r="H828" s="2" t="s">
        <v>1223</v>
      </c>
      <c r="I828" s="2" t="s">
        <v>17</v>
      </c>
      <c r="J828" s="2">
        <v>3.71</v>
      </c>
      <c r="K828" s="2" t="str">
        <f t="shared" si="32"/>
        <v>&lt; 5kg</v>
      </c>
      <c r="L828" s="2">
        <f>tdata[[#This Row],[Received_date]]-tdata[[#This Row],[Shipment_Date]]</f>
        <v>0</v>
      </c>
      <c r="M828" s="2">
        <f>VLOOKUP(tdata[[#This Row],[Service_Type]],Table2[#All],2,0)</f>
        <v>1</v>
      </c>
      <c r="N828" s="2" t="str">
        <f>IF(tdata[[#This Row],[Delivery_Days]]&lt;=tdata[[#This Row],[SLA_Days]],"On Time","Late")</f>
        <v>On Time</v>
      </c>
      <c r="O828" s="2">
        <f>VLOOKUP(tdata[[#This Row],[Service_Type]],Table2[#All],4,0)</f>
        <v>12000</v>
      </c>
      <c r="P828" s="2">
        <f>tdata[[#This Row],[price_per_kilo]]*tdata[[#This Row],[Weight_KG]]</f>
        <v>44520</v>
      </c>
      <c r="Q828" s="2" t="str">
        <f>VLOOKUP(tdata[[#This Row],[id_employee]],temployee[#All],2,0)</f>
        <v>Ahmad Fauzi</v>
      </c>
      <c r="R828" s="2" t="str">
        <f>VLOOKUP(tdata[[#This Row],[id_employee]],temployee[#All],4,0)</f>
        <v>internal</v>
      </c>
      <c r="S828" s="9" t="str">
        <f>VLOOKUP(tdata[[#This Row],[id_employee]],temployee[#All],5,0)</f>
        <v>rider</v>
      </c>
    </row>
    <row r="829" spans="2:19" x14ac:dyDescent="0.35">
      <c r="B829" s="8" t="s">
        <v>848</v>
      </c>
      <c r="C829" s="2" t="s">
        <v>1298</v>
      </c>
      <c r="D829" s="5">
        <v>45642</v>
      </c>
      <c r="E829" s="5">
        <v>45647</v>
      </c>
      <c r="F829" s="2" t="s">
        <v>30</v>
      </c>
      <c r="G829" s="2" t="s">
        <v>30</v>
      </c>
      <c r="H829" s="2" t="s">
        <v>1223</v>
      </c>
      <c r="I829" s="2" t="s">
        <v>17</v>
      </c>
      <c r="J829" s="2">
        <v>1.25</v>
      </c>
      <c r="K829" s="2" t="str">
        <f t="shared" si="32"/>
        <v>&lt; 5kg</v>
      </c>
      <c r="L829" s="2">
        <f>tdata[[#This Row],[Received_date]]-tdata[[#This Row],[Shipment_Date]]</f>
        <v>5</v>
      </c>
      <c r="M829" s="2">
        <f>VLOOKUP(tdata[[#This Row],[Service_Type]],Table2[#All],2,0)</f>
        <v>1</v>
      </c>
      <c r="N829" s="2" t="str">
        <f>IF(tdata[[#This Row],[Delivery_Days]]&lt;=tdata[[#This Row],[SLA_Days]],"On Time","Late")</f>
        <v>Late</v>
      </c>
      <c r="O829" s="2">
        <f>VLOOKUP(tdata[[#This Row],[Service_Type]],Table2[#All],4,0)</f>
        <v>12000</v>
      </c>
      <c r="P829" s="2">
        <f>tdata[[#This Row],[price_per_kilo]]*tdata[[#This Row],[Weight_KG]]</f>
        <v>15000</v>
      </c>
      <c r="Q829" s="2" t="str">
        <f>VLOOKUP(tdata[[#This Row],[id_employee]],temployee[#All],2,0)</f>
        <v>Bayu Ramadhan</v>
      </c>
      <c r="R829" s="2" t="str">
        <f>VLOOKUP(tdata[[#This Row],[id_employee]],temployee[#All],4,0)</f>
        <v>crowd source</v>
      </c>
      <c r="S829" s="9" t="str">
        <f>VLOOKUP(tdata[[#This Row],[id_employee]],temployee[#All],5,0)</f>
        <v>rider</v>
      </c>
    </row>
    <row r="830" spans="2:19" x14ac:dyDescent="0.35">
      <c r="B830" s="8" t="s">
        <v>849</v>
      </c>
      <c r="C830" s="2" t="s">
        <v>1299</v>
      </c>
      <c r="D830" s="5">
        <v>45284</v>
      </c>
      <c r="E830" s="5">
        <v>45293</v>
      </c>
      <c r="F830" s="2" t="s">
        <v>32</v>
      </c>
      <c r="G830" s="2" t="s">
        <v>22</v>
      </c>
      <c r="H830" s="2" t="s">
        <v>1223</v>
      </c>
      <c r="I830" s="2" t="s">
        <v>17</v>
      </c>
      <c r="J830" s="2">
        <v>8.08</v>
      </c>
      <c r="K830" s="2" t="str">
        <f t="shared" si="32"/>
        <v>&gt;5kg</v>
      </c>
      <c r="L830" s="2">
        <f>tdata[[#This Row],[Received_date]]-tdata[[#This Row],[Shipment_Date]]</f>
        <v>9</v>
      </c>
      <c r="M830" s="2">
        <f>VLOOKUP(tdata[[#This Row],[Service_Type]],Table2[#All],2,0)</f>
        <v>1</v>
      </c>
      <c r="N830" s="2" t="str">
        <f>IF(tdata[[#This Row],[Delivery_Days]]&lt;=tdata[[#This Row],[SLA_Days]],"On Time","Late")</f>
        <v>Late</v>
      </c>
      <c r="O830" s="2">
        <f>VLOOKUP(tdata[[#This Row],[Service_Type]],Table2[#All],4,0)</f>
        <v>12000</v>
      </c>
      <c r="P830" s="2">
        <f>tdata[[#This Row],[price_per_kilo]]*tdata[[#This Row],[Weight_KG]]</f>
        <v>96960</v>
      </c>
      <c r="Q830" s="2" t="str">
        <f>VLOOKUP(tdata[[#This Row],[id_employee]],temployee[#All],2,0)</f>
        <v>Cindy Oktavia</v>
      </c>
      <c r="R830" s="2" t="str">
        <f>VLOOKUP(tdata[[#This Row],[id_employee]],temployee[#All],4,0)</f>
        <v>internal</v>
      </c>
      <c r="S830" s="9" t="str">
        <f>VLOOKUP(tdata[[#This Row],[id_employee]],temployee[#All],5,0)</f>
        <v>rider</v>
      </c>
    </row>
    <row r="831" spans="2:19" x14ac:dyDescent="0.35">
      <c r="B831" s="8" t="s">
        <v>850</v>
      </c>
      <c r="C831" s="2" t="s">
        <v>1300</v>
      </c>
      <c r="D831" s="5">
        <v>44979</v>
      </c>
      <c r="E831" s="5">
        <v>44981</v>
      </c>
      <c r="F831" s="2" t="s">
        <v>16</v>
      </c>
      <c r="G831" s="2" t="s">
        <v>12</v>
      </c>
      <c r="H831" s="2" t="s">
        <v>1224</v>
      </c>
      <c r="I831" s="2" t="s">
        <v>13</v>
      </c>
      <c r="J831" s="2">
        <v>0.65</v>
      </c>
      <c r="K831" s="2" t="str">
        <f t="shared" si="32"/>
        <v>&lt; 5kg</v>
      </c>
      <c r="L831" s="2">
        <f>tdata[[#This Row],[Received_date]]-tdata[[#This Row],[Shipment_Date]]</f>
        <v>2</v>
      </c>
      <c r="M831" s="2">
        <f>VLOOKUP(tdata[[#This Row],[Service_Type]],Table2[#All],2,0)</f>
        <v>3</v>
      </c>
      <c r="N831" s="2" t="str">
        <f>IF(tdata[[#This Row],[Delivery_Days]]&lt;=tdata[[#This Row],[SLA_Days]],"On Time","Late")</f>
        <v>On Time</v>
      </c>
      <c r="O831" s="2">
        <f>VLOOKUP(tdata[[#This Row],[Service_Type]],Table2[#All],4,0)</f>
        <v>10000</v>
      </c>
      <c r="P831" s="2">
        <f>tdata[[#This Row],[price_per_kilo]]*tdata[[#This Row],[Weight_KG]]</f>
        <v>6500</v>
      </c>
      <c r="Q831" s="2" t="str">
        <f>VLOOKUP(tdata[[#This Row],[id_employee]],temployee[#All],2,0)</f>
        <v>Dian Pramudya</v>
      </c>
      <c r="R831" s="2" t="str">
        <f>VLOOKUP(tdata[[#This Row],[id_employee]],temployee[#All],4,0)</f>
        <v>crowd source</v>
      </c>
      <c r="S831" s="9" t="str">
        <f>VLOOKUP(tdata[[#This Row],[id_employee]],temployee[#All],5,0)</f>
        <v>driver</v>
      </c>
    </row>
    <row r="832" spans="2:19" x14ac:dyDescent="0.35">
      <c r="B832" s="8" t="s">
        <v>851</v>
      </c>
      <c r="C832" s="2" t="s">
        <v>1301</v>
      </c>
      <c r="D832" s="5">
        <v>45090</v>
      </c>
      <c r="E832" s="5">
        <v>45092</v>
      </c>
      <c r="F832" s="2" t="s">
        <v>26</v>
      </c>
      <c r="G832" s="2" t="s">
        <v>22</v>
      </c>
      <c r="H832" s="2" t="s">
        <v>1224</v>
      </c>
      <c r="I832" s="2" t="s">
        <v>17</v>
      </c>
      <c r="J832" s="2">
        <v>7.36</v>
      </c>
      <c r="K832" s="2" t="str">
        <f t="shared" si="32"/>
        <v>&gt;5kg</v>
      </c>
      <c r="L832" s="2">
        <f>tdata[[#This Row],[Received_date]]-tdata[[#This Row],[Shipment_Date]]</f>
        <v>2</v>
      </c>
      <c r="M832" s="2">
        <f>VLOOKUP(tdata[[#This Row],[Service_Type]],Table2[#All],2,0)</f>
        <v>3</v>
      </c>
      <c r="N832" s="2" t="str">
        <f>IF(tdata[[#This Row],[Delivery_Days]]&lt;=tdata[[#This Row],[SLA_Days]],"On Time","Late")</f>
        <v>On Time</v>
      </c>
      <c r="O832" s="2">
        <f>VLOOKUP(tdata[[#This Row],[Service_Type]],Table2[#All],4,0)</f>
        <v>10000</v>
      </c>
      <c r="P832" s="2">
        <f>tdata[[#This Row],[price_per_kilo]]*tdata[[#This Row],[Weight_KG]]</f>
        <v>73600</v>
      </c>
      <c r="Q832" s="2" t="str">
        <f>VLOOKUP(tdata[[#This Row],[id_employee]],temployee[#All],2,0)</f>
        <v>Erwin Kurniawan</v>
      </c>
      <c r="R832" s="2" t="str">
        <f>VLOOKUP(tdata[[#This Row],[id_employee]],temployee[#All],4,0)</f>
        <v>internal</v>
      </c>
      <c r="S832" s="9" t="str">
        <f>VLOOKUP(tdata[[#This Row],[id_employee]],temployee[#All],5,0)</f>
        <v>driver</v>
      </c>
    </row>
    <row r="833" spans="2:19" x14ac:dyDescent="0.35">
      <c r="B833" s="8" t="s">
        <v>852</v>
      </c>
      <c r="C833" s="2" t="s">
        <v>1302</v>
      </c>
      <c r="D833" s="5">
        <v>45621</v>
      </c>
      <c r="E833" s="5">
        <f>D833+4</f>
        <v>45625</v>
      </c>
      <c r="F833" s="2" t="s">
        <v>49</v>
      </c>
      <c r="G833" s="2" t="s">
        <v>30</v>
      </c>
      <c r="H833" s="2" t="s">
        <v>1224</v>
      </c>
      <c r="I833" s="2" t="s">
        <v>17</v>
      </c>
      <c r="J833" s="2">
        <v>8.6999999999999993</v>
      </c>
      <c r="K833" s="2" t="str">
        <f t="shared" si="32"/>
        <v>&gt;5kg</v>
      </c>
      <c r="L833" s="2">
        <f>tdata[[#This Row],[Received_date]]-tdata[[#This Row],[Shipment_Date]]</f>
        <v>4</v>
      </c>
      <c r="M833" s="2">
        <f>VLOOKUP(tdata[[#This Row],[Service_Type]],Table2[#All],2,0)</f>
        <v>3</v>
      </c>
      <c r="N833" s="2" t="str">
        <f>IF(tdata[[#This Row],[Delivery_Days]]&lt;=tdata[[#This Row],[SLA_Days]],"On Time","Late")</f>
        <v>Late</v>
      </c>
      <c r="O833" s="2">
        <f>VLOOKUP(tdata[[#This Row],[Service_Type]],Table2[#All],4,0)</f>
        <v>10000</v>
      </c>
      <c r="P833" s="2">
        <f>tdata[[#This Row],[price_per_kilo]]*tdata[[#This Row],[Weight_KG]]</f>
        <v>87000</v>
      </c>
      <c r="Q833" s="2" t="str">
        <f>VLOOKUP(tdata[[#This Row],[id_employee]],temployee[#All],2,0)</f>
        <v>Fitri Handayani</v>
      </c>
      <c r="R833" s="2" t="str">
        <f>VLOOKUP(tdata[[#This Row],[id_employee]],temployee[#All],4,0)</f>
        <v>crowd source</v>
      </c>
      <c r="S833" s="9" t="str">
        <f>VLOOKUP(tdata[[#This Row],[id_employee]],temployee[#All],5,0)</f>
        <v>rider</v>
      </c>
    </row>
    <row r="834" spans="2:19" x14ac:dyDescent="0.35">
      <c r="B834" s="8" t="s">
        <v>853</v>
      </c>
      <c r="C834" s="2" t="s">
        <v>1303</v>
      </c>
      <c r="D834" s="5">
        <v>45554</v>
      </c>
      <c r="E834" s="5">
        <v>45565</v>
      </c>
      <c r="F834" s="2" t="s">
        <v>11</v>
      </c>
      <c r="G834" s="2" t="s">
        <v>12</v>
      </c>
      <c r="H834" s="2" t="s">
        <v>1224</v>
      </c>
      <c r="I834" s="2" t="s">
        <v>13</v>
      </c>
      <c r="J834" s="2">
        <v>9.2200000000000006</v>
      </c>
      <c r="K834" s="2" t="str">
        <f t="shared" si="32"/>
        <v>&gt;5kg</v>
      </c>
      <c r="L834" s="2">
        <f>tdata[[#This Row],[Received_date]]-tdata[[#This Row],[Shipment_Date]]</f>
        <v>11</v>
      </c>
      <c r="M834" s="2">
        <f>VLOOKUP(tdata[[#This Row],[Service_Type]],Table2[#All],2,0)</f>
        <v>3</v>
      </c>
      <c r="N834" s="2" t="str">
        <f>IF(tdata[[#This Row],[Delivery_Days]]&lt;=tdata[[#This Row],[SLA_Days]],"On Time","Late")</f>
        <v>Late</v>
      </c>
      <c r="O834" s="2">
        <f>VLOOKUP(tdata[[#This Row],[Service_Type]],Table2[#All],4,0)</f>
        <v>10000</v>
      </c>
      <c r="P834" s="2">
        <f>tdata[[#This Row],[price_per_kilo]]*tdata[[#This Row],[Weight_KG]]</f>
        <v>92200</v>
      </c>
      <c r="Q834" s="2" t="str">
        <f>VLOOKUP(tdata[[#This Row],[id_employee]],temployee[#All],2,0)</f>
        <v>Gilang Saputra</v>
      </c>
      <c r="R834" s="2" t="str">
        <f>VLOOKUP(tdata[[#This Row],[id_employee]],temployee[#All],4,0)</f>
        <v>internal</v>
      </c>
      <c r="S834" s="9" t="str">
        <f>VLOOKUP(tdata[[#This Row],[id_employee]],temployee[#All],5,0)</f>
        <v>rider</v>
      </c>
    </row>
    <row r="835" spans="2:19" x14ac:dyDescent="0.35">
      <c r="B835" s="8" t="s">
        <v>854</v>
      </c>
      <c r="C835" s="2" t="s">
        <v>1304</v>
      </c>
      <c r="D835" s="5">
        <v>45378</v>
      </c>
      <c r="E835" s="5">
        <v>45379</v>
      </c>
      <c r="F835" s="2" t="s">
        <v>15</v>
      </c>
      <c r="G835" s="2" t="s">
        <v>11</v>
      </c>
      <c r="H835" s="2" t="s">
        <v>1223</v>
      </c>
      <c r="I835" s="2" t="s">
        <v>13</v>
      </c>
      <c r="J835" s="2">
        <v>2.87</v>
      </c>
      <c r="K835" s="2" t="str">
        <f t="shared" si="32"/>
        <v>&lt; 5kg</v>
      </c>
      <c r="L835" s="2">
        <f>tdata[[#This Row],[Received_date]]-tdata[[#This Row],[Shipment_Date]]</f>
        <v>1</v>
      </c>
      <c r="M835" s="2">
        <f>VLOOKUP(tdata[[#This Row],[Service_Type]],Table2[#All],2,0)</f>
        <v>1</v>
      </c>
      <c r="N835" s="2" t="str">
        <f>IF(tdata[[#This Row],[Delivery_Days]]&lt;=tdata[[#This Row],[SLA_Days]],"On Time","Late")</f>
        <v>On Time</v>
      </c>
      <c r="O835" s="2">
        <f>VLOOKUP(tdata[[#This Row],[Service_Type]],Table2[#All],4,0)</f>
        <v>12000</v>
      </c>
      <c r="P835" s="2">
        <f>tdata[[#This Row],[price_per_kilo]]*tdata[[#This Row],[Weight_KG]]</f>
        <v>34440</v>
      </c>
      <c r="Q835" s="2" t="str">
        <f>VLOOKUP(tdata[[#This Row],[id_employee]],temployee[#All],2,0)</f>
        <v>Hariyanto</v>
      </c>
      <c r="R835" s="2" t="str">
        <f>VLOOKUP(tdata[[#This Row],[id_employee]],temployee[#All],4,0)</f>
        <v>crowd source</v>
      </c>
      <c r="S835" s="9" t="str">
        <f>VLOOKUP(tdata[[#This Row],[id_employee]],temployee[#All],5,0)</f>
        <v>driver</v>
      </c>
    </row>
    <row r="836" spans="2:19" x14ac:dyDescent="0.35">
      <c r="B836" s="8" t="s">
        <v>855</v>
      </c>
      <c r="C836" s="2" t="s">
        <v>1305</v>
      </c>
      <c r="D836" s="5">
        <v>45199</v>
      </c>
      <c r="E836" s="5">
        <v>45203</v>
      </c>
      <c r="F836" s="2" t="s">
        <v>20</v>
      </c>
      <c r="G836" s="2" t="s">
        <v>32</v>
      </c>
      <c r="H836" s="2" t="s">
        <v>23</v>
      </c>
      <c r="I836" s="2" t="s">
        <v>17</v>
      </c>
      <c r="J836" s="2">
        <v>1.34</v>
      </c>
      <c r="K836" s="2" t="str">
        <f t="shared" si="32"/>
        <v>&lt; 5kg</v>
      </c>
      <c r="L836" s="2">
        <f>tdata[[#This Row],[Received_date]]-tdata[[#This Row],[Shipment_Date]]</f>
        <v>4</v>
      </c>
      <c r="M836" s="2">
        <f>VLOOKUP(tdata[[#This Row],[Service_Type]],Table2[#All],2,0)</f>
        <v>5</v>
      </c>
      <c r="N836" s="2" t="str">
        <f>IF(tdata[[#This Row],[Delivery_Days]]&lt;=tdata[[#This Row],[SLA_Days]],"On Time","Late")</f>
        <v>On Time</v>
      </c>
      <c r="O836" s="2">
        <f>VLOOKUP(tdata[[#This Row],[Service_Type]],Table2[#All],4,0)</f>
        <v>9000</v>
      </c>
      <c r="P836" s="2">
        <f>tdata[[#This Row],[price_per_kilo]]*tdata[[#This Row],[Weight_KG]]</f>
        <v>12060</v>
      </c>
      <c r="Q836" s="2" t="str">
        <f>VLOOKUP(tdata[[#This Row],[id_employee]],temployee[#All],2,0)</f>
        <v>Intan Maharani</v>
      </c>
      <c r="R836" s="2" t="str">
        <f>VLOOKUP(tdata[[#This Row],[id_employee]],temployee[#All],4,0)</f>
        <v>internal</v>
      </c>
      <c r="S836" s="9" t="str">
        <f>VLOOKUP(tdata[[#This Row],[id_employee]],temployee[#All],5,0)</f>
        <v>rider</v>
      </c>
    </row>
    <row r="837" spans="2:19" x14ac:dyDescent="0.35">
      <c r="B837" s="8" t="s">
        <v>856</v>
      </c>
      <c r="C837" s="2" t="s">
        <v>1306</v>
      </c>
      <c r="D837" s="5">
        <v>45165</v>
      </c>
      <c r="E837" s="5">
        <v>45167</v>
      </c>
      <c r="F837" s="2" t="s">
        <v>22</v>
      </c>
      <c r="G837" s="2" t="s">
        <v>26</v>
      </c>
      <c r="H837" s="2" t="s">
        <v>1224</v>
      </c>
      <c r="I837" s="2" t="s">
        <v>17</v>
      </c>
      <c r="J837" s="2">
        <v>2.2400000000000002</v>
      </c>
      <c r="K837" s="2" t="str">
        <f t="shared" ref="K837:K900" si="34">IF(J837&lt;5,"&lt; 5kg", "&gt;5kg")</f>
        <v>&lt; 5kg</v>
      </c>
      <c r="L837" s="2">
        <f>tdata[[#This Row],[Received_date]]-tdata[[#This Row],[Shipment_Date]]</f>
        <v>2</v>
      </c>
      <c r="M837" s="2">
        <f>VLOOKUP(tdata[[#This Row],[Service_Type]],Table2[#All],2,0)</f>
        <v>3</v>
      </c>
      <c r="N837" s="2" t="str">
        <f>IF(tdata[[#This Row],[Delivery_Days]]&lt;=tdata[[#This Row],[SLA_Days]],"On Time","Late")</f>
        <v>On Time</v>
      </c>
      <c r="O837" s="2">
        <f>VLOOKUP(tdata[[#This Row],[Service_Type]],Table2[#All],4,0)</f>
        <v>10000</v>
      </c>
      <c r="P837" s="2">
        <f>tdata[[#This Row],[price_per_kilo]]*tdata[[#This Row],[Weight_KG]]</f>
        <v>22400.000000000004</v>
      </c>
      <c r="Q837" s="2" t="str">
        <f>VLOOKUP(tdata[[#This Row],[id_employee]],temployee[#All],2,0)</f>
        <v>Jefri Alamsyah</v>
      </c>
      <c r="R837" s="2" t="str">
        <f>VLOOKUP(tdata[[#This Row],[id_employee]],temployee[#All],4,0)</f>
        <v>internal</v>
      </c>
      <c r="S837" s="9" t="str">
        <f>VLOOKUP(tdata[[#This Row],[id_employee]],temployee[#All],5,0)</f>
        <v>driver</v>
      </c>
    </row>
    <row r="838" spans="2:19" x14ac:dyDescent="0.35">
      <c r="B838" s="8" t="s">
        <v>857</v>
      </c>
      <c r="C838" s="2" t="s">
        <v>1307</v>
      </c>
      <c r="D838" s="5">
        <v>45387</v>
      </c>
      <c r="E838" s="5">
        <v>45396</v>
      </c>
      <c r="F838" s="2" t="s">
        <v>12</v>
      </c>
      <c r="G838" s="2" t="s">
        <v>26</v>
      </c>
      <c r="H838" s="2" t="s">
        <v>1224</v>
      </c>
      <c r="I838" s="2" t="s">
        <v>13</v>
      </c>
      <c r="J838" s="2">
        <v>3.03</v>
      </c>
      <c r="K838" s="2" t="str">
        <f t="shared" si="34"/>
        <v>&lt; 5kg</v>
      </c>
      <c r="L838" s="2">
        <f>tdata[[#This Row],[Received_date]]-tdata[[#This Row],[Shipment_Date]]</f>
        <v>9</v>
      </c>
      <c r="M838" s="2">
        <f>VLOOKUP(tdata[[#This Row],[Service_Type]],Table2[#All],2,0)</f>
        <v>3</v>
      </c>
      <c r="N838" s="2" t="str">
        <f>IF(tdata[[#This Row],[Delivery_Days]]&lt;=tdata[[#This Row],[SLA_Days]],"On Time","Late")</f>
        <v>Late</v>
      </c>
      <c r="O838" s="2">
        <f>VLOOKUP(tdata[[#This Row],[Service_Type]],Table2[#All],4,0)</f>
        <v>10000</v>
      </c>
      <c r="P838" s="2">
        <f>tdata[[#This Row],[price_per_kilo]]*tdata[[#This Row],[Weight_KG]]</f>
        <v>30299.999999999996</v>
      </c>
      <c r="Q838" s="2" t="str">
        <f>VLOOKUP(tdata[[#This Row],[id_employee]],temployee[#All],2,0)</f>
        <v>Kartika Sari</v>
      </c>
      <c r="R838" s="2" t="str">
        <f>VLOOKUP(tdata[[#This Row],[id_employee]],temployee[#All],4,0)</f>
        <v>crowd source</v>
      </c>
      <c r="S838" s="9" t="str">
        <f>VLOOKUP(tdata[[#This Row],[id_employee]],temployee[#All],5,0)</f>
        <v>rider</v>
      </c>
    </row>
    <row r="839" spans="2:19" x14ac:dyDescent="0.35">
      <c r="B839" s="8" t="s">
        <v>858</v>
      </c>
      <c r="C839" s="2" t="s">
        <v>1308</v>
      </c>
      <c r="D839" s="5">
        <v>45508</v>
      </c>
      <c r="E839" s="5">
        <v>45509</v>
      </c>
      <c r="F839" s="2" t="s">
        <v>30</v>
      </c>
      <c r="G839" s="2" t="s">
        <v>15</v>
      </c>
      <c r="H839" s="2" t="s">
        <v>1224</v>
      </c>
      <c r="I839" s="2" t="s">
        <v>13</v>
      </c>
      <c r="J839" s="2">
        <v>6.63</v>
      </c>
      <c r="K839" s="2" t="str">
        <f t="shared" si="34"/>
        <v>&gt;5kg</v>
      </c>
      <c r="L839" s="2">
        <f>tdata[[#This Row],[Received_date]]-tdata[[#This Row],[Shipment_Date]]</f>
        <v>1</v>
      </c>
      <c r="M839" s="2">
        <f>VLOOKUP(tdata[[#This Row],[Service_Type]],Table2[#All],2,0)</f>
        <v>3</v>
      </c>
      <c r="N839" s="2" t="str">
        <f>IF(tdata[[#This Row],[Delivery_Days]]&lt;=tdata[[#This Row],[SLA_Days]],"On Time","Late")</f>
        <v>On Time</v>
      </c>
      <c r="O839" s="2">
        <f>VLOOKUP(tdata[[#This Row],[Service_Type]],Table2[#All],4,0)</f>
        <v>10000</v>
      </c>
      <c r="P839" s="2">
        <f>tdata[[#This Row],[price_per_kilo]]*tdata[[#This Row],[Weight_KG]]</f>
        <v>66300</v>
      </c>
      <c r="Q839" s="2" t="str">
        <f>VLOOKUP(tdata[[#This Row],[id_employee]],temployee[#All],2,0)</f>
        <v>Lukman Hakim</v>
      </c>
      <c r="R839" s="2" t="str">
        <f>VLOOKUP(tdata[[#This Row],[id_employee]],temployee[#All],4,0)</f>
        <v>internal</v>
      </c>
      <c r="S839" s="9" t="str">
        <f>VLOOKUP(tdata[[#This Row],[id_employee]],temployee[#All],5,0)</f>
        <v>driver</v>
      </c>
    </row>
    <row r="840" spans="2:19" x14ac:dyDescent="0.35">
      <c r="B840" s="8" t="s">
        <v>859</v>
      </c>
      <c r="C840" s="2" t="s">
        <v>1309</v>
      </c>
      <c r="D840" s="5">
        <v>45422</v>
      </c>
      <c r="E840" s="5">
        <f>D840+4</f>
        <v>45426</v>
      </c>
      <c r="F840" s="2" t="s">
        <v>32</v>
      </c>
      <c r="G840" s="2" t="s">
        <v>22</v>
      </c>
      <c r="H840" s="2" t="s">
        <v>1224</v>
      </c>
      <c r="I840" s="2" t="s">
        <v>13</v>
      </c>
      <c r="J840" s="2">
        <v>7.97</v>
      </c>
      <c r="K840" s="2" t="str">
        <f t="shared" si="34"/>
        <v>&gt;5kg</v>
      </c>
      <c r="L840" s="2">
        <f>tdata[[#This Row],[Received_date]]-tdata[[#This Row],[Shipment_Date]]</f>
        <v>4</v>
      </c>
      <c r="M840" s="2">
        <f>VLOOKUP(tdata[[#This Row],[Service_Type]],Table2[#All],2,0)</f>
        <v>3</v>
      </c>
      <c r="N840" s="2" t="str">
        <f>IF(tdata[[#This Row],[Delivery_Days]]&lt;=tdata[[#This Row],[SLA_Days]],"On Time","Late")</f>
        <v>Late</v>
      </c>
      <c r="O840" s="2">
        <f>VLOOKUP(tdata[[#This Row],[Service_Type]],Table2[#All],4,0)</f>
        <v>10000</v>
      </c>
      <c r="P840" s="2">
        <f>tdata[[#This Row],[price_per_kilo]]*tdata[[#This Row],[Weight_KG]]</f>
        <v>79700</v>
      </c>
      <c r="Q840" s="2" t="str">
        <f>VLOOKUP(tdata[[#This Row],[id_employee]],temployee[#All],2,0)</f>
        <v>Mega Puspitasari</v>
      </c>
      <c r="R840" s="2" t="str">
        <f>VLOOKUP(tdata[[#This Row],[id_employee]],temployee[#All],4,0)</f>
        <v>internal</v>
      </c>
      <c r="S840" s="9" t="str">
        <f>VLOOKUP(tdata[[#This Row],[id_employee]],temployee[#All],5,0)</f>
        <v>rider</v>
      </c>
    </row>
    <row r="841" spans="2:19" x14ac:dyDescent="0.35">
      <c r="B841" s="8" t="s">
        <v>860</v>
      </c>
      <c r="C841" s="2" t="s">
        <v>1310</v>
      </c>
      <c r="D841" s="5">
        <v>45264</v>
      </c>
      <c r="E841" s="5">
        <v>45275</v>
      </c>
      <c r="F841" s="2" t="s">
        <v>16</v>
      </c>
      <c r="G841" s="2" t="s">
        <v>32</v>
      </c>
      <c r="H841" s="2" t="s">
        <v>1224</v>
      </c>
      <c r="I841" s="2" t="s">
        <v>17</v>
      </c>
      <c r="J841" s="2">
        <v>7.83</v>
      </c>
      <c r="K841" s="2" t="str">
        <f t="shared" si="34"/>
        <v>&gt;5kg</v>
      </c>
      <c r="L841" s="2">
        <f>tdata[[#This Row],[Received_date]]-tdata[[#This Row],[Shipment_Date]]</f>
        <v>11</v>
      </c>
      <c r="M841" s="2">
        <f>VLOOKUP(tdata[[#This Row],[Service_Type]],Table2[#All],2,0)</f>
        <v>3</v>
      </c>
      <c r="N841" s="2" t="str">
        <f>IF(tdata[[#This Row],[Delivery_Days]]&lt;=tdata[[#This Row],[SLA_Days]],"On Time","Late")</f>
        <v>Late</v>
      </c>
      <c r="O841" s="2">
        <f>VLOOKUP(tdata[[#This Row],[Service_Type]],Table2[#All],4,0)</f>
        <v>10000</v>
      </c>
      <c r="P841" s="2">
        <f>tdata[[#This Row],[price_per_kilo]]*tdata[[#This Row],[Weight_KG]]</f>
        <v>78300</v>
      </c>
      <c r="Q841" s="2" t="str">
        <f>VLOOKUP(tdata[[#This Row],[id_employee]],temployee[#All],2,0)</f>
        <v>Niko Prasetyo</v>
      </c>
      <c r="R841" s="2" t="str">
        <f>VLOOKUP(tdata[[#This Row],[id_employee]],temployee[#All],4,0)</f>
        <v>crowd source</v>
      </c>
      <c r="S841" s="9" t="str">
        <f>VLOOKUP(tdata[[#This Row],[id_employee]],temployee[#All],5,0)</f>
        <v>driver</v>
      </c>
    </row>
    <row r="842" spans="2:19" x14ac:dyDescent="0.35">
      <c r="B842" s="8" t="s">
        <v>861</v>
      </c>
      <c r="C842" s="2" t="s">
        <v>1311</v>
      </c>
      <c r="D842" s="5">
        <v>45641</v>
      </c>
      <c r="E842" s="5">
        <v>45642</v>
      </c>
      <c r="F842" s="2" t="s">
        <v>26</v>
      </c>
      <c r="G842" s="2" t="s">
        <v>49</v>
      </c>
      <c r="H842" s="2" t="s">
        <v>1223</v>
      </c>
      <c r="I842" s="2" t="s">
        <v>13</v>
      </c>
      <c r="J842" s="2">
        <v>2.98</v>
      </c>
      <c r="K842" s="2" t="str">
        <f t="shared" si="34"/>
        <v>&lt; 5kg</v>
      </c>
      <c r="L842" s="2">
        <f>tdata[[#This Row],[Received_date]]-tdata[[#This Row],[Shipment_Date]]</f>
        <v>1</v>
      </c>
      <c r="M842" s="2">
        <f>VLOOKUP(tdata[[#This Row],[Service_Type]],Table2[#All],2,0)</f>
        <v>1</v>
      </c>
      <c r="N842" s="2" t="str">
        <f>IF(tdata[[#This Row],[Delivery_Days]]&lt;=tdata[[#This Row],[SLA_Days]],"On Time","Late")</f>
        <v>On Time</v>
      </c>
      <c r="O842" s="2">
        <f>VLOOKUP(tdata[[#This Row],[Service_Type]],Table2[#All],4,0)</f>
        <v>12000</v>
      </c>
      <c r="P842" s="2">
        <f>tdata[[#This Row],[price_per_kilo]]*tdata[[#This Row],[Weight_KG]]</f>
        <v>35760</v>
      </c>
      <c r="Q842" s="2" t="str">
        <f>VLOOKUP(tdata[[#This Row],[id_employee]],temployee[#All],2,0)</f>
        <v>Olivia Putri</v>
      </c>
      <c r="R842" s="2" t="str">
        <f>VLOOKUP(tdata[[#This Row],[id_employee]],temployee[#All],4,0)</f>
        <v>internal</v>
      </c>
      <c r="S842" s="9" t="str">
        <f>VLOOKUP(tdata[[#This Row],[id_employee]],temployee[#All],5,0)</f>
        <v>rider</v>
      </c>
    </row>
    <row r="843" spans="2:19" x14ac:dyDescent="0.35">
      <c r="B843" s="8" t="s">
        <v>862</v>
      </c>
      <c r="C843" s="2" t="s">
        <v>1312</v>
      </c>
      <c r="D843" s="5">
        <v>45517</v>
      </c>
      <c r="E843" s="5">
        <v>45525</v>
      </c>
      <c r="F843" s="2" t="s">
        <v>49</v>
      </c>
      <c r="G843" s="2" t="s">
        <v>26</v>
      </c>
      <c r="H843" s="2" t="s">
        <v>1224</v>
      </c>
      <c r="I843" s="2" t="s">
        <v>17</v>
      </c>
      <c r="J843" s="2">
        <v>0.84</v>
      </c>
      <c r="K843" s="2" t="str">
        <f t="shared" si="34"/>
        <v>&lt; 5kg</v>
      </c>
      <c r="L843" s="2">
        <f>tdata[[#This Row],[Received_date]]-tdata[[#This Row],[Shipment_Date]]</f>
        <v>8</v>
      </c>
      <c r="M843" s="2">
        <f>VLOOKUP(tdata[[#This Row],[Service_Type]],Table2[#All],2,0)</f>
        <v>3</v>
      </c>
      <c r="N843" s="2" t="str">
        <f>IF(tdata[[#This Row],[Delivery_Days]]&lt;=tdata[[#This Row],[SLA_Days]],"On Time","Late")</f>
        <v>Late</v>
      </c>
      <c r="O843" s="2">
        <f>VLOOKUP(tdata[[#This Row],[Service_Type]],Table2[#All],4,0)</f>
        <v>10000</v>
      </c>
      <c r="P843" s="2">
        <f>tdata[[#This Row],[price_per_kilo]]*tdata[[#This Row],[Weight_KG]]</f>
        <v>8400</v>
      </c>
      <c r="Q843" s="2" t="str">
        <f>VLOOKUP(tdata[[#This Row],[id_employee]],temployee[#All],2,0)</f>
        <v>Prasetyo Utomo</v>
      </c>
      <c r="R843" s="2" t="str">
        <f>VLOOKUP(tdata[[#This Row],[id_employee]],temployee[#All],4,0)</f>
        <v>internal</v>
      </c>
      <c r="S843" s="9" t="str">
        <f>VLOOKUP(tdata[[#This Row],[id_employee]],temployee[#All],5,0)</f>
        <v>driver</v>
      </c>
    </row>
    <row r="844" spans="2:19" x14ac:dyDescent="0.35">
      <c r="B844" s="8" t="s">
        <v>863</v>
      </c>
      <c r="C844" s="2" t="s">
        <v>1313</v>
      </c>
      <c r="D844" s="5">
        <v>45188</v>
      </c>
      <c r="E844" s="5">
        <v>45188</v>
      </c>
      <c r="F844" s="2" t="s">
        <v>11</v>
      </c>
      <c r="G844" s="2" t="s">
        <v>16</v>
      </c>
      <c r="H844" s="2" t="s">
        <v>23</v>
      </c>
      <c r="I844" s="2" t="s">
        <v>17</v>
      </c>
      <c r="J844" s="2">
        <v>3.54</v>
      </c>
      <c r="K844" s="2" t="str">
        <f t="shared" si="34"/>
        <v>&lt; 5kg</v>
      </c>
      <c r="L844" s="2">
        <f>tdata[[#This Row],[Received_date]]-tdata[[#This Row],[Shipment_Date]]</f>
        <v>0</v>
      </c>
      <c r="M844" s="2">
        <f>VLOOKUP(tdata[[#This Row],[Service_Type]],Table2[#All],2,0)</f>
        <v>5</v>
      </c>
      <c r="N844" s="2" t="str">
        <f>IF(tdata[[#This Row],[Delivery_Days]]&lt;=tdata[[#This Row],[SLA_Days]],"On Time","Late")</f>
        <v>On Time</v>
      </c>
      <c r="O844" s="2">
        <f>VLOOKUP(tdata[[#This Row],[Service_Type]],Table2[#All],4,0)</f>
        <v>9000</v>
      </c>
      <c r="P844" s="2">
        <f>tdata[[#This Row],[price_per_kilo]]*tdata[[#This Row],[Weight_KG]]</f>
        <v>31860</v>
      </c>
      <c r="Q844" s="2" t="str">
        <f>VLOOKUP(tdata[[#This Row],[id_employee]],temployee[#All],2,0)</f>
        <v>Qori Annisa</v>
      </c>
      <c r="R844" s="2" t="str">
        <f>VLOOKUP(tdata[[#This Row],[id_employee]],temployee[#All],4,0)</f>
        <v>crowd source</v>
      </c>
      <c r="S844" s="9" t="str">
        <f>VLOOKUP(tdata[[#This Row],[id_employee]],temployee[#All],5,0)</f>
        <v>rider</v>
      </c>
    </row>
    <row r="845" spans="2:19" x14ac:dyDescent="0.35">
      <c r="B845" s="8" t="s">
        <v>864</v>
      </c>
      <c r="C845" s="2" t="s">
        <v>1314</v>
      </c>
      <c r="D845" s="5">
        <v>45429</v>
      </c>
      <c r="E845" s="5">
        <v>45429</v>
      </c>
      <c r="F845" s="2" t="s">
        <v>15</v>
      </c>
      <c r="G845" s="2" t="s">
        <v>15</v>
      </c>
      <c r="H845" s="2" t="s">
        <v>1224</v>
      </c>
      <c r="I845" s="2" t="s">
        <v>13</v>
      </c>
      <c r="J845" s="2">
        <v>3.24</v>
      </c>
      <c r="K845" s="2" t="str">
        <f t="shared" si="34"/>
        <v>&lt; 5kg</v>
      </c>
      <c r="L845" s="2">
        <f>tdata[[#This Row],[Received_date]]-tdata[[#This Row],[Shipment_Date]]</f>
        <v>0</v>
      </c>
      <c r="M845" s="2">
        <f>VLOOKUP(tdata[[#This Row],[Service_Type]],Table2[#All],2,0)</f>
        <v>3</v>
      </c>
      <c r="N845" s="2" t="str">
        <f>IF(tdata[[#This Row],[Delivery_Days]]&lt;=tdata[[#This Row],[SLA_Days]],"On Time","Late")</f>
        <v>On Time</v>
      </c>
      <c r="O845" s="2">
        <f>VLOOKUP(tdata[[#This Row],[Service_Type]],Table2[#All],4,0)</f>
        <v>10000</v>
      </c>
      <c r="P845" s="2">
        <f>tdata[[#This Row],[price_per_kilo]]*tdata[[#This Row],[Weight_KG]]</f>
        <v>32400.000000000004</v>
      </c>
      <c r="Q845" s="2" t="str">
        <f>VLOOKUP(tdata[[#This Row],[id_employee]],temployee[#All],2,0)</f>
        <v>Rangga Saptonugroho</v>
      </c>
      <c r="R845" s="2" t="str">
        <f>VLOOKUP(tdata[[#This Row],[id_employee]],temployee[#All],4,0)</f>
        <v>crowd source</v>
      </c>
      <c r="S845" s="9" t="str">
        <f>VLOOKUP(tdata[[#This Row],[id_employee]],temployee[#All],5,0)</f>
        <v>driver</v>
      </c>
    </row>
    <row r="846" spans="2:19" x14ac:dyDescent="0.35">
      <c r="B846" s="8" t="s">
        <v>865</v>
      </c>
      <c r="C846" s="2" t="s">
        <v>1315</v>
      </c>
      <c r="D846" s="5">
        <v>45545</v>
      </c>
      <c r="E846" s="5">
        <v>45548</v>
      </c>
      <c r="F846" s="2" t="s">
        <v>20</v>
      </c>
      <c r="G846" s="2" t="s">
        <v>30</v>
      </c>
      <c r="H846" s="2" t="s">
        <v>1224</v>
      </c>
      <c r="I846" s="2" t="s">
        <v>17</v>
      </c>
      <c r="J846" s="2">
        <v>4.74</v>
      </c>
      <c r="K846" s="2" t="str">
        <f t="shared" si="34"/>
        <v>&lt; 5kg</v>
      </c>
      <c r="L846" s="2">
        <f>tdata[[#This Row],[Received_date]]-tdata[[#This Row],[Shipment_Date]]</f>
        <v>3</v>
      </c>
      <c r="M846" s="2">
        <f>VLOOKUP(tdata[[#This Row],[Service_Type]],Table2[#All],2,0)</f>
        <v>3</v>
      </c>
      <c r="N846" s="2" t="str">
        <f>IF(tdata[[#This Row],[Delivery_Days]]&lt;=tdata[[#This Row],[SLA_Days]],"On Time","Late")</f>
        <v>On Time</v>
      </c>
      <c r="O846" s="2">
        <f>VLOOKUP(tdata[[#This Row],[Service_Type]],Table2[#All],4,0)</f>
        <v>10000</v>
      </c>
      <c r="P846" s="2">
        <f>tdata[[#This Row],[price_per_kilo]]*tdata[[#This Row],[Weight_KG]]</f>
        <v>47400</v>
      </c>
      <c r="Q846" s="2" t="str">
        <f>VLOOKUP(tdata[[#This Row],[id_employee]],temployee[#All],2,0)</f>
        <v>Sinta Dewi</v>
      </c>
      <c r="R846" s="2" t="str">
        <f>VLOOKUP(tdata[[#This Row],[id_employee]],temployee[#All],4,0)</f>
        <v>internal</v>
      </c>
      <c r="S846" s="9" t="str">
        <f>VLOOKUP(tdata[[#This Row],[id_employee]],temployee[#All],5,0)</f>
        <v>rider</v>
      </c>
    </row>
    <row r="847" spans="2:19" x14ac:dyDescent="0.35">
      <c r="B847" s="8" t="s">
        <v>866</v>
      </c>
      <c r="C847" s="2" t="s">
        <v>1316</v>
      </c>
      <c r="D847" s="5">
        <v>45586</v>
      </c>
      <c r="E847" s="5">
        <v>45596</v>
      </c>
      <c r="F847" s="2" t="s">
        <v>22</v>
      </c>
      <c r="G847" s="2" t="s">
        <v>30</v>
      </c>
      <c r="H847" s="2" t="s">
        <v>1224</v>
      </c>
      <c r="I847" s="2" t="s">
        <v>17</v>
      </c>
      <c r="J847" s="2">
        <v>1.89</v>
      </c>
      <c r="K847" s="2" t="str">
        <f t="shared" si="34"/>
        <v>&lt; 5kg</v>
      </c>
      <c r="L847" s="2">
        <f>tdata[[#This Row],[Received_date]]-tdata[[#This Row],[Shipment_Date]]</f>
        <v>10</v>
      </c>
      <c r="M847" s="2">
        <f>VLOOKUP(tdata[[#This Row],[Service_Type]],Table2[#All],2,0)</f>
        <v>3</v>
      </c>
      <c r="N847" s="2" t="str">
        <f>IF(tdata[[#This Row],[Delivery_Days]]&lt;=tdata[[#This Row],[SLA_Days]],"On Time","Late")</f>
        <v>Late</v>
      </c>
      <c r="O847" s="2">
        <f>VLOOKUP(tdata[[#This Row],[Service_Type]],Table2[#All],4,0)</f>
        <v>10000</v>
      </c>
      <c r="P847" s="2">
        <f>tdata[[#This Row],[price_per_kilo]]*tdata[[#This Row],[Weight_KG]]</f>
        <v>18900</v>
      </c>
      <c r="Q847" s="2" t="str">
        <f>VLOOKUP(tdata[[#This Row],[id_employee]],temployee[#All],2,0)</f>
        <v>Taufik Hidayat</v>
      </c>
      <c r="R847" s="2" t="str">
        <f>VLOOKUP(tdata[[#This Row],[id_employee]],temployee[#All],4,0)</f>
        <v>internal</v>
      </c>
      <c r="S847" s="9" t="str">
        <f>VLOOKUP(tdata[[#This Row],[id_employee]],temployee[#All],5,0)</f>
        <v>driver</v>
      </c>
    </row>
    <row r="848" spans="2:19" x14ac:dyDescent="0.35">
      <c r="B848" s="8" t="s">
        <v>867</v>
      </c>
      <c r="C848" s="2" t="s">
        <v>1317</v>
      </c>
      <c r="D848" s="5">
        <v>45183</v>
      </c>
      <c r="E848" s="5">
        <f t="shared" ref="E848:E849" si="35">D848+4</f>
        <v>45187</v>
      </c>
      <c r="F848" s="2" t="s">
        <v>12</v>
      </c>
      <c r="G848" s="2" t="s">
        <v>16</v>
      </c>
      <c r="H848" s="2" t="s">
        <v>1224</v>
      </c>
      <c r="I848" s="2" t="s">
        <v>17</v>
      </c>
      <c r="J848" s="2">
        <v>8.9</v>
      </c>
      <c r="K848" s="2" t="str">
        <f t="shared" si="34"/>
        <v>&gt;5kg</v>
      </c>
      <c r="L848" s="2">
        <f>tdata[[#This Row],[Received_date]]-tdata[[#This Row],[Shipment_Date]]</f>
        <v>4</v>
      </c>
      <c r="M848" s="2">
        <f>VLOOKUP(tdata[[#This Row],[Service_Type]],Table2[#All],2,0)</f>
        <v>3</v>
      </c>
      <c r="N848" s="2" t="str">
        <f>IF(tdata[[#This Row],[Delivery_Days]]&lt;=tdata[[#This Row],[SLA_Days]],"On Time","Late")</f>
        <v>Late</v>
      </c>
      <c r="O848" s="2">
        <f>VLOOKUP(tdata[[#This Row],[Service_Type]],Table2[#All],4,0)</f>
        <v>10000</v>
      </c>
      <c r="P848" s="2">
        <f>tdata[[#This Row],[price_per_kilo]]*tdata[[#This Row],[Weight_KG]]</f>
        <v>89000</v>
      </c>
      <c r="Q848" s="2" t="str">
        <f>VLOOKUP(tdata[[#This Row],[id_employee]],temployee[#All],2,0)</f>
        <v>Usman Ali</v>
      </c>
      <c r="R848" s="2" t="str">
        <f>VLOOKUP(tdata[[#This Row],[id_employee]],temployee[#All],4,0)</f>
        <v>crowd source</v>
      </c>
      <c r="S848" s="9" t="str">
        <f>VLOOKUP(tdata[[#This Row],[id_employee]],temployee[#All],5,0)</f>
        <v>rider</v>
      </c>
    </row>
    <row r="849" spans="2:19" x14ac:dyDescent="0.35">
      <c r="B849" s="8" t="s">
        <v>868</v>
      </c>
      <c r="C849" s="2" t="s">
        <v>1318</v>
      </c>
      <c r="D849" s="5">
        <v>45064</v>
      </c>
      <c r="E849" s="5">
        <f t="shared" si="35"/>
        <v>45068</v>
      </c>
      <c r="F849" s="2" t="s">
        <v>30</v>
      </c>
      <c r="G849" s="2" t="s">
        <v>15</v>
      </c>
      <c r="H849" s="2" t="s">
        <v>1224</v>
      </c>
      <c r="I849" s="2" t="s">
        <v>13</v>
      </c>
      <c r="J849" s="2">
        <v>10.17</v>
      </c>
      <c r="K849" s="2" t="str">
        <f t="shared" si="34"/>
        <v>&gt;5kg</v>
      </c>
      <c r="L849" s="2">
        <f>tdata[[#This Row],[Received_date]]-tdata[[#This Row],[Shipment_Date]]</f>
        <v>4</v>
      </c>
      <c r="M849" s="2">
        <f>VLOOKUP(tdata[[#This Row],[Service_Type]],Table2[#All],2,0)</f>
        <v>3</v>
      </c>
      <c r="N849" s="2" t="str">
        <f>IF(tdata[[#This Row],[Delivery_Days]]&lt;=tdata[[#This Row],[SLA_Days]],"On Time","Late")</f>
        <v>Late</v>
      </c>
      <c r="O849" s="2">
        <f>VLOOKUP(tdata[[#This Row],[Service_Type]],Table2[#All],4,0)</f>
        <v>10000</v>
      </c>
      <c r="P849" s="2">
        <f>tdata[[#This Row],[price_per_kilo]]*tdata[[#This Row],[Weight_KG]]</f>
        <v>101700</v>
      </c>
      <c r="Q849" s="2" t="str">
        <f>VLOOKUP(tdata[[#This Row],[id_employee]],temployee[#All],2,0)</f>
        <v>Vivi Lestari</v>
      </c>
      <c r="R849" s="2" t="str">
        <f>VLOOKUP(tdata[[#This Row],[id_employee]],temployee[#All],4,0)</f>
        <v>internal</v>
      </c>
      <c r="S849" s="9" t="str">
        <f>VLOOKUP(tdata[[#This Row],[id_employee]],temployee[#All],5,0)</f>
        <v>rider</v>
      </c>
    </row>
    <row r="850" spans="2:19" x14ac:dyDescent="0.35">
      <c r="B850" s="8" t="s">
        <v>869</v>
      </c>
      <c r="C850" s="2" t="s">
        <v>1319</v>
      </c>
      <c r="D850" s="5">
        <v>45212</v>
      </c>
      <c r="E850" s="5">
        <v>45214</v>
      </c>
      <c r="F850" s="2" t="s">
        <v>32</v>
      </c>
      <c r="G850" s="2" t="s">
        <v>22</v>
      </c>
      <c r="H850" s="2" t="s">
        <v>1224</v>
      </c>
      <c r="I850" s="2" t="s">
        <v>17</v>
      </c>
      <c r="J850" s="2">
        <v>3.22</v>
      </c>
      <c r="K850" s="2" t="str">
        <f t="shared" si="34"/>
        <v>&lt; 5kg</v>
      </c>
      <c r="L850" s="2">
        <f>tdata[[#This Row],[Received_date]]-tdata[[#This Row],[Shipment_Date]]</f>
        <v>2</v>
      </c>
      <c r="M850" s="2">
        <f>VLOOKUP(tdata[[#This Row],[Service_Type]],Table2[#All],2,0)</f>
        <v>3</v>
      </c>
      <c r="N850" s="2" t="str">
        <f>IF(tdata[[#This Row],[Delivery_Days]]&lt;=tdata[[#This Row],[SLA_Days]],"On Time","Late")</f>
        <v>On Time</v>
      </c>
      <c r="O850" s="2">
        <f>VLOOKUP(tdata[[#This Row],[Service_Type]],Table2[#All],4,0)</f>
        <v>10000</v>
      </c>
      <c r="P850" s="2">
        <f>tdata[[#This Row],[price_per_kilo]]*tdata[[#This Row],[Weight_KG]]</f>
        <v>32200.000000000004</v>
      </c>
      <c r="Q850" s="2" t="str">
        <f>VLOOKUP(tdata[[#This Row],[id_employee]],temployee[#All],2,0)</f>
        <v>Wawan Setiabudi</v>
      </c>
      <c r="R850" s="2" t="str">
        <f>VLOOKUP(tdata[[#This Row],[id_employee]],temployee[#All],4,0)</f>
        <v>internal</v>
      </c>
      <c r="S850" s="9" t="str">
        <f>VLOOKUP(tdata[[#This Row],[id_employee]],temployee[#All],5,0)</f>
        <v>driver</v>
      </c>
    </row>
    <row r="851" spans="2:19" x14ac:dyDescent="0.35">
      <c r="B851" s="8" t="s">
        <v>870</v>
      </c>
      <c r="C851" s="2" t="s">
        <v>1320</v>
      </c>
      <c r="D851" s="5">
        <v>45058</v>
      </c>
      <c r="E851" s="5">
        <v>45062</v>
      </c>
      <c r="F851" s="2" t="s">
        <v>16</v>
      </c>
      <c r="G851" s="2" t="s">
        <v>26</v>
      </c>
      <c r="H851" s="2" t="s">
        <v>23</v>
      </c>
      <c r="I851" s="2" t="s">
        <v>13</v>
      </c>
      <c r="J851" s="2">
        <v>1.18</v>
      </c>
      <c r="K851" s="2" t="str">
        <f t="shared" si="34"/>
        <v>&lt; 5kg</v>
      </c>
      <c r="L851" s="2">
        <f>tdata[[#This Row],[Received_date]]-tdata[[#This Row],[Shipment_Date]]</f>
        <v>4</v>
      </c>
      <c r="M851" s="2">
        <f>VLOOKUP(tdata[[#This Row],[Service_Type]],Table2[#All],2,0)</f>
        <v>5</v>
      </c>
      <c r="N851" s="2" t="str">
        <f>IF(tdata[[#This Row],[Delivery_Days]]&lt;=tdata[[#This Row],[SLA_Days]],"On Time","Late")</f>
        <v>On Time</v>
      </c>
      <c r="O851" s="2">
        <f>VLOOKUP(tdata[[#This Row],[Service_Type]],Table2[#All],4,0)</f>
        <v>9000</v>
      </c>
      <c r="P851" s="2">
        <f>tdata[[#This Row],[price_per_kilo]]*tdata[[#This Row],[Weight_KG]]</f>
        <v>10620</v>
      </c>
      <c r="Q851" s="2" t="str">
        <f>VLOOKUP(tdata[[#This Row],[id_employee]],temployee[#All],2,0)</f>
        <v>Xenia Maharani</v>
      </c>
      <c r="R851" s="2" t="str">
        <f>VLOOKUP(tdata[[#This Row],[id_employee]],temployee[#All],4,0)</f>
        <v>crowd source</v>
      </c>
      <c r="S851" s="9" t="str">
        <f>VLOOKUP(tdata[[#This Row],[id_employee]],temployee[#All],5,0)</f>
        <v>rider</v>
      </c>
    </row>
    <row r="852" spans="2:19" x14ac:dyDescent="0.35">
      <c r="B852" s="8" t="s">
        <v>871</v>
      </c>
      <c r="C852" s="2" t="s">
        <v>1321</v>
      </c>
      <c r="D852" s="5">
        <v>45125</v>
      </c>
      <c r="E852" s="5">
        <f>D852+4</f>
        <v>45129</v>
      </c>
      <c r="F852" s="2" t="s">
        <v>26</v>
      </c>
      <c r="G852" s="2" t="s">
        <v>12</v>
      </c>
      <c r="H852" s="2" t="s">
        <v>23</v>
      </c>
      <c r="I852" s="2" t="s">
        <v>13</v>
      </c>
      <c r="J852" s="2">
        <v>8.14</v>
      </c>
      <c r="K852" s="2" t="str">
        <f t="shared" si="34"/>
        <v>&gt;5kg</v>
      </c>
      <c r="L852" s="2">
        <f>tdata[[#This Row],[Received_date]]-tdata[[#This Row],[Shipment_Date]]</f>
        <v>4</v>
      </c>
      <c r="M852" s="2">
        <f>VLOOKUP(tdata[[#This Row],[Service_Type]],Table2[#All],2,0)</f>
        <v>5</v>
      </c>
      <c r="N852" s="2" t="str">
        <f>IF(tdata[[#This Row],[Delivery_Days]]&lt;=tdata[[#This Row],[SLA_Days]],"On Time","Late")</f>
        <v>On Time</v>
      </c>
      <c r="O852" s="2">
        <f>VLOOKUP(tdata[[#This Row],[Service_Type]],Table2[#All],4,0)</f>
        <v>9000</v>
      </c>
      <c r="P852" s="2">
        <f>tdata[[#This Row],[price_per_kilo]]*tdata[[#This Row],[Weight_KG]]</f>
        <v>73260</v>
      </c>
      <c r="Q852" s="2" t="str">
        <f>VLOOKUP(tdata[[#This Row],[id_employee]],temployee[#All],2,0)</f>
        <v>Yoga Pradana</v>
      </c>
      <c r="R852" s="2" t="str">
        <f>VLOOKUP(tdata[[#This Row],[id_employee]],temployee[#All],4,0)</f>
        <v>internal</v>
      </c>
      <c r="S852" s="9" t="str">
        <f>VLOOKUP(tdata[[#This Row],[id_employee]],temployee[#All],5,0)</f>
        <v>rider</v>
      </c>
    </row>
    <row r="853" spans="2:19" x14ac:dyDescent="0.35">
      <c r="B853" s="8" t="s">
        <v>872</v>
      </c>
      <c r="C853" s="2" t="s">
        <v>1322</v>
      </c>
      <c r="D853" s="5">
        <v>45294</v>
      </c>
      <c r="E853" s="5">
        <v>45297</v>
      </c>
      <c r="F853" s="2" t="s">
        <v>49</v>
      </c>
      <c r="G853" s="2" t="s">
        <v>22</v>
      </c>
      <c r="H853" s="2" t="s">
        <v>1224</v>
      </c>
      <c r="I853" s="2" t="s">
        <v>17</v>
      </c>
      <c r="J853" s="2">
        <v>1.1200000000000001</v>
      </c>
      <c r="K853" s="2" t="str">
        <f t="shared" si="34"/>
        <v>&lt; 5kg</v>
      </c>
      <c r="L853" s="2">
        <f>tdata[[#This Row],[Received_date]]-tdata[[#This Row],[Shipment_Date]]</f>
        <v>3</v>
      </c>
      <c r="M853" s="2">
        <f>VLOOKUP(tdata[[#This Row],[Service_Type]],Table2[#All],2,0)</f>
        <v>3</v>
      </c>
      <c r="N853" s="2" t="str">
        <f>IF(tdata[[#This Row],[Delivery_Days]]&lt;=tdata[[#This Row],[SLA_Days]],"On Time","Late")</f>
        <v>On Time</v>
      </c>
      <c r="O853" s="2">
        <f>VLOOKUP(tdata[[#This Row],[Service_Type]],Table2[#All],4,0)</f>
        <v>10000</v>
      </c>
      <c r="P853" s="2">
        <f>tdata[[#This Row],[price_per_kilo]]*tdata[[#This Row],[Weight_KG]]</f>
        <v>11200.000000000002</v>
      </c>
      <c r="Q853" s="2" t="str">
        <f>VLOOKUP(tdata[[#This Row],[id_employee]],temployee[#All],2,0)</f>
        <v>Zulfikar Ramadhan</v>
      </c>
      <c r="R853" s="2" t="str">
        <f>VLOOKUP(tdata[[#This Row],[id_employee]],temployee[#All],4,0)</f>
        <v>crowd source</v>
      </c>
      <c r="S853" s="9" t="str">
        <f>VLOOKUP(tdata[[#This Row],[id_employee]],temployee[#All],5,0)</f>
        <v>driver</v>
      </c>
    </row>
    <row r="854" spans="2:19" x14ac:dyDescent="0.35">
      <c r="B854" s="8" t="s">
        <v>873</v>
      </c>
      <c r="C854" s="2" t="s">
        <v>1323</v>
      </c>
      <c r="D854" s="5">
        <v>45339</v>
      </c>
      <c r="E854" s="5">
        <v>45349</v>
      </c>
      <c r="F854" s="2" t="s">
        <v>11</v>
      </c>
      <c r="G854" s="2" t="s">
        <v>26</v>
      </c>
      <c r="H854" s="2" t="s">
        <v>1224</v>
      </c>
      <c r="I854" s="2" t="s">
        <v>13</v>
      </c>
      <c r="J854" s="2">
        <v>1.79</v>
      </c>
      <c r="K854" s="2" t="str">
        <f t="shared" si="34"/>
        <v>&lt; 5kg</v>
      </c>
      <c r="L854" s="2">
        <f>tdata[[#This Row],[Received_date]]-tdata[[#This Row],[Shipment_Date]]</f>
        <v>10</v>
      </c>
      <c r="M854" s="2">
        <f>VLOOKUP(tdata[[#This Row],[Service_Type]],Table2[#All],2,0)</f>
        <v>3</v>
      </c>
      <c r="N854" s="2" t="str">
        <f>IF(tdata[[#This Row],[Delivery_Days]]&lt;=tdata[[#This Row],[SLA_Days]],"On Time","Late")</f>
        <v>Late</v>
      </c>
      <c r="O854" s="2">
        <f>VLOOKUP(tdata[[#This Row],[Service_Type]],Table2[#All],4,0)</f>
        <v>10000</v>
      </c>
      <c r="P854" s="2">
        <f>tdata[[#This Row],[price_per_kilo]]*tdata[[#This Row],[Weight_KG]]</f>
        <v>17900</v>
      </c>
      <c r="Q854" s="2" t="str">
        <f>VLOOKUP(tdata[[#This Row],[id_employee]],temployee[#All],2,0)</f>
        <v>Aditya Saputra</v>
      </c>
      <c r="R854" s="2" t="str">
        <f>VLOOKUP(tdata[[#This Row],[id_employee]],temployee[#All],4,0)</f>
        <v>internal</v>
      </c>
      <c r="S854" s="9" t="str">
        <f>VLOOKUP(tdata[[#This Row],[id_employee]],temployee[#All],5,0)</f>
        <v>rider</v>
      </c>
    </row>
    <row r="855" spans="2:19" x14ac:dyDescent="0.35">
      <c r="B855" s="8" t="s">
        <v>874</v>
      </c>
      <c r="C855" s="2" t="s">
        <v>1324</v>
      </c>
      <c r="D855" s="5">
        <v>45218</v>
      </c>
      <c r="E855" s="5">
        <v>45229</v>
      </c>
      <c r="F855" s="2" t="s">
        <v>15</v>
      </c>
      <c r="G855" s="2" t="s">
        <v>22</v>
      </c>
      <c r="H855" s="2" t="s">
        <v>1224</v>
      </c>
      <c r="I855" s="2" t="s">
        <v>13</v>
      </c>
      <c r="J855" s="2">
        <v>1.1599999999999999</v>
      </c>
      <c r="K855" s="2" t="str">
        <f t="shared" si="34"/>
        <v>&lt; 5kg</v>
      </c>
      <c r="L855" s="2">
        <f>tdata[[#This Row],[Received_date]]-tdata[[#This Row],[Shipment_Date]]</f>
        <v>11</v>
      </c>
      <c r="M855" s="2">
        <f>VLOOKUP(tdata[[#This Row],[Service_Type]],Table2[#All],2,0)</f>
        <v>3</v>
      </c>
      <c r="N855" s="2" t="str">
        <f>IF(tdata[[#This Row],[Delivery_Days]]&lt;=tdata[[#This Row],[SLA_Days]],"On Time","Late")</f>
        <v>Late</v>
      </c>
      <c r="O855" s="2">
        <f>VLOOKUP(tdata[[#This Row],[Service_Type]],Table2[#All],4,0)</f>
        <v>10000</v>
      </c>
      <c r="P855" s="2">
        <f>tdata[[#This Row],[price_per_kilo]]*tdata[[#This Row],[Weight_KG]]</f>
        <v>11600</v>
      </c>
      <c r="Q855" s="2" t="str">
        <f>VLOOKUP(tdata[[#This Row],[id_employee]],temployee[#All],2,0)</f>
        <v>Bella Oktaviani</v>
      </c>
      <c r="R855" s="2" t="str">
        <f>VLOOKUP(tdata[[#This Row],[id_employee]],temployee[#All],4,0)</f>
        <v>internal</v>
      </c>
      <c r="S855" s="9" t="str">
        <f>VLOOKUP(tdata[[#This Row],[id_employee]],temployee[#All],5,0)</f>
        <v>rider</v>
      </c>
    </row>
    <row r="856" spans="2:19" x14ac:dyDescent="0.35">
      <c r="B856" s="8" t="s">
        <v>875</v>
      </c>
      <c r="C856" s="2" t="s">
        <v>1325</v>
      </c>
      <c r="D856" s="5">
        <v>45178</v>
      </c>
      <c r="E856" s="5">
        <v>45178</v>
      </c>
      <c r="F856" s="2" t="s">
        <v>20</v>
      </c>
      <c r="G856" s="2" t="s">
        <v>16</v>
      </c>
      <c r="H856" s="2" t="s">
        <v>1224</v>
      </c>
      <c r="I856" s="2" t="s">
        <v>13</v>
      </c>
      <c r="J856" s="2">
        <v>0.74</v>
      </c>
      <c r="K856" s="2" t="str">
        <f t="shared" si="34"/>
        <v>&lt; 5kg</v>
      </c>
      <c r="L856" s="2">
        <f>tdata[[#This Row],[Received_date]]-tdata[[#This Row],[Shipment_Date]]</f>
        <v>0</v>
      </c>
      <c r="M856" s="2">
        <f>VLOOKUP(tdata[[#This Row],[Service_Type]],Table2[#All],2,0)</f>
        <v>3</v>
      </c>
      <c r="N856" s="2" t="str">
        <f>IF(tdata[[#This Row],[Delivery_Days]]&lt;=tdata[[#This Row],[SLA_Days]],"On Time","Late")</f>
        <v>On Time</v>
      </c>
      <c r="O856" s="2">
        <f>VLOOKUP(tdata[[#This Row],[Service_Type]],Table2[#All],4,0)</f>
        <v>10000</v>
      </c>
      <c r="P856" s="2">
        <f>tdata[[#This Row],[price_per_kilo]]*tdata[[#This Row],[Weight_KG]]</f>
        <v>7400</v>
      </c>
      <c r="Q856" s="2" t="str">
        <f>VLOOKUP(tdata[[#This Row],[id_employee]],temployee[#All],2,0)</f>
        <v>Chandra Wijaya</v>
      </c>
      <c r="R856" s="2" t="str">
        <f>VLOOKUP(tdata[[#This Row],[id_employee]],temployee[#All],4,0)</f>
        <v>crowd source</v>
      </c>
      <c r="S856" s="9" t="str">
        <f>VLOOKUP(tdata[[#This Row],[id_employee]],temployee[#All],5,0)</f>
        <v>driver</v>
      </c>
    </row>
    <row r="857" spans="2:19" x14ac:dyDescent="0.35">
      <c r="B857" s="8" t="s">
        <v>876</v>
      </c>
      <c r="C857" s="2" t="s">
        <v>1326</v>
      </c>
      <c r="D857" s="5">
        <v>45160</v>
      </c>
      <c r="E857" s="5">
        <v>45160</v>
      </c>
      <c r="F857" s="2" t="s">
        <v>22</v>
      </c>
      <c r="G857" s="2" t="s">
        <v>16</v>
      </c>
      <c r="H857" s="2" t="s">
        <v>1223</v>
      </c>
      <c r="I857" s="2" t="s">
        <v>13</v>
      </c>
      <c r="J857" s="2">
        <v>4.67</v>
      </c>
      <c r="K857" s="2" t="str">
        <f t="shared" si="34"/>
        <v>&lt; 5kg</v>
      </c>
      <c r="L857" s="2">
        <f>tdata[[#This Row],[Received_date]]-tdata[[#This Row],[Shipment_Date]]</f>
        <v>0</v>
      </c>
      <c r="M857" s="2">
        <f>VLOOKUP(tdata[[#This Row],[Service_Type]],Table2[#All],2,0)</f>
        <v>1</v>
      </c>
      <c r="N857" s="2" t="str">
        <f>IF(tdata[[#This Row],[Delivery_Days]]&lt;=tdata[[#This Row],[SLA_Days]],"On Time","Late")</f>
        <v>On Time</v>
      </c>
      <c r="O857" s="2">
        <f>VLOOKUP(tdata[[#This Row],[Service_Type]],Table2[#All],4,0)</f>
        <v>12000</v>
      </c>
      <c r="P857" s="2">
        <f>tdata[[#This Row],[price_per_kilo]]*tdata[[#This Row],[Weight_KG]]</f>
        <v>56040</v>
      </c>
      <c r="Q857" s="2" t="str">
        <f>VLOOKUP(tdata[[#This Row],[id_employee]],temployee[#All],2,0)</f>
        <v>Dewi Sartika</v>
      </c>
      <c r="R857" s="2" t="str">
        <f>VLOOKUP(tdata[[#This Row],[id_employee]],temployee[#All],4,0)</f>
        <v>internal</v>
      </c>
      <c r="S857" s="9" t="str">
        <f>VLOOKUP(tdata[[#This Row],[id_employee]],temployee[#All],5,0)</f>
        <v>rider</v>
      </c>
    </row>
    <row r="858" spans="2:19" x14ac:dyDescent="0.35">
      <c r="B858" s="8" t="s">
        <v>877</v>
      </c>
      <c r="C858" s="2" t="s">
        <v>1327</v>
      </c>
      <c r="D858" s="5">
        <v>45577</v>
      </c>
      <c r="E858" s="5">
        <v>45578</v>
      </c>
      <c r="F858" s="2" t="s">
        <v>12</v>
      </c>
      <c r="G858" s="2" t="s">
        <v>32</v>
      </c>
      <c r="H858" s="2" t="s">
        <v>1223</v>
      </c>
      <c r="I858" s="2" t="s">
        <v>13</v>
      </c>
      <c r="J858" s="2">
        <v>1.67</v>
      </c>
      <c r="K858" s="2" t="str">
        <f t="shared" si="34"/>
        <v>&lt; 5kg</v>
      </c>
      <c r="L858" s="2">
        <f>tdata[[#This Row],[Received_date]]-tdata[[#This Row],[Shipment_Date]]</f>
        <v>1</v>
      </c>
      <c r="M858" s="2">
        <f>VLOOKUP(tdata[[#This Row],[Service_Type]],Table2[#All],2,0)</f>
        <v>1</v>
      </c>
      <c r="N858" s="2" t="str">
        <f>IF(tdata[[#This Row],[Delivery_Days]]&lt;=tdata[[#This Row],[SLA_Days]],"On Time","Late")</f>
        <v>On Time</v>
      </c>
      <c r="O858" s="2">
        <f>VLOOKUP(tdata[[#This Row],[Service_Type]],Table2[#All],4,0)</f>
        <v>12000</v>
      </c>
      <c r="P858" s="2">
        <f>tdata[[#This Row],[price_per_kilo]]*tdata[[#This Row],[Weight_KG]]</f>
        <v>20040</v>
      </c>
      <c r="Q858" s="2" t="str">
        <f>VLOOKUP(tdata[[#This Row],[id_employee]],temployee[#All],2,0)</f>
        <v>Edi Kurniawan</v>
      </c>
      <c r="R858" s="2" t="str">
        <f>VLOOKUP(tdata[[#This Row],[id_employee]],temployee[#All],4,0)</f>
        <v>internal</v>
      </c>
      <c r="S858" s="9" t="str">
        <f>VLOOKUP(tdata[[#This Row],[id_employee]],temployee[#All],5,0)</f>
        <v>driver</v>
      </c>
    </row>
    <row r="859" spans="2:19" x14ac:dyDescent="0.35">
      <c r="B859" s="8" t="s">
        <v>878</v>
      </c>
      <c r="C859" s="2" t="s">
        <v>1328</v>
      </c>
      <c r="D859" s="5">
        <v>45253</v>
      </c>
      <c r="E859" s="5">
        <v>45257</v>
      </c>
      <c r="F859" s="2" t="s">
        <v>30</v>
      </c>
      <c r="G859" s="2" t="s">
        <v>20</v>
      </c>
      <c r="H859" s="2" t="s">
        <v>23</v>
      </c>
      <c r="I859" s="2" t="s">
        <v>13</v>
      </c>
      <c r="J859" s="2">
        <v>2.91</v>
      </c>
      <c r="K859" s="2" t="str">
        <f t="shared" si="34"/>
        <v>&lt; 5kg</v>
      </c>
      <c r="L859" s="2">
        <f>tdata[[#This Row],[Received_date]]-tdata[[#This Row],[Shipment_Date]]</f>
        <v>4</v>
      </c>
      <c r="M859" s="2">
        <f>VLOOKUP(tdata[[#This Row],[Service_Type]],Table2[#All],2,0)</f>
        <v>5</v>
      </c>
      <c r="N859" s="2" t="str">
        <f>IF(tdata[[#This Row],[Delivery_Days]]&lt;=tdata[[#This Row],[SLA_Days]],"On Time","Late")</f>
        <v>On Time</v>
      </c>
      <c r="O859" s="2">
        <f>VLOOKUP(tdata[[#This Row],[Service_Type]],Table2[#All],4,0)</f>
        <v>9000</v>
      </c>
      <c r="P859" s="2">
        <f>tdata[[#This Row],[price_per_kilo]]*tdata[[#This Row],[Weight_KG]]</f>
        <v>26190</v>
      </c>
      <c r="Q859" s="2" t="str">
        <f>VLOOKUP(tdata[[#This Row],[id_employee]],temployee[#All],2,0)</f>
        <v>Farah Nabila</v>
      </c>
      <c r="R859" s="2" t="str">
        <f>VLOOKUP(tdata[[#This Row],[id_employee]],temployee[#All],4,0)</f>
        <v>crowd source</v>
      </c>
      <c r="S859" s="9" t="str">
        <f>VLOOKUP(tdata[[#This Row],[id_employee]],temployee[#All],5,0)</f>
        <v>rider</v>
      </c>
    </row>
    <row r="860" spans="2:19" x14ac:dyDescent="0.35">
      <c r="B860" s="8" t="s">
        <v>879</v>
      </c>
      <c r="C860" s="2" t="s">
        <v>1329</v>
      </c>
      <c r="D860" s="5">
        <v>45145</v>
      </c>
      <c r="E860" s="5">
        <v>45148</v>
      </c>
      <c r="F860" s="2" t="s">
        <v>32</v>
      </c>
      <c r="G860" s="2" t="s">
        <v>22</v>
      </c>
      <c r="H860" s="2" t="s">
        <v>1224</v>
      </c>
      <c r="I860" s="2" t="s">
        <v>17</v>
      </c>
      <c r="J860" s="2">
        <v>1.65</v>
      </c>
      <c r="K860" s="2" t="str">
        <f t="shared" si="34"/>
        <v>&lt; 5kg</v>
      </c>
      <c r="L860" s="2">
        <f>tdata[[#This Row],[Received_date]]-tdata[[#This Row],[Shipment_Date]]</f>
        <v>3</v>
      </c>
      <c r="M860" s="2">
        <f>VLOOKUP(tdata[[#This Row],[Service_Type]],Table2[#All],2,0)</f>
        <v>3</v>
      </c>
      <c r="N860" s="2" t="str">
        <f>IF(tdata[[#This Row],[Delivery_Days]]&lt;=tdata[[#This Row],[SLA_Days]],"On Time","Late")</f>
        <v>On Time</v>
      </c>
      <c r="O860" s="2">
        <f>VLOOKUP(tdata[[#This Row],[Service_Type]],Table2[#All],4,0)</f>
        <v>10000</v>
      </c>
      <c r="P860" s="2">
        <f>tdata[[#This Row],[price_per_kilo]]*tdata[[#This Row],[Weight_KG]]</f>
        <v>16500</v>
      </c>
      <c r="Q860" s="2" t="str">
        <f>VLOOKUP(tdata[[#This Row],[id_employee]],temployee[#All],2,0)</f>
        <v>Galih Pratomo</v>
      </c>
      <c r="R860" s="2" t="str">
        <f>VLOOKUP(tdata[[#This Row],[id_employee]],temployee[#All],4,0)</f>
        <v>internal</v>
      </c>
      <c r="S860" s="9" t="str">
        <f>VLOOKUP(tdata[[#This Row],[id_employee]],temployee[#All],5,0)</f>
        <v>rider</v>
      </c>
    </row>
    <row r="861" spans="2:19" x14ac:dyDescent="0.35">
      <c r="B861" s="8" t="s">
        <v>880</v>
      </c>
      <c r="C861" s="2" t="s">
        <v>1330</v>
      </c>
      <c r="D861" s="5">
        <v>45062</v>
      </c>
      <c r="E861" s="5">
        <v>45065</v>
      </c>
      <c r="F861" s="2" t="s">
        <v>16</v>
      </c>
      <c r="G861" s="2" t="s">
        <v>16</v>
      </c>
      <c r="H861" s="2" t="s">
        <v>23</v>
      </c>
      <c r="I861" s="2" t="s">
        <v>17</v>
      </c>
      <c r="J861" s="2">
        <v>5.88</v>
      </c>
      <c r="K861" s="2" t="str">
        <f t="shared" si="34"/>
        <v>&gt;5kg</v>
      </c>
      <c r="L861" s="2">
        <f>tdata[[#This Row],[Received_date]]-tdata[[#This Row],[Shipment_Date]]</f>
        <v>3</v>
      </c>
      <c r="M861" s="2">
        <f>VLOOKUP(tdata[[#This Row],[Service_Type]],Table2[#All],2,0)</f>
        <v>5</v>
      </c>
      <c r="N861" s="2" t="str">
        <f>IF(tdata[[#This Row],[Delivery_Days]]&lt;=tdata[[#This Row],[SLA_Days]],"On Time","Late")</f>
        <v>On Time</v>
      </c>
      <c r="O861" s="2">
        <f>VLOOKUP(tdata[[#This Row],[Service_Type]],Table2[#All],4,0)</f>
        <v>9000</v>
      </c>
      <c r="P861" s="2">
        <f>tdata[[#This Row],[price_per_kilo]]*tdata[[#This Row],[Weight_KG]]</f>
        <v>52920</v>
      </c>
      <c r="Q861" s="2" t="str">
        <f>VLOOKUP(tdata[[#This Row],[id_employee]],temployee[#All],2,0)</f>
        <v>Hadi Purnomo</v>
      </c>
      <c r="R861" s="2" t="str">
        <f>VLOOKUP(tdata[[#This Row],[id_employee]],temployee[#All],4,0)</f>
        <v>crowd source</v>
      </c>
      <c r="S861" s="9" t="str">
        <f>VLOOKUP(tdata[[#This Row],[id_employee]],temployee[#All],5,0)</f>
        <v>driver</v>
      </c>
    </row>
    <row r="862" spans="2:19" x14ac:dyDescent="0.35">
      <c r="B862" s="8" t="s">
        <v>881</v>
      </c>
      <c r="C862" s="2" t="s">
        <v>1331</v>
      </c>
      <c r="D862" s="5">
        <v>45371</v>
      </c>
      <c r="E862" s="5">
        <f>D862+4</f>
        <v>45375</v>
      </c>
      <c r="F862" s="2" t="s">
        <v>26</v>
      </c>
      <c r="G862" s="2" t="s">
        <v>15</v>
      </c>
      <c r="H862" s="2" t="s">
        <v>23</v>
      </c>
      <c r="I862" s="2" t="s">
        <v>17</v>
      </c>
      <c r="J862" s="2">
        <v>5.01</v>
      </c>
      <c r="K862" s="2" t="str">
        <f t="shared" si="34"/>
        <v>&gt;5kg</v>
      </c>
      <c r="L862" s="2">
        <f>tdata[[#This Row],[Received_date]]-tdata[[#This Row],[Shipment_Date]]</f>
        <v>4</v>
      </c>
      <c r="M862" s="2">
        <f>VLOOKUP(tdata[[#This Row],[Service_Type]],Table2[#All],2,0)</f>
        <v>5</v>
      </c>
      <c r="N862" s="2" t="str">
        <f>IF(tdata[[#This Row],[Delivery_Days]]&lt;=tdata[[#This Row],[SLA_Days]],"On Time","Late")</f>
        <v>On Time</v>
      </c>
      <c r="O862" s="2">
        <f>VLOOKUP(tdata[[#This Row],[Service_Type]],Table2[#All],4,0)</f>
        <v>9000</v>
      </c>
      <c r="P862" s="2">
        <f>tdata[[#This Row],[price_per_kilo]]*tdata[[#This Row],[Weight_KG]]</f>
        <v>45090</v>
      </c>
      <c r="Q862" s="2" t="str">
        <f>VLOOKUP(tdata[[#This Row],[id_employee]],temployee[#All],2,0)</f>
        <v>Ika Lestari</v>
      </c>
      <c r="R862" s="2" t="str">
        <f>VLOOKUP(tdata[[#This Row],[id_employee]],temployee[#All],4,0)</f>
        <v>internal</v>
      </c>
      <c r="S862" s="9" t="str">
        <f>VLOOKUP(tdata[[#This Row],[id_employee]],temployee[#All],5,0)</f>
        <v>rider</v>
      </c>
    </row>
    <row r="863" spans="2:19" x14ac:dyDescent="0.35">
      <c r="B863" s="8" t="s">
        <v>882</v>
      </c>
      <c r="C863" s="2" t="s">
        <v>1332</v>
      </c>
      <c r="D863" s="5">
        <v>45273</v>
      </c>
      <c r="E863" s="5">
        <v>45273</v>
      </c>
      <c r="F863" s="2" t="s">
        <v>49</v>
      </c>
      <c r="G863" s="2" t="s">
        <v>11</v>
      </c>
      <c r="H863" s="2" t="s">
        <v>1223</v>
      </c>
      <c r="I863" s="2" t="s">
        <v>17</v>
      </c>
      <c r="J863" s="2">
        <v>8.58</v>
      </c>
      <c r="K863" s="2" t="str">
        <f t="shared" si="34"/>
        <v>&gt;5kg</v>
      </c>
      <c r="L863" s="2">
        <f>tdata[[#This Row],[Received_date]]-tdata[[#This Row],[Shipment_Date]]</f>
        <v>0</v>
      </c>
      <c r="M863" s="2">
        <f>VLOOKUP(tdata[[#This Row],[Service_Type]],Table2[#All],2,0)</f>
        <v>1</v>
      </c>
      <c r="N863" s="2" t="str">
        <f>IF(tdata[[#This Row],[Delivery_Days]]&lt;=tdata[[#This Row],[SLA_Days]],"On Time","Late")</f>
        <v>On Time</v>
      </c>
      <c r="O863" s="2">
        <f>VLOOKUP(tdata[[#This Row],[Service_Type]],Table2[#All],4,0)</f>
        <v>12000</v>
      </c>
      <c r="P863" s="2">
        <f>tdata[[#This Row],[price_per_kilo]]*tdata[[#This Row],[Weight_KG]]</f>
        <v>102960</v>
      </c>
      <c r="Q863" s="2" t="str">
        <f>VLOOKUP(tdata[[#This Row],[id_employee]],temployee[#All],2,0)</f>
        <v>Jamil Akbar</v>
      </c>
      <c r="R863" s="2" t="str">
        <f>VLOOKUP(tdata[[#This Row],[id_employee]],temployee[#All],4,0)</f>
        <v>internal</v>
      </c>
      <c r="S863" s="9" t="str">
        <f>VLOOKUP(tdata[[#This Row],[id_employee]],temployee[#All],5,0)</f>
        <v>driver</v>
      </c>
    </row>
    <row r="864" spans="2:19" x14ac:dyDescent="0.35">
      <c r="B864" s="8" t="s">
        <v>883</v>
      </c>
      <c r="C864" s="2" t="s">
        <v>1333</v>
      </c>
      <c r="D864" s="5">
        <v>44973</v>
      </c>
      <c r="E864" s="5">
        <f>D864+4</f>
        <v>44977</v>
      </c>
      <c r="F864" s="2" t="s">
        <v>11</v>
      </c>
      <c r="G864" s="2" t="s">
        <v>12</v>
      </c>
      <c r="H864" s="2" t="s">
        <v>1224</v>
      </c>
      <c r="I864" s="2" t="s">
        <v>17</v>
      </c>
      <c r="J864" s="2">
        <v>6.98</v>
      </c>
      <c r="K864" s="2" t="str">
        <f t="shared" si="34"/>
        <v>&gt;5kg</v>
      </c>
      <c r="L864" s="2">
        <f>tdata[[#This Row],[Received_date]]-tdata[[#This Row],[Shipment_Date]]</f>
        <v>4</v>
      </c>
      <c r="M864" s="2">
        <f>VLOOKUP(tdata[[#This Row],[Service_Type]],Table2[#All],2,0)</f>
        <v>3</v>
      </c>
      <c r="N864" s="2" t="str">
        <f>IF(tdata[[#This Row],[Delivery_Days]]&lt;=tdata[[#This Row],[SLA_Days]],"On Time","Late")</f>
        <v>Late</v>
      </c>
      <c r="O864" s="2">
        <f>VLOOKUP(tdata[[#This Row],[Service_Type]],Table2[#All],4,0)</f>
        <v>10000</v>
      </c>
      <c r="P864" s="2">
        <f>tdata[[#This Row],[price_per_kilo]]*tdata[[#This Row],[Weight_KG]]</f>
        <v>69800</v>
      </c>
      <c r="Q864" s="2" t="str">
        <f>VLOOKUP(tdata[[#This Row],[id_employee]],temployee[#All],2,0)</f>
        <v>Kevin Sanjaya</v>
      </c>
      <c r="R864" s="2" t="str">
        <f>VLOOKUP(tdata[[#This Row],[id_employee]],temployee[#All],4,0)</f>
        <v>crowd source</v>
      </c>
      <c r="S864" s="9" t="str">
        <f>VLOOKUP(tdata[[#This Row],[id_employee]],temployee[#All],5,0)</f>
        <v>rider</v>
      </c>
    </row>
    <row r="865" spans="2:19" x14ac:dyDescent="0.35">
      <c r="B865" s="8" t="s">
        <v>884</v>
      </c>
      <c r="C865" s="2" t="s">
        <v>1334</v>
      </c>
      <c r="D865" s="5">
        <v>45244</v>
      </c>
      <c r="E865" s="5">
        <v>45252</v>
      </c>
      <c r="F865" s="2" t="s">
        <v>15</v>
      </c>
      <c r="G865" s="2" t="s">
        <v>22</v>
      </c>
      <c r="H865" s="2" t="s">
        <v>1224</v>
      </c>
      <c r="I865" s="2" t="s">
        <v>13</v>
      </c>
      <c r="J865" s="2">
        <v>5.36</v>
      </c>
      <c r="K865" s="2" t="str">
        <f t="shared" si="34"/>
        <v>&gt;5kg</v>
      </c>
      <c r="L865" s="2">
        <f>tdata[[#This Row],[Received_date]]-tdata[[#This Row],[Shipment_Date]]</f>
        <v>8</v>
      </c>
      <c r="M865" s="2">
        <f>VLOOKUP(tdata[[#This Row],[Service_Type]],Table2[#All],2,0)</f>
        <v>3</v>
      </c>
      <c r="N865" s="2" t="str">
        <f>IF(tdata[[#This Row],[Delivery_Days]]&lt;=tdata[[#This Row],[SLA_Days]],"On Time","Late")</f>
        <v>Late</v>
      </c>
      <c r="O865" s="2">
        <f>VLOOKUP(tdata[[#This Row],[Service_Type]],Table2[#All],4,0)</f>
        <v>10000</v>
      </c>
      <c r="P865" s="2">
        <f>tdata[[#This Row],[price_per_kilo]]*tdata[[#This Row],[Weight_KG]]</f>
        <v>53600</v>
      </c>
      <c r="Q865" s="2" t="str">
        <f>VLOOKUP(tdata[[#This Row],[id_employee]],temployee[#All],2,0)</f>
        <v>Laila Nuraini</v>
      </c>
      <c r="R865" s="2" t="str">
        <f>VLOOKUP(tdata[[#This Row],[id_employee]],temployee[#All],4,0)</f>
        <v>internal</v>
      </c>
      <c r="S865" s="9" t="str">
        <f>VLOOKUP(tdata[[#This Row],[id_employee]],temployee[#All],5,0)</f>
        <v>rider</v>
      </c>
    </row>
    <row r="866" spans="2:19" x14ac:dyDescent="0.35">
      <c r="B866" s="8" t="s">
        <v>885</v>
      </c>
      <c r="C866" s="2" t="s">
        <v>1335</v>
      </c>
      <c r="D866" s="5">
        <v>45609</v>
      </c>
      <c r="E866" s="5">
        <v>45612</v>
      </c>
      <c r="F866" s="2" t="s">
        <v>20</v>
      </c>
      <c r="G866" s="2" t="s">
        <v>32</v>
      </c>
      <c r="H866" s="2" t="s">
        <v>23</v>
      </c>
      <c r="I866" s="2" t="s">
        <v>17</v>
      </c>
      <c r="J866" s="2">
        <v>2.2599999999999998</v>
      </c>
      <c r="K866" s="2" t="str">
        <f t="shared" si="34"/>
        <v>&lt; 5kg</v>
      </c>
      <c r="L866" s="2">
        <f>tdata[[#This Row],[Received_date]]-tdata[[#This Row],[Shipment_Date]]</f>
        <v>3</v>
      </c>
      <c r="M866" s="2">
        <f>VLOOKUP(tdata[[#This Row],[Service_Type]],Table2[#All],2,0)</f>
        <v>5</v>
      </c>
      <c r="N866" s="2" t="str">
        <f>IF(tdata[[#This Row],[Delivery_Days]]&lt;=tdata[[#This Row],[SLA_Days]],"On Time","Late")</f>
        <v>On Time</v>
      </c>
      <c r="O866" s="2">
        <f>VLOOKUP(tdata[[#This Row],[Service_Type]],Table2[#All],4,0)</f>
        <v>9000</v>
      </c>
      <c r="P866" s="2">
        <f>tdata[[#This Row],[price_per_kilo]]*tdata[[#This Row],[Weight_KG]]</f>
        <v>20339.999999999996</v>
      </c>
      <c r="Q866" s="2" t="str">
        <f>VLOOKUP(tdata[[#This Row],[id_employee]],temployee[#All],2,0)</f>
        <v>Miko Setiawan</v>
      </c>
      <c r="R866" s="2" t="str">
        <f>VLOOKUP(tdata[[#This Row],[id_employee]],temployee[#All],4,0)</f>
        <v>crowd source</v>
      </c>
      <c r="S866" s="9" t="str">
        <f>VLOOKUP(tdata[[#This Row],[id_employee]],temployee[#All],5,0)</f>
        <v>driver</v>
      </c>
    </row>
    <row r="867" spans="2:19" x14ac:dyDescent="0.35">
      <c r="B867" s="8" t="s">
        <v>886</v>
      </c>
      <c r="C867" s="2" t="s">
        <v>1336</v>
      </c>
      <c r="D867" s="5">
        <v>45262</v>
      </c>
      <c r="E867" s="5">
        <f>D867+4</f>
        <v>45266</v>
      </c>
      <c r="F867" s="2" t="s">
        <v>22</v>
      </c>
      <c r="G867" s="2" t="s">
        <v>32</v>
      </c>
      <c r="H867" s="2" t="s">
        <v>1224</v>
      </c>
      <c r="I867" s="2" t="s">
        <v>13</v>
      </c>
      <c r="J867" s="2">
        <v>5.47</v>
      </c>
      <c r="K867" s="2" t="str">
        <f t="shared" si="34"/>
        <v>&gt;5kg</v>
      </c>
      <c r="L867" s="2">
        <f>tdata[[#This Row],[Received_date]]-tdata[[#This Row],[Shipment_Date]]</f>
        <v>4</v>
      </c>
      <c r="M867" s="2">
        <f>VLOOKUP(tdata[[#This Row],[Service_Type]],Table2[#All],2,0)</f>
        <v>3</v>
      </c>
      <c r="N867" s="2" t="str">
        <f>IF(tdata[[#This Row],[Delivery_Days]]&lt;=tdata[[#This Row],[SLA_Days]],"On Time","Late")</f>
        <v>Late</v>
      </c>
      <c r="O867" s="2">
        <f>VLOOKUP(tdata[[#This Row],[Service_Type]],Table2[#All],4,0)</f>
        <v>10000</v>
      </c>
      <c r="P867" s="2">
        <f>tdata[[#This Row],[price_per_kilo]]*tdata[[#This Row],[Weight_KG]]</f>
        <v>54700</v>
      </c>
      <c r="Q867" s="2" t="str">
        <f>VLOOKUP(tdata[[#This Row],[id_employee]],temployee[#All],2,0)</f>
        <v>Nisa Aulia</v>
      </c>
      <c r="R867" s="2" t="str">
        <f>VLOOKUP(tdata[[#This Row],[id_employee]],temployee[#All],4,0)</f>
        <v>internal</v>
      </c>
      <c r="S867" s="9" t="str">
        <f>VLOOKUP(tdata[[#This Row],[id_employee]],temployee[#All],5,0)</f>
        <v>rider</v>
      </c>
    </row>
    <row r="868" spans="2:19" x14ac:dyDescent="0.35">
      <c r="B868" s="8" t="s">
        <v>887</v>
      </c>
      <c r="C868" s="2" t="s">
        <v>1337</v>
      </c>
      <c r="D868" s="5">
        <v>44981</v>
      </c>
      <c r="E868" s="5">
        <v>44984</v>
      </c>
      <c r="F868" s="2" t="s">
        <v>12</v>
      </c>
      <c r="G868" s="2" t="s">
        <v>26</v>
      </c>
      <c r="H868" s="2" t="s">
        <v>1224</v>
      </c>
      <c r="I868" s="2" t="s">
        <v>13</v>
      </c>
      <c r="J868" s="2">
        <v>8.81</v>
      </c>
      <c r="K868" s="2" t="str">
        <f t="shared" si="34"/>
        <v>&gt;5kg</v>
      </c>
      <c r="L868" s="2">
        <f>tdata[[#This Row],[Received_date]]-tdata[[#This Row],[Shipment_Date]]</f>
        <v>3</v>
      </c>
      <c r="M868" s="2">
        <f>VLOOKUP(tdata[[#This Row],[Service_Type]],Table2[#All],2,0)</f>
        <v>3</v>
      </c>
      <c r="N868" s="2" t="str">
        <f>IF(tdata[[#This Row],[Delivery_Days]]&lt;=tdata[[#This Row],[SLA_Days]],"On Time","Late")</f>
        <v>On Time</v>
      </c>
      <c r="O868" s="2">
        <f>VLOOKUP(tdata[[#This Row],[Service_Type]],Table2[#All],4,0)</f>
        <v>10000</v>
      </c>
      <c r="P868" s="2">
        <f>tdata[[#This Row],[price_per_kilo]]*tdata[[#This Row],[Weight_KG]]</f>
        <v>88100</v>
      </c>
      <c r="Q868" s="2" t="str">
        <f>VLOOKUP(tdata[[#This Row],[id_employee]],temployee[#All],2,0)</f>
        <v>Oki Pramono</v>
      </c>
      <c r="R868" s="2" t="str">
        <f>VLOOKUP(tdata[[#This Row],[id_employee]],temployee[#All],4,0)</f>
        <v>internal</v>
      </c>
      <c r="S868" s="9" t="str">
        <f>VLOOKUP(tdata[[#This Row],[id_employee]],temployee[#All],5,0)</f>
        <v>driver</v>
      </c>
    </row>
    <row r="869" spans="2:19" x14ac:dyDescent="0.35">
      <c r="B869" s="8" t="s">
        <v>888</v>
      </c>
      <c r="C869" s="2" t="s">
        <v>1338</v>
      </c>
      <c r="D869" s="5">
        <v>45252</v>
      </c>
      <c r="E869" s="5">
        <v>45261</v>
      </c>
      <c r="F869" s="2" t="s">
        <v>30</v>
      </c>
      <c r="G869" s="2" t="s">
        <v>30</v>
      </c>
      <c r="H869" s="2" t="s">
        <v>23</v>
      </c>
      <c r="I869" s="2" t="s">
        <v>13</v>
      </c>
      <c r="J869" s="2">
        <v>4.68</v>
      </c>
      <c r="K869" s="2" t="str">
        <f t="shared" si="34"/>
        <v>&lt; 5kg</v>
      </c>
      <c r="L869" s="2">
        <f>tdata[[#This Row],[Received_date]]-tdata[[#This Row],[Shipment_Date]]</f>
        <v>9</v>
      </c>
      <c r="M869" s="2">
        <f>VLOOKUP(tdata[[#This Row],[Service_Type]],Table2[#All],2,0)</f>
        <v>5</v>
      </c>
      <c r="N869" s="2" t="str">
        <f>IF(tdata[[#This Row],[Delivery_Days]]&lt;=tdata[[#This Row],[SLA_Days]],"On Time","Late")</f>
        <v>Late</v>
      </c>
      <c r="O869" s="2">
        <f>VLOOKUP(tdata[[#This Row],[Service_Type]],Table2[#All],4,0)</f>
        <v>9000</v>
      </c>
      <c r="P869" s="2">
        <f>tdata[[#This Row],[price_per_kilo]]*tdata[[#This Row],[Weight_KG]]</f>
        <v>42120</v>
      </c>
      <c r="Q869" s="2" t="str">
        <f>VLOOKUP(tdata[[#This Row],[id_employee]],temployee[#All],2,0)</f>
        <v>Putra Mahendra</v>
      </c>
      <c r="R869" s="2" t="str">
        <f>VLOOKUP(tdata[[#This Row],[id_employee]],temployee[#All],4,0)</f>
        <v>crowd source</v>
      </c>
      <c r="S869" s="9" t="str">
        <f>VLOOKUP(tdata[[#This Row],[id_employee]],temployee[#All],5,0)</f>
        <v>rider</v>
      </c>
    </row>
    <row r="870" spans="2:19" x14ac:dyDescent="0.35">
      <c r="B870" s="8" t="s">
        <v>889</v>
      </c>
      <c r="C870" s="2" t="s">
        <v>1339</v>
      </c>
      <c r="D870" s="5">
        <v>45356</v>
      </c>
      <c r="E870" s="5">
        <f>D870+4</f>
        <v>45360</v>
      </c>
      <c r="F870" s="2" t="s">
        <v>32</v>
      </c>
      <c r="G870" s="2" t="s">
        <v>15</v>
      </c>
      <c r="H870" s="2" t="s">
        <v>1224</v>
      </c>
      <c r="I870" s="2" t="s">
        <v>17</v>
      </c>
      <c r="J870" s="2">
        <v>8.98</v>
      </c>
      <c r="K870" s="2" t="str">
        <f t="shared" si="34"/>
        <v>&gt;5kg</v>
      </c>
      <c r="L870" s="2">
        <f>tdata[[#This Row],[Received_date]]-tdata[[#This Row],[Shipment_Date]]</f>
        <v>4</v>
      </c>
      <c r="M870" s="2">
        <f>VLOOKUP(tdata[[#This Row],[Service_Type]],Table2[#All],2,0)</f>
        <v>3</v>
      </c>
      <c r="N870" s="2" t="str">
        <f>IF(tdata[[#This Row],[Delivery_Days]]&lt;=tdata[[#This Row],[SLA_Days]],"On Time","Late")</f>
        <v>Late</v>
      </c>
      <c r="O870" s="2">
        <f>VLOOKUP(tdata[[#This Row],[Service_Type]],Table2[#All],4,0)</f>
        <v>10000</v>
      </c>
      <c r="P870" s="2">
        <f>tdata[[#This Row],[price_per_kilo]]*tdata[[#This Row],[Weight_KG]]</f>
        <v>89800</v>
      </c>
      <c r="Q870" s="2" t="str">
        <f>VLOOKUP(tdata[[#This Row],[id_employee]],temployee[#All],2,0)</f>
        <v>Qolbi Ramadhani</v>
      </c>
      <c r="R870" s="2" t="str">
        <f>VLOOKUP(tdata[[#This Row],[id_employee]],temployee[#All],4,0)</f>
        <v>internal</v>
      </c>
      <c r="S870" s="9" t="str">
        <f>VLOOKUP(tdata[[#This Row],[id_employee]],temployee[#All],5,0)</f>
        <v>rider</v>
      </c>
    </row>
    <row r="871" spans="2:19" x14ac:dyDescent="0.35">
      <c r="B871" s="8" t="s">
        <v>890</v>
      </c>
      <c r="C871" s="2" t="s">
        <v>1340</v>
      </c>
      <c r="D871" s="5">
        <v>45027</v>
      </c>
      <c r="E871" s="5">
        <v>45028</v>
      </c>
      <c r="F871" s="2" t="s">
        <v>16</v>
      </c>
      <c r="G871" s="2" t="s">
        <v>11</v>
      </c>
      <c r="H871" s="2" t="s">
        <v>1224</v>
      </c>
      <c r="I871" s="2" t="s">
        <v>17</v>
      </c>
      <c r="J871" s="2">
        <v>1.76</v>
      </c>
      <c r="K871" s="2" t="str">
        <f t="shared" si="34"/>
        <v>&lt; 5kg</v>
      </c>
      <c r="L871" s="2">
        <f>tdata[[#This Row],[Received_date]]-tdata[[#This Row],[Shipment_Date]]</f>
        <v>1</v>
      </c>
      <c r="M871" s="2">
        <f>VLOOKUP(tdata[[#This Row],[Service_Type]],Table2[#All],2,0)</f>
        <v>3</v>
      </c>
      <c r="N871" s="2" t="str">
        <f>IF(tdata[[#This Row],[Delivery_Days]]&lt;=tdata[[#This Row],[SLA_Days]],"On Time","Late")</f>
        <v>On Time</v>
      </c>
      <c r="O871" s="2">
        <f>VLOOKUP(tdata[[#This Row],[Service_Type]],Table2[#All],4,0)</f>
        <v>10000</v>
      </c>
      <c r="P871" s="2">
        <f>tdata[[#This Row],[price_per_kilo]]*tdata[[#This Row],[Weight_KG]]</f>
        <v>17600</v>
      </c>
      <c r="Q871" s="2" t="str">
        <f>VLOOKUP(tdata[[#This Row],[id_employee]],temployee[#All],2,0)</f>
        <v>Reza Firmansyah</v>
      </c>
      <c r="R871" s="2" t="str">
        <f>VLOOKUP(tdata[[#This Row],[id_employee]],temployee[#All],4,0)</f>
        <v>crowd source</v>
      </c>
      <c r="S871" s="9" t="str">
        <f>VLOOKUP(tdata[[#This Row],[id_employee]],temployee[#All],5,0)</f>
        <v>driver</v>
      </c>
    </row>
    <row r="872" spans="2:19" x14ac:dyDescent="0.35">
      <c r="B872" s="8" t="s">
        <v>891</v>
      </c>
      <c r="C872" s="2" t="s">
        <v>1341</v>
      </c>
      <c r="D872" s="5">
        <v>45502</v>
      </c>
      <c r="E872" s="5">
        <f>D872+4</f>
        <v>45506</v>
      </c>
      <c r="F872" s="2" t="s">
        <v>26</v>
      </c>
      <c r="G872" s="2" t="s">
        <v>12</v>
      </c>
      <c r="H872" s="2" t="s">
        <v>23</v>
      </c>
      <c r="I872" s="2" t="s">
        <v>17</v>
      </c>
      <c r="J872" s="2">
        <v>6.91</v>
      </c>
      <c r="K872" s="2" t="str">
        <f t="shared" si="34"/>
        <v>&gt;5kg</v>
      </c>
      <c r="L872" s="2">
        <f>tdata[[#This Row],[Received_date]]-tdata[[#This Row],[Shipment_Date]]</f>
        <v>4</v>
      </c>
      <c r="M872" s="2">
        <f>VLOOKUP(tdata[[#This Row],[Service_Type]],Table2[#All],2,0)</f>
        <v>5</v>
      </c>
      <c r="N872" s="2" t="str">
        <f>IF(tdata[[#This Row],[Delivery_Days]]&lt;=tdata[[#This Row],[SLA_Days]],"On Time","Late")</f>
        <v>On Time</v>
      </c>
      <c r="O872" s="2">
        <f>VLOOKUP(tdata[[#This Row],[Service_Type]],Table2[#All],4,0)</f>
        <v>9000</v>
      </c>
      <c r="P872" s="2">
        <f>tdata[[#This Row],[price_per_kilo]]*tdata[[#This Row],[Weight_KG]]</f>
        <v>62190</v>
      </c>
      <c r="Q872" s="2" t="str">
        <f>VLOOKUP(tdata[[#This Row],[id_employee]],temployee[#All],2,0)</f>
        <v>Siska Amelia</v>
      </c>
      <c r="R872" s="2" t="str">
        <f>VLOOKUP(tdata[[#This Row],[id_employee]],temployee[#All],4,0)</f>
        <v>internal</v>
      </c>
      <c r="S872" s="9" t="str">
        <f>VLOOKUP(tdata[[#This Row],[id_employee]],temployee[#All],5,0)</f>
        <v>rider</v>
      </c>
    </row>
    <row r="873" spans="2:19" x14ac:dyDescent="0.35">
      <c r="B873" s="8" t="s">
        <v>892</v>
      </c>
      <c r="C873" s="2" t="s">
        <v>1342</v>
      </c>
      <c r="D873" s="5">
        <v>45087</v>
      </c>
      <c r="E873" s="5">
        <v>45089</v>
      </c>
      <c r="F873" s="2" t="s">
        <v>49</v>
      </c>
      <c r="G873" s="2" t="s">
        <v>30</v>
      </c>
      <c r="H873" s="2" t="s">
        <v>1224</v>
      </c>
      <c r="I873" s="2" t="s">
        <v>13</v>
      </c>
      <c r="J873" s="2">
        <v>0.83</v>
      </c>
      <c r="K873" s="2" t="str">
        <f t="shared" si="34"/>
        <v>&lt; 5kg</v>
      </c>
      <c r="L873" s="2">
        <f>tdata[[#This Row],[Received_date]]-tdata[[#This Row],[Shipment_Date]]</f>
        <v>2</v>
      </c>
      <c r="M873" s="2">
        <f>VLOOKUP(tdata[[#This Row],[Service_Type]],Table2[#All],2,0)</f>
        <v>3</v>
      </c>
      <c r="N873" s="2" t="str">
        <f>IF(tdata[[#This Row],[Delivery_Days]]&lt;=tdata[[#This Row],[SLA_Days]],"On Time","Late")</f>
        <v>On Time</v>
      </c>
      <c r="O873" s="2">
        <f>VLOOKUP(tdata[[#This Row],[Service_Type]],Table2[#All],4,0)</f>
        <v>10000</v>
      </c>
      <c r="P873" s="2">
        <f>tdata[[#This Row],[price_per_kilo]]*tdata[[#This Row],[Weight_KG]]</f>
        <v>8300</v>
      </c>
      <c r="Q873" s="2" t="str">
        <f>VLOOKUP(tdata[[#This Row],[id_employee]],temployee[#All],2,0)</f>
        <v>Tri Wibowo</v>
      </c>
      <c r="R873" s="2" t="str">
        <f>VLOOKUP(tdata[[#This Row],[id_employee]],temployee[#All],4,0)</f>
        <v>internal</v>
      </c>
      <c r="S873" s="9" t="str">
        <f>VLOOKUP(tdata[[#This Row],[id_employee]],temployee[#All],5,0)</f>
        <v>driver</v>
      </c>
    </row>
    <row r="874" spans="2:19" x14ac:dyDescent="0.35">
      <c r="B874" s="8" t="s">
        <v>893</v>
      </c>
      <c r="C874" s="2" t="s">
        <v>1343</v>
      </c>
      <c r="D874" s="5">
        <v>44953</v>
      </c>
      <c r="E874" s="5">
        <f t="shared" ref="E874:E875" si="36">D874+4</f>
        <v>44957</v>
      </c>
      <c r="F874" s="2" t="s">
        <v>11</v>
      </c>
      <c r="G874" s="2" t="s">
        <v>32</v>
      </c>
      <c r="H874" s="2" t="s">
        <v>1224</v>
      </c>
      <c r="I874" s="2" t="s">
        <v>17</v>
      </c>
      <c r="J874" s="2">
        <v>6.78</v>
      </c>
      <c r="K874" s="2" t="str">
        <f t="shared" si="34"/>
        <v>&gt;5kg</v>
      </c>
      <c r="L874" s="2">
        <f>tdata[[#This Row],[Received_date]]-tdata[[#This Row],[Shipment_Date]]</f>
        <v>4</v>
      </c>
      <c r="M874" s="2">
        <f>VLOOKUP(tdata[[#This Row],[Service_Type]],Table2[#All],2,0)</f>
        <v>3</v>
      </c>
      <c r="N874" s="2" t="str">
        <f>IF(tdata[[#This Row],[Delivery_Days]]&lt;=tdata[[#This Row],[SLA_Days]],"On Time","Late")</f>
        <v>Late</v>
      </c>
      <c r="O874" s="2">
        <f>VLOOKUP(tdata[[#This Row],[Service_Type]],Table2[#All],4,0)</f>
        <v>10000</v>
      </c>
      <c r="P874" s="2">
        <f>tdata[[#This Row],[price_per_kilo]]*tdata[[#This Row],[Weight_KG]]</f>
        <v>67800</v>
      </c>
      <c r="Q874" s="2" t="str">
        <f>VLOOKUP(tdata[[#This Row],[id_employee]],temployee[#All],2,0)</f>
        <v>Ubay Prakoso</v>
      </c>
      <c r="R874" s="2" t="str">
        <f>VLOOKUP(tdata[[#This Row],[id_employee]],temployee[#All],4,0)</f>
        <v>crowd source</v>
      </c>
      <c r="S874" s="9" t="str">
        <f>VLOOKUP(tdata[[#This Row],[id_employee]],temployee[#All],5,0)</f>
        <v>rider</v>
      </c>
    </row>
    <row r="875" spans="2:19" x14ac:dyDescent="0.35">
      <c r="B875" s="8" t="s">
        <v>894</v>
      </c>
      <c r="C875" s="2" t="s">
        <v>1344</v>
      </c>
      <c r="D875" s="5">
        <v>44991</v>
      </c>
      <c r="E875" s="5">
        <f t="shared" si="36"/>
        <v>44995</v>
      </c>
      <c r="F875" s="2" t="s">
        <v>15</v>
      </c>
      <c r="G875" s="2" t="s">
        <v>11</v>
      </c>
      <c r="H875" s="2" t="s">
        <v>1224</v>
      </c>
      <c r="I875" s="2" t="s">
        <v>13</v>
      </c>
      <c r="J875" s="2">
        <v>7.61</v>
      </c>
      <c r="K875" s="2" t="str">
        <f t="shared" si="34"/>
        <v>&gt;5kg</v>
      </c>
      <c r="L875" s="2">
        <f>tdata[[#This Row],[Received_date]]-tdata[[#This Row],[Shipment_Date]]</f>
        <v>4</v>
      </c>
      <c r="M875" s="2">
        <f>VLOOKUP(tdata[[#This Row],[Service_Type]],Table2[#All],2,0)</f>
        <v>3</v>
      </c>
      <c r="N875" s="2" t="str">
        <f>IF(tdata[[#This Row],[Delivery_Days]]&lt;=tdata[[#This Row],[SLA_Days]],"On Time","Late")</f>
        <v>Late</v>
      </c>
      <c r="O875" s="2">
        <f>VLOOKUP(tdata[[#This Row],[Service_Type]],Table2[#All],4,0)</f>
        <v>10000</v>
      </c>
      <c r="P875" s="2">
        <f>tdata[[#This Row],[price_per_kilo]]*tdata[[#This Row],[Weight_KG]]</f>
        <v>76100</v>
      </c>
      <c r="Q875" s="2" t="str">
        <f>VLOOKUP(tdata[[#This Row],[id_employee]],temployee[#All],2,0)</f>
        <v>Vania Putri</v>
      </c>
      <c r="R875" s="2" t="str">
        <f>VLOOKUP(tdata[[#This Row],[id_employee]],temployee[#All],4,0)</f>
        <v>internal</v>
      </c>
      <c r="S875" s="9" t="str">
        <f>VLOOKUP(tdata[[#This Row],[id_employee]],temployee[#All],5,0)</f>
        <v>rider</v>
      </c>
    </row>
    <row r="876" spans="2:19" x14ac:dyDescent="0.35">
      <c r="B876" s="8" t="s">
        <v>895</v>
      </c>
      <c r="C876" s="2" t="s">
        <v>1345</v>
      </c>
      <c r="D876" s="5">
        <v>45560</v>
      </c>
      <c r="E876" s="5">
        <v>45568</v>
      </c>
      <c r="F876" s="2" t="s">
        <v>20</v>
      </c>
      <c r="G876" s="2" t="s">
        <v>30</v>
      </c>
      <c r="H876" s="2" t="s">
        <v>1224</v>
      </c>
      <c r="I876" s="2" t="s">
        <v>13</v>
      </c>
      <c r="J876" s="2">
        <v>8.64</v>
      </c>
      <c r="K876" s="2" t="str">
        <f t="shared" si="34"/>
        <v>&gt;5kg</v>
      </c>
      <c r="L876" s="2">
        <f>tdata[[#This Row],[Received_date]]-tdata[[#This Row],[Shipment_Date]]</f>
        <v>8</v>
      </c>
      <c r="M876" s="2">
        <f>VLOOKUP(tdata[[#This Row],[Service_Type]],Table2[#All],2,0)</f>
        <v>3</v>
      </c>
      <c r="N876" s="2" t="str">
        <f>IF(tdata[[#This Row],[Delivery_Days]]&lt;=tdata[[#This Row],[SLA_Days]],"On Time","Late")</f>
        <v>Late</v>
      </c>
      <c r="O876" s="2">
        <f>VLOOKUP(tdata[[#This Row],[Service_Type]],Table2[#All],4,0)</f>
        <v>10000</v>
      </c>
      <c r="P876" s="2">
        <f>tdata[[#This Row],[price_per_kilo]]*tdata[[#This Row],[Weight_KG]]</f>
        <v>86400</v>
      </c>
      <c r="Q876" s="2" t="str">
        <f>VLOOKUP(tdata[[#This Row],[id_employee]],temployee[#All],2,0)</f>
        <v>Wira Nugraha</v>
      </c>
      <c r="R876" s="2" t="str">
        <f>VLOOKUP(tdata[[#This Row],[id_employee]],temployee[#All],4,0)</f>
        <v>internal</v>
      </c>
      <c r="S876" s="9" t="str">
        <f>VLOOKUP(tdata[[#This Row],[id_employee]],temployee[#All],5,0)</f>
        <v>driver</v>
      </c>
    </row>
    <row r="877" spans="2:19" x14ac:dyDescent="0.35">
      <c r="B877" s="8" t="s">
        <v>896</v>
      </c>
      <c r="C877" s="2" t="s">
        <v>1346</v>
      </c>
      <c r="D877" s="5">
        <v>45384</v>
      </c>
      <c r="E877" s="5">
        <v>45387</v>
      </c>
      <c r="F877" s="2" t="s">
        <v>22</v>
      </c>
      <c r="G877" s="2" t="s">
        <v>30</v>
      </c>
      <c r="H877" s="2" t="s">
        <v>1224</v>
      </c>
      <c r="I877" s="2" t="s">
        <v>17</v>
      </c>
      <c r="J877" s="2">
        <v>0.52</v>
      </c>
      <c r="K877" s="2" t="str">
        <f t="shared" si="34"/>
        <v>&lt; 5kg</v>
      </c>
      <c r="L877" s="2">
        <f>tdata[[#This Row],[Received_date]]-tdata[[#This Row],[Shipment_Date]]</f>
        <v>3</v>
      </c>
      <c r="M877" s="2">
        <f>VLOOKUP(tdata[[#This Row],[Service_Type]],Table2[#All],2,0)</f>
        <v>3</v>
      </c>
      <c r="N877" s="2" t="str">
        <f>IF(tdata[[#This Row],[Delivery_Days]]&lt;=tdata[[#This Row],[SLA_Days]],"On Time","Late")</f>
        <v>On Time</v>
      </c>
      <c r="O877" s="2">
        <f>VLOOKUP(tdata[[#This Row],[Service_Type]],Table2[#All],4,0)</f>
        <v>10000</v>
      </c>
      <c r="P877" s="2">
        <f>tdata[[#This Row],[price_per_kilo]]*tdata[[#This Row],[Weight_KG]]</f>
        <v>5200</v>
      </c>
      <c r="Q877" s="2" t="str">
        <f>VLOOKUP(tdata[[#This Row],[id_employee]],temployee[#All],2,0)</f>
        <v>Xaverius Adi</v>
      </c>
      <c r="R877" s="2" t="str">
        <f>VLOOKUP(tdata[[#This Row],[id_employee]],temployee[#All],4,0)</f>
        <v>crowd source</v>
      </c>
      <c r="S877" s="9" t="str">
        <f>VLOOKUP(tdata[[#This Row],[id_employee]],temployee[#All],5,0)</f>
        <v>driver</v>
      </c>
    </row>
    <row r="878" spans="2:19" x14ac:dyDescent="0.35">
      <c r="B878" s="8" t="s">
        <v>897</v>
      </c>
      <c r="C878" s="2" t="s">
        <v>1347</v>
      </c>
      <c r="D878" s="5">
        <v>45443</v>
      </c>
      <c r="E878" s="5">
        <v>45443</v>
      </c>
      <c r="F878" s="2" t="s">
        <v>12</v>
      </c>
      <c r="G878" s="2" t="s">
        <v>32</v>
      </c>
      <c r="H878" s="2" t="s">
        <v>1223</v>
      </c>
      <c r="I878" s="2" t="s">
        <v>13</v>
      </c>
      <c r="J878" s="2">
        <v>3.12</v>
      </c>
      <c r="K878" s="2" t="str">
        <f t="shared" si="34"/>
        <v>&lt; 5kg</v>
      </c>
      <c r="L878" s="2">
        <f>tdata[[#This Row],[Received_date]]-tdata[[#This Row],[Shipment_Date]]</f>
        <v>0</v>
      </c>
      <c r="M878" s="2">
        <f>VLOOKUP(tdata[[#This Row],[Service_Type]],Table2[#All],2,0)</f>
        <v>1</v>
      </c>
      <c r="N878" s="2" t="str">
        <f>IF(tdata[[#This Row],[Delivery_Days]]&lt;=tdata[[#This Row],[SLA_Days]],"On Time","Late")</f>
        <v>On Time</v>
      </c>
      <c r="O878" s="2">
        <f>VLOOKUP(tdata[[#This Row],[Service_Type]],Table2[#All],4,0)</f>
        <v>12000</v>
      </c>
      <c r="P878" s="2">
        <f>tdata[[#This Row],[price_per_kilo]]*tdata[[#This Row],[Weight_KG]]</f>
        <v>37440</v>
      </c>
      <c r="Q878" s="2" t="str">
        <f>VLOOKUP(tdata[[#This Row],[id_employee]],temployee[#All],2,0)</f>
        <v>Yuliana Kartini</v>
      </c>
      <c r="R878" s="2" t="str">
        <f>VLOOKUP(tdata[[#This Row],[id_employee]],temployee[#All],4,0)</f>
        <v>internal</v>
      </c>
      <c r="S878" s="9" t="str">
        <f>VLOOKUP(tdata[[#This Row],[id_employee]],temployee[#All],5,0)</f>
        <v>rider</v>
      </c>
    </row>
    <row r="879" spans="2:19" x14ac:dyDescent="0.35">
      <c r="B879" s="8" t="s">
        <v>898</v>
      </c>
      <c r="C879" s="2" t="s">
        <v>1348</v>
      </c>
      <c r="D879" s="5">
        <v>45304</v>
      </c>
      <c r="E879" s="5">
        <v>45304</v>
      </c>
      <c r="F879" s="2" t="s">
        <v>30</v>
      </c>
      <c r="G879" s="2" t="s">
        <v>15</v>
      </c>
      <c r="H879" s="2" t="s">
        <v>23</v>
      </c>
      <c r="I879" s="2" t="s">
        <v>13</v>
      </c>
      <c r="J879" s="2">
        <v>1.0900000000000001</v>
      </c>
      <c r="K879" s="2" t="str">
        <f t="shared" si="34"/>
        <v>&lt; 5kg</v>
      </c>
      <c r="L879" s="2">
        <f>tdata[[#This Row],[Received_date]]-tdata[[#This Row],[Shipment_Date]]</f>
        <v>0</v>
      </c>
      <c r="M879" s="2">
        <f>VLOOKUP(tdata[[#This Row],[Service_Type]],Table2[#All],2,0)</f>
        <v>5</v>
      </c>
      <c r="N879" s="2" t="str">
        <f>IF(tdata[[#This Row],[Delivery_Days]]&lt;=tdata[[#This Row],[SLA_Days]],"On Time","Late")</f>
        <v>On Time</v>
      </c>
      <c r="O879" s="2">
        <f>VLOOKUP(tdata[[#This Row],[Service_Type]],Table2[#All],4,0)</f>
        <v>9000</v>
      </c>
      <c r="P879" s="2">
        <f>tdata[[#This Row],[price_per_kilo]]*tdata[[#This Row],[Weight_KG]]</f>
        <v>9810</v>
      </c>
      <c r="Q879" s="2" t="str">
        <f>VLOOKUP(tdata[[#This Row],[id_employee]],temployee[#All],2,0)</f>
        <v>Zaki Alamsyah</v>
      </c>
      <c r="R879" s="2" t="str">
        <f>VLOOKUP(tdata[[#This Row],[id_employee]],temployee[#All],4,0)</f>
        <v>internal</v>
      </c>
      <c r="S879" s="9" t="str">
        <f>VLOOKUP(tdata[[#This Row],[id_employee]],temployee[#All],5,0)</f>
        <v>rider</v>
      </c>
    </row>
    <row r="880" spans="2:19" x14ac:dyDescent="0.35">
      <c r="B880" s="8" t="s">
        <v>899</v>
      </c>
      <c r="C880" s="2" t="s">
        <v>1349</v>
      </c>
      <c r="D880" s="5">
        <v>45468</v>
      </c>
      <c r="E880" s="5">
        <v>45475</v>
      </c>
      <c r="F880" s="2" t="s">
        <v>32</v>
      </c>
      <c r="G880" s="2" t="s">
        <v>20</v>
      </c>
      <c r="H880" s="2" t="s">
        <v>23</v>
      </c>
      <c r="I880" s="2" t="s">
        <v>17</v>
      </c>
      <c r="J880" s="2">
        <v>9.2200000000000006</v>
      </c>
      <c r="K880" s="2" t="str">
        <f t="shared" si="34"/>
        <v>&gt;5kg</v>
      </c>
      <c r="L880" s="2">
        <f>tdata[[#This Row],[Received_date]]-tdata[[#This Row],[Shipment_Date]]</f>
        <v>7</v>
      </c>
      <c r="M880" s="2">
        <f>VLOOKUP(tdata[[#This Row],[Service_Type]],Table2[#All],2,0)</f>
        <v>5</v>
      </c>
      <c r="N880" s="2" t="str">
        <f>IF(tdata[[#This Row],[Delivery_Days]]&lt;=tdata[[#This Row],[SLA_Days]],"On Time","Late")</f>
        <v>Late</v>
      </c>
      <c r="O880" s="2">
        <f>VLOOKUP(tdata[[#This Row],[Service_Type]],Table2[#All],4,0)</f>
        <v>9000</v>
      </c>
      <c r="P880" s="2">
        <f>tdata[[#This Row],[price_per_kilo]]*tdata[[#This Row],[Weight_KG]]</f>
        <v>82980</v>
      </c>
      <c r="Q880" s="2" t="str">
        <f>VLOOKUP(tdata[[#This Row],[id_employee]],temployee[#All],2,0)</f>
        <v>Arief Setyawan</v>
      </c>
      <c r="R880" s="2" t="str">
        <f>VLOOKUP(tdata[[#This Row],[id_employee]],temployee[#All],4,0)</f>
        <v>crowd source</v>
      </c>
      <c r="S880" s="9" t="str">
        <f>VLOOKUP(tdata[[#This Row],[id_employee]],temployee[#All],5,0)</f>
        <v>driver</v>
      </c>
    </row>
    <row r="881" spans="2:19" x14ac:dyDescent="0.35">
      <c r="B881" s="8" t="s">
        <v>900</v>
      </c>
      <c r="C881" s="2" t="s">
        <v>1350</v>
      </c>
      <c r="D881" s="5">
        <v>45000</v>
      </c>
      <c r="E881" s="5">
        <f>D881+4</f>
        <v>45004</v>
      </c>
      <c r="F881" s="2" t="s">
        <v>16</v>
      </c>
      <c r="G881" s="2" t="s">
        <v>32</v>
      </c>
      <c r="H881" s="2" t="s">
        <v>23</v>
      </c>
      <c r="I881" s="2" t="s">
        <v>17</v>
      </c>
      <c r="J881" s="2">
        <v>10.3</v>
      </c>
      <c r="K881" s="2" t="str">
        <f t="shared" si="34"/>
        <v>&gt;5kg</v>
      </c>
      <c r="L881" s="2">
        <f>tdata[[#This Row],[Received_date]]-tdata[[#This Row],[Shipment_Date]]</f>
        <v>4</v>
      </c>
      <c r="M881" s="2">
        <f>VLOOKUP(tdata[[#This Row],[Service_Type]],Table2[#All],2,0)</f>
        <v>5</v>
      </c>
      <c r="N881" s="2" t="str">
        <f>IF(tdata[[#This Row],[Delivery_Days]]&lt;=tdata[[#This Row],[SLA_Days]],"On Time","Late")</f>
        <v>On Time</v>
      </c>
      <c r="O881" s="2">
        <f>VLOOKUP(tdata[[#This Row],[Service_Type]],Table2[#All],4,0)</f>
        <v>9000</v>
      </c>
      <c r="P881" s="2">
        <f>tdata[[#This Row],[price_per_kilo]]*tdata[[#This Row],[Weight_KG]]</f>
        <v>92700</v>
      </c>
      <c r="Q881" s="2" t="str">
        <f>VLOOKUP(tdata[[#This Row],[id_employee]],temployee[#All],2,0)</f>
        <v>Bunga Cahyani</v>
      </c>
      <c r="R881" s="2" t="str">
        <f>VLOOKUP(tdata[[#This Row],[id_employee]],temployee[#All],4,0)</f>
        <v>internal</v>
      </c>
      <c r="S881" s="9" t="str">
        <f>VLOOKUP(tdata[[#This Row],[id_employee]],temployee[#All],5,0)</f>
        <v>rider</v>
      </c>
    </row>
    <row r="882" spans="2:19" x14ac:dyDescent="0.35">
      <c r="B882" s="8" t="s">
        <v>901</v>
      </c>
      <c r="C882" s="2" t="s">
        <v>1351</v>
      </c>
      <c r="D882" s="5">
        <v>45493</v>
      </c>
      <c r="E882" s="5">
        <v>45495</v>
      </c>
      <c r="F882" s="2" t="s">
        <v>26</v>
      </c>
      <c r="G882" s="2" t="s">
        <v>22</v>
      </c>
      <c r="H882" s="2" t="s">
        <v>1224</v>
      </c>
      <c r="I882" s="2" t="s">
        <v>17</v>
      </c>
      <c r="J882" s="2">
        <v>4.37</v>
      </c>
      <c r="K882" s="2" t="str">
        <f t="shared" si="34"/>
        <v>&lt; 5kg</v>
      </c>
      <c r="L882" s="2">
        <f>tdata[[#This Row],[Received_date]]-tdata[[#This Row],[Shipment_Date]]</f>
        <v>2</v>
      </c>
      <c r="M882" s="2">
        <f>VLOOKUP(tdata[[#This Row],[Service_Type]],Table2[#All],2,0)</f>
        <v>3</v>
      </c>
      <c r="N882" s="2" t="str">
        <f>IF(tdata[[#This Row],[Delivery_Days]]&lt;=tdata[[#This Row],[SLA_Days]],"On Time","Late")</f>
        <v>On Time</v>
      </c>
      <c r="O882" s="2">
        <f>VLOOKUP(tdata[[#This Row],[Service_Type]],Table2[#All],4,0)</f>
        <v>10000</v>
      </c>
      <c r="P882" s="2">
        <f>tdata[[#This Row],[price_per_kilo]]*tdata[[#This Row],[Weight_KG]]</f>
        <v>43700</v>
      </c>
      <c r="Q882" s="2" t="str">
        <f>VLOOKUP(tdata[[#This Row],[id_employee]],temployee[#All],2,0)</f>
        <v>Cahyo Prabowo</v>
      </c>
      <c r="R882" s="2" t="str">
        <f>VLOOKUP(tdata[[#This Row],[id_employee]],temployee[#All],4,0)</f>
        <v>internal</v>
      </c>
      <c r="S882" s="9" t="str">
        <f>VLOOKUP(tdata[[#This Row],[id_employee]],temployee[#All],5,0)</f>
        <v>driver</v>
      </c>
    </row>
    <row r="883" spans="2:19" x14ac:dyDescent="0.35">
      <c r="B883" s="8" t="s">
        <v>902</v>
      </c>
      <c r="C883" s="2" t="s">
        <v>1352</v>
      </c>
      <c r="D883" s="5">
        <v>45389</v>
      </c>
      <c r="E883" s="5">
        <f>D883+4</f>
        <v>45393</v>
      </c>
      <c r="F883" s="2" t="s">
        <v>49</v>
      </c>
      <c r="G883" s="2" t="s">
        <v>22</v>
      </c>
      <c r="H883" s="2" t="s">
        <v>23</v>
      </c>
      <c r="I883" s="2" t="s">
        <v>17</v>
      </c>
      <c r="J883" s="2">
        <v>5.36</v>
      </c>
      <c r="K883" s="2" t="str">
        <f t="shared" si="34"/>
        <v>&gt;5kg</v>
      </c>
      <c r="L883" s="2">
        <f>tdata[[#This Row],[Received_date]]-tdata[[#This Row],[Shipment_Date]]</f>
        <v>4</v>
      </c>
      <c r="M883" s="2">
        <f>VLOOKUP(tdata[[#This Row],[Service_Type]],Table2[#All],2,0)</f>
        <v>5</v>
      </c>
      <c r="N883" s="2" t="str">
        <f>IF(tdata[[#This Row],[Delivery_Days]]&lt;=tdata[[#This Row],[SLA_Days]],"On Time","Late")</f>
        <v>On Time</v>
      </c>
      <c r="O883" s="2">
        <f>VLOOKUP(tdata[[#This Row],[Service_Type]],Table2[#All],4,0)</f>
        <v>9000</v>
      </c>
      <c r="P883" s="2">
        <f>tdata[[#This Row],[price_per_kilo]]*tdata[[#This Row],[Weight_KG]]</f>
        <v>48240</v>
      </c>
      <c r="Q883" s="2" t="str">
        <f>VLOOKUP(tdata[[#This Row],[id_employee]],temployee[#All],2,0)</f>
        <v>Diah Permata</v>
      </c>
      <c r="R883" s="2" t="str">
        <f>VLOOKUP(tdata[[#This Row],[id_employee]],temployee[#All],4,0)</f>
        <v>crowd source</v>
      </c>
      <c r="S883" s="9" t="str">
        <f>VLOOKUP(tdata[[#This Row],[id_employee]],temployee[#All],5,0)</f>
        <v>rider</v>
      </c>
    </row>
    <row r="884" spans="2:19" x14ac:dyDescent="0.35">
      <c r="B884" s="8" t="s">
        <v>903</v>
      </c>
      <c r="C884" s="2" t="s">
        <v>1353</v>
      </c>
      <c r="D884" s="5">
        <v>45379</v>
      </c>
      <c r="E884" s="5">
        <v>45381</v>
      </c>
      <c r="F884" s="2" t="s">
        <v>11</v>
      </c>
      <c r="G884" s="2" t="s">
        <v>32</v>
      </c>
      <c r="H884" s="2" t="s">
        <v>23</v>
      </c>
      <c r="I884" s="2" t="s">
        <v>13</v>
      </c>
      <c r="J884" s="2">
        <v>3.49</v>
      </c>
      <c r="K884" s="2" t="str">
        <f t="shared" si="34"/>
        <v>&lt; 5kg</v>
      </c>
      <c r="L884" s="2">
        <f>tdata[[#This Row],[Received_date]]-tdata[[#This Row],[Shipment_Date]]</f>
        <v>2</v>
      </c>
      <c r="M884" s="2">
        <f>VLOOKUP(tdata[[#This Row],[Service_Type]],Table2[#All],2,0)</f>
        <v>5</v>
      </c>
      <c r="N884" s="2" t="str">
        <f>IF(tdata[[#This Row],[Delivery_Days]]&lt;=tdata[[#This Row],[SLA_Days]],"On Time","Late")</f>
        <v>On Time</v>
      </c>
      <c r="O884" s="2">
        <f>VLOOKUP(tdata[[#This Row],[Service_Type]],Table2[#All],4,0)</f>
        <v>9000</v>
      </c>
      <c r="P884" s="2">
        <f>tdata[[#This Row],[price_per_kilo]]*tdata[[#This Row],[Weight_KG]]</f>
        <v>31410.000000000004</v>
      </c>
      <c r="Q884" s="2" t="str">
        <f>VLOOKUP(tdata[[#This Row],[id_employee]],temployee[#All],2,0)</f>
        <v>Evania Putri</v>
      </c>
      <c r="R884" s="2" t="str">
        <f>VLOOKUP(tdata[[#This Row],[id_employee]],temployee[#All],4,0)</f>
        <v>internal</v>
      </c>
      <c r="S884" s="9" t="str">
        <f>VLOOKUP(tdata[[#This Row],[id_employee]],temployee[#All],5,0)</f>
        <v>rider</v>
      </c>
    </row>
    <row r="885" spans="2:19" x14ac:dyDescent="0.35">
      <c r="B885" s="8" t="s">
        <v>904</v>
      </c>
      <c r="C885" s="2" t="s">
        <v>1354</v>
      </c>
      <c r="D885" s="5">
        <v>45391</v>
      </c>
      <c r="E885" s="5">
        <v>45400</v>
      </c>
      <c r="F885" s="2" t="s">
        <v>15</v>
      </c>
      <c r="G885" s="2" t="s">
        <v>20</v>
      </c>
      <c r="H885" s="2" t="s">
        <v>1224</v>
      </c>
      <c r="I885" s="2" t="s">
        <v>13</v>
      </c>
      <c r="J885" s="2">
        <v>4.54</v>
      </c>
      <c r="K885" s="2" t="str">
        <f t="shared" si="34"/>
        <v>&lt; 5kg</v>
      </c>
      <c r="L885" s="2">
        <f>tdata[[#This Row],[Received_date]]-tdata[[#This Row],[Shipment_Date]]</f>
        <v>9</v>
      </c>
      <c r="M885" s="2">
        <f>VLOOKUP(tdata[[#This Row],[Service_Type]],Table2[#All],2,0)</f>
        <v>3</v>
      </c>
      <c r="N885" s="2" t="str">
        <f>IF(tdata[[#This Row],[Delivery_Days]]&lt;=tdata[[#This Row],[SLA_Days]],"On Time","Late")</f>
        <v>Late</v>
      </c>
      <c r="O885" s="2">
        <f>VLOOKUP(tdata[[#This Row],[Service_Type]],Table2[#All],4,0)</f>
        <v>10000</v>
      </c>
      <c r="P885" s="2">
        <f>tdata[[#This Row],[price_per_kilo]]*tdata[[#This Row],[Weight_KG]]</f>
        <v>45400</v>
      </c>
      <c r="Q885" s="2" t="str">
        <f>VLOOKUP(tdata[[#This Row],[id_employee]],temployee[#All],2,0)</f>
        <v>Fikri Ramadhan</v>
      </c>
      <c r="R885" s="2" t="str">
        <f>VLOOKUP(tdata[[#This Row],[id_employee]],temployee[#All],4,0)</f>
        <v>crowd source</v>
      </c>
      <c r="S885" s="9" t="str">
        <f>VLOOKUP(tdata[[#This Row],[id_employee]],temployee[#All],5,0)</f>
        <v>driver</v>
      </c>
    </row>
    <row r="886" spans="2:19" x14ac:dyDescent="0.35">
      <c r="B886" s="8" t="s">
        <v>905</v>
      </c>
      <c r="C886" s="2" t="s">
        <v>1355</v>
      </c>
      <c r="D886" s="5">
        <v>45264</v>
      </c>
      <c r="E886" s="5">
        <v>45265</v>
      </c>
      <c r="F886" s="2" t="s">
        <v>20</v>
      </c>
      <c r="G886" s="2" t="s">
        <v>11</v>
      </c>
      <c r="H886" s="2" t="s">
        <v>1223</v>
      </c>
      <c r="I886" s="2" t="s">
        <v>13</v>
      </c>
      <c r="J886" s="2">
        <v>0.97</v>
      </c>
      <c r="K886" s="2" t="str">
        <f t="shared" si="34"/>
        <v>&lt; 5kg</v>
      </c>
      <c r="L886" s="2">
        <f>tdata[[#This Row],[Received_date]]-tdata[[#This Row],[Shipment_Date]]</f>
        <v>1</v>
      </c>
      <c r="M886" s="2">
        <f>VLOOKUP(tdata[[#This Row],[Service_Type]],Table2[#All],2,0)</f>
        <v>1</v>
      </c>
      <c r="N886" s="2" t="str">
        <f>IF(tdata[[#This Row],[Delivery_Days]]&lt;=tdata[[#This Row],[SLA_Days]],"On Time","Late")</f>
        <v>On Time</v>
      </c>
      <c r="O886" s="2">
        <f>VLOOKUP(tdata[[#This Row],[Service_Type]],Table2[#All],4,0)</f>
        <v>12000</v>
      </c>
      <c r="P886" s="2">
        <f>tdata[[#This Row],[price_per_kilo]]*tdata[[#This Row],[Weight_KG]]</f>
        <v>11640</v>
      </c>
      <c r="Q886" s="2" t="str">
        <f>VLOOKUP(tdata[[#This Row],[id_employee]],temployee[#All],2,0)</f>
        <v>Gilang Ramli</v>
      </c>
      <c r="R886" s="2" t="str">
        <f>VLOOKUP(tdata[[#This Row],[id_employee]],temployee[#All],4,0)</f>
        <v>internal</v>
      </c>
      <c r="S886" s="9" t="str">
        <f>VLOOKUP(tdata[[#This Row],[id_employee]],temployee[#All],5,0)</f>
        <v>rider</v>
      </c>
    </row>
    <row r="887" spans="2:19" x14ac:dyDescent="0.35">
      <c r="B887" s="8" t="s">
        <v>906</v>
      </c>
      <c r="C887" s="2" t="s">
        <v>1356</v>
      </c>
      <c r="D887" s="5">
        <v>45298</v>
      </c>
      <c r="E887" s="5">
        <v>45300</v>
      </c>
      <c r="F887" s="2" t="s">
        <v>22</v>
      </c>
      <c r="G887" s="2" t="s">
        <v>26</v>
      </c>
      <c r="H887" s="2" t="s">
        <v>1223</v>
      </c>
      <c r="I887" s="2" t="s">
        <v>17</v>
      </c>
      <c r="J887" s="2">
        <v>4.3</v>
      </c>
      <c r="K887" s="2" t="str">
        <f t="shared" si="34"/>
        <v>&lt; 5kg</v>
      </c>
      <c r="L887" s="2">
        <f>tdata[[#This Row],[Received_date]]-tdata[[#This Row],[Shipment_Date]]</f>
        <v>2</v>
      </c>
      <c r="M887" s="2">
        <f>VLOOKUP(tdata[[#This Row],[Service_Type]],Table2[#All],2,0)</f>
        <v>1</v>
      </c>
      <c r="N887" s="2" t="str">
        <f>IF(tdata[[#This Row],[Delivery_Days]]&lt;=tdata[[#This Row],[SLA_Days]],"On Time","Late")</f>
        <v>Late</v>
      </c>
      <c r="O887" s="2">
        <f>VLOOKUP(tdata[[#This Row],[Service_Type]],Table2[#All],4,0)</f>
        <v>12000</v>
      </c>
      <c r="P887" s="2">
        <f>tdata[[#This Row],[price_per_kilo]]*tdata[[#This Row],[Weight_KG]]</f>
        <v>51600</v>
      </c>
      <c r="Q887" s="2" t="str">
        <f>VLOOKUP(tdata[[#This Row],[id_employee]],temployee[#All],2,0)</f>
        <v>Hana Zahra</v>
      </c>
      <c r="R887" s="2" t="str">
        <f>VLOOKUP(tdata[[#This Row],[id_employee]],temployee[#All],4,0)</f>
        <v>internal</v>
      </c>
      <c r="S887" s="9" t="str">
        <f>VLOOKUP(tdata[[#This Row],[id_employee]],temployee[#All],5,0)</f>
        <v>rider</v>
      </c>
    </row>
    <row r="888" spans="2:19" x14ac:dyDescent="0.35">
      <c r="B888" s="8" t="s">
        <v>907</v>
      </c>
      <c r="C888" s="2" t="s">
        <v>1357</v>
      </c>
      <c r="D888" s="5">
        <v>45443</v>
      </c>
      <c r="E888" s="5">
        <v>45447</v>
      </c>
      <c r="F888" s="2" t="s">
        <v>12</v>
      </c>
      <c r="G888" s="2" t="s">
        <v>30</v>
      </c>
      <c r="H888" s="2" t="s">
        <v>1224</v>
      </c>
      <c r="I888" s="2" t="s">
        <v>13</v>
      </c>
      <c r="J888" s="2">
        <v>0.82</v>
      </c>
      <c r="K888" s="2" t="str">
        <f t="shared" si="34"/>
        <v>&lt; 5kg</v>
      </c>
      <c r="L888" s="2">
        <f>tdata[[#This Row],[Received_date]]-tdata[[#This Row],[Shipment_Date]]</f>
        <v>4</v>
      </c>
      <c r="M888" s="2">
        <f>VLOOKUP(tdata[[#This Row],[Service_Type]],Table2[#All],2,0)</f>
        <v>3</v>
      </c>
      <c r="N888" s="2" t="str">
        <f>IF(tdata[[#This Row],[Delivery_Days]]&lt;=tdata[[#This Row],[SLA_Days]],"On Time","Late")</f>
        <v>Late</v>
      </c>
      <c r="O888" s="2">
        <f>VLOOKUP(tdata[[#This Row],[Service_Type]],Table2[#All],4,0)</f>
        <v>10000</v>
      </c>
      <c r="P888" s="2">
        <f>tdata[[#This Row],[price_per_kilo]]*tdata[[#This Row],[Weight_KG]]</f>
        <v>8200</v>
      </c>
      <c r="Q888" s="2" t="str">
        <f>VLOOKUP(tdata[[#This Row],[id_employee]],temployee[#All],2,0)</f>
        <v>Irfan Maulana</v>
      </c>
      <c r="R888" s="2" t="str">
        <f>VLOOKUP(tdata[[#This Row],[id_employee]],temployee[#All],4,0)</f>
        <v>internal</v>
      </c>
      <c r="S888" s="9" t="str">
        <f>VLOOKUP(tdata[[#This Row],[id_employee]],temployee[#All],5,0)</f>
        <v>driver</v>
      </c>
    </row>
    <row r="889" spans="2:19" x14ac:dyDescent="0.35">
      <c r="B889" s="8" t="s">
        <v>908</v>
      </c>
      <c r="C889" s="2" t="s">
        <v>1358</v>
      </c>
      <c r="D889" s="5">
        <v>45148</v>
      </c>
      <c r="E889" s="5">
        <f>D889+4</f>
        <v>45152</v>
      </c>
      <c r="F889" s="2" t="s">
        <v>30</v>
      </c>
      <c r="G889" s="2" t="s">
        <v>16</v>
      </c>
      <c r="H889" s="2" t="s">
        <v>1224</v>
      </c>
      <c r="I889" s="2" t="s">
        <v>13</v>
      </c>
      <c r="J889" s="2">
        <v>7.43</v>
      </c>
      <c r="K889" s="2" t="str">
        <f t="shared" si="34"/>
        <v>&gt;5kg</v>
      </c>
      <c r="L889" s="2">
        <f>tdata[[#This Row],[Received_date]]-tdata[[#This Row],[Shipment_Date]]</f>
        <v>4</v>
      </c>
      <c r="M889" s="2">
        <f>VLOOKUP(tdata[[#This Row],[Service_Type]],Table2[#All],2,0)</f>
        <v>3</v>
      </c>
      <c r="N889" s="2" t="str">
        <f>IF(tdata[[#This Row],[Delivery_Days]]&lt;=tdata[[#This Row],[SLA_Days]],"On Time","Late")</f>
        <v>Late</v>
      </c>
      <c r="O889" s="2">
        <f>VLOOKUP(tdata[[#This Row],[Service_Type]],Table2[#All],4,0)</f>
        <v>10000</v>
      </c>
      <c r="P889" s="2">
        <f>tdata[[#This Row],[price_per_kilo]]*tdata[[#This Row],[Weight_KG]]</f>
        <v>74300</v>
      </c>
      <c r="Q889" s="2" t="str">
        <f>VLOOKUP(tdata[[#This Row],[id_employee]],temployee[#All],2,0)</f>
        <v>Jihan Salsabila</v>
      </c>
      <c r="R889" s="2" t="str">
        <f>VLOOKUP(tdata[[#This Row],[id_employee]],temployee[#All],4,0)</f>
        <v>crowd source</v>
      </c>
      <c r="S889" s="9" t="str">
        <f>VLOOKUP(tdata[[#This Row],[id_employee]],temployee[#All],5,0)</f>
        <v>rider</v>
      </c>
    </row>
    <row r="890" spans="2:19" x14ac:dyDescent="0.35">
      <c r="B890" s="8" t="s">
        <v>909</v>
      </c>
      <c r="C890" s="2" t="s">
        <v>1359</v>
      </c>
      <c r="D890" s="5">
        <v>45570</v>
      </c>
      <c r="E890" s="5">
        <v>45579</v>
      </c>
      <c r="F890" s="2" t="s">
        <v>32</v>
      </c>
      <c r="G890" s="2" t="s">
        <v>32</v>
      </c>
      <c r="H890" s="2" t="s">
        <v>1224</v>
      </c>
      <c r="I890" s="2" t="s">
        <v>17</v>
      </c>
      <c r="J890" s="2">
        <v>8.49</v>
      </c>
      <c r="K890" s="2" t="str">
        <f t="shared" si="34"/>
        <v>&gt;5kg</v>
      </c>
      <c r="L890" s="2">
        <f>tdata[[#This Row],[Received_date]]-tdata[[#This Row],[Shipment_Date]]</f>
        <v>9</v>
      </c>
      <c r="M890" s="2">
        <f>VLOOKUP(tdata[[#This Row],[Service_Type]],Table2[#All],2,0)</f>
        <v>3</v>
      </c>
      <c r="N890" s="2" t="str">
        <f>IF(tdata[[#This Row],[Delivery_Days]]&lt;=tdata[[#This Row],[SLA_Days]],"On Time","Late")</f>
        <v>Late</v>
      </c>
      <c r="O890" s="2">
        <f>VLOOKUP(tdata[[#This Row],[Service_Type]],Table2[#All],4,0)</f>
        <v>10000</v>
      </c>
      <c r="P890" s="2">
        <f>tdata[[#This Row],[price_per_kilo]]*tdata[[#This Row],[Weight_KG]]</f>
        <v>84900</v>
      </c>
      <c r="Q890" s="2" t="str">
        <f>VLOOKUP(tdata[[#This Row],[id_employee]],temployee[#All],2,0)</f>
        <v>Koko Santoso</v>
      </c>
      <c r="R890" s="2" t="str">
        <f>VLOOKUP(tdata[[#This Row],[id_employee]],temployee[#All],4,0)</f>
        <v>internal</v>
      </c>
      <c r="S890" s="9" t="str">
        <f>VLOOKUP(tdata[[#This Row],[id_employee]],temployee[#All],5,0)</f>
        <v>rider</v>
      </c>
    </row>
    <row r="891" spans="2:19" x14ac:dyDescent="0.35">
      <c r="B891" s="8" t="s">
        <v>910</v>
      </c>
      <c r="C891" s="2" t="s">
        <v>1360</v>
      </c>
      <c r="D891" s="5">
        <v>45378</v>
      </c>
      <c r="E891" s="5">
        <v>45380</v>
      </c>
      <c r="F891" s="2" t="s">
        <v>16</v>
      </c>
      <c r="G891" s="2" t="s">
        <v>22</v>
      </c>
      <c r="H891" s="2" t="s">
        <v>1224</v>
      </c>
      <c r="I891" s="2" t="s">
        <v>13</v>
      </c>
      <c r="J891" s="2">
        <v>2.19</v>
      </c>
      <c r="K891" s="2" t="str">
        <f t="shared" si="34"/>
        <v>&lt; 5kg</v>
      </c>
      <c r="L891" s="2">
        <f>tdata[[#This Row],[Received_date]]-tdata[[#This Row],[Shipment_Date]]</f>
        <v>2</v>
      </c>
      <c r="M891" s="2">
        <f>VLOOKUP(tdata[[#This Row],[Service_Type]],Table2[#All],2,0)</f>
        <v>3</v>
      </c>
      <c r="N891" s="2" t="str">
        <f>IF(tdata[[#This Row],[Delivery_Days]]&lt;=tdata[[#This Row],[SLA_Days]],"On Time","Late")</f>
        <v>On Time</v>
      </c>
      <c r="O891" s="2">
        <f>VLOOKUP(tdata[[#This Row],[Service_Type]],Table2[#All],4,0)</f>
        <v>10000</v>
      </c>
      <c r="P891" s="2">
        <f>tdata[[#This Row],[price_per_kilo]]*tdata[[#This Row],[Weight_KG]]</f>
        <v>21900</v>
      </c>
      <c r="Q891" s="2" t="str">
        <f>VLOOKUP(tdata[[#This Row],[id_employee]],temployee[#All],2,0)</f>
        <v>Luthfi Hakim</v>
      </c>
      <c r="R891" s="2" t="str">
        <f>VLOOKUP(tdata[[#This Row],[id_employee]],temployee[#All],4,0)</f>
        <v>crowd source</v>
      </c>
      <c r="S891" s="9" t="str">
        <f>VLOOKUP(tdata[[#This Row],[id_employee]],temployee[#All],5,0)</f>
        <v>driver</v>
      </c>
    </row>
    <row r="892" spans="2:19" x14ac:dyDescent="0.35">
      <c r="B892" s="8" t="s">
        <v>911</v>
      </c>
      <c r="C892" s="2" t="s">
        <v>1361</v>
      </c>
      <c r="D892" s="5">
        <v>45105</v>
      </c>
      <c r="E892" s="5">
        <v>45108</v>
      </c>
      <c r="F892" s="2" t="s">
        <v>26</v>
      </c>
      <c r="G892" s="2" t="s">
        <v>49</v>
      </c>
      <c r="H892" s="2" t="s">
        <v>23</v>
      </c>
      <c r="I892" s="2" t="s">
        <v>13</v>
      </c>
      <c r="J892" s="2">
        <v>2</v>
      </c>
      <c r="K892" s="2" t="str">
        <f t="shared" si="34"/>
        <v>&lt; 5kg</v>
      </c>
      <c r="L892" s="2">
        <f>tdata[[#This Row],[Received_date]]-tdata[[#This Row],[Shipment_Date]]</f>
        <v>3</v>
      </c>
      <c r="M892" s="2">
        <f>VLOOKUP(tdata[[#This Row],[Service_Type]],Table2[#All],2,0)</f>
        <v>5</v>
      </c>
      <c r="N892" s="2" t="str">
        <f>IF(tdata[[#This Row],[Delivery_Days]]&lt;=tdata[[#This Row],[SLA_Days]],"On Time","Late")</f>
        <v>On Time</v>
      </c>
      <c r="O892" s="2">
        <f>VLOOKUP(tdata[[#This Row],[Service_Type]],Table2[#All],4,0)</f>
        <v>9000</v>
      </c>
      <c r="P892" s="2">
        <f>tdata[[#This Row],[price_per_kilo]]*tdata[[#This Row],[Weight_KG]]</f>
        <v>18000</v>
      </c>
      <c r="Q892" s="2" t="str">
        <f>VLOOKUP(tdata[[#This Row],[id_employee]],temployee[#All],2,0)</f>
        <v>Melati Anggraini</v>
      </c>
      <c r="R892" s="2" t="str">
        <f>VLOOKUP(tdata[[#This Row],[id_employee]],temployee[#All],4,0)</f>
        <v>internal</v>
      </c>
      <c r="S892" s="9" t="str">
        <f>VLOOKUP(tdata[[#This Row],[id_employee]],temployee[#All],5,0)</f>
        <v>rider</v>
      </c>
    </row>
    <row r="893" spans="2:19" x14ac:dyDescent="0.35">
      <c r="B893" s="8" t="s">
        <v>912</v>
      </c>
      <c r="C893" s="2" t="s">
        <v>1362</v>
      </c>
      <c r="D893" s="5">
        <v>45422</v>
      </c>
      <c r="E893" s="5">
        <v>45429</v>
      </c>
      <c r="F893" s="2" t="s">
        <v>49</v>
      </c>
      <c r="G893" s="2" t="s">
        <v>30</v>
      </c>
      <c r="H893" s="2" t="s">
        <v>23</v>
      </c>
      <c r="I893" s="2" t="s">
        <v>13</v>
      </c>
      <c r="J893" s="2">
        <v>7.08</v>
      </c>
      <c r="K893" s="2" t="str">
        <f t="shared" si="34"/>
        <v>&gt;5kg</v>
      </c>
      <c r="L893" s="2">
        <f>tdata[[#This Row],[Received_date]]-tdata[[#This Row],[Shipment_Date]]</f>
        <v>7</v>
      </c>
      <c r="M893" s="2">
        <f>VLOOKUP(tdata[[#This Row],[Service_Type]],Table2[#All],2,0)</f>
        <v>5</v>
      </c>
      <c r="N893" s="2" t="str">
        <f>IF(tdata[[#This Row],[Delivery_Days]]&lt;=tdata[[#This Row],[SLA_Days]],"On Time","Late")</f>
        <v>Late</v>
      </c>
      <c r="O893" s="2">
        <f>VLOOKUP(tdata[[#This Row],[Service_Type]],Table2[#All],4,0)</f>
        <v>9000</v>
      </c>
      <c r="P893" s="2">
        <f>tdata[[#This Row],[price_per_kilo]]*tdata[[#This Row],[Weight_KG]]</f>
        <v>63720</v>
      </c>
      <c r="Q893" s="2" t="str">
        <f>VLOOKUP(tdata[[#This Row],[id_employee]],temployee[#All],2,0)</f>
        <v>Naufal Rizky</v>
      </c>
      <c r="R893" s="2" t="str">
        <f>VLOOKUP(tdata[[#This Row],[id_employee]],temployee[#All],4,0)</f>
        <v>internal</v>
      </c>
      <c r="S893" s="9" t="str">
        <f>VLOOKUP(tdata[[#This Row],[id_employee]],temployee[#All],5,0)</f>
        <v>driver</v>
      </c>
    </row>
    <row r="894" spans="2:19" x14ac:dyDescent="0.35">
      <c r="B894" s="8" t="s">
        <v>913</v>
      </c>
      <c r="C894" s="2" t="s">
        <v>1363</v>
      </c>
      <c r="D894" s="5">
        <v>45357</v>
      </c>
      <c r="E894" s="5">
        <v>45360</v>
      </c>
      <c r="F894" s="2" t="s">
        <v>11</v>
      </c>
      <c r="G894" s="2" t="s">
        <v>30</v>
      </c>
      <c r="H894" s="2" t="s">
        <v>1223</v>
      </c>
      <c r="I894" s="2" t="s">
        <v>17</v>
      </c>
      <c r="J894" s="2">
        <v>7.81</v>
      </c>
      <c r="K894" s="2" t="str">
        <f t="shared" si="34"/>
        <v>&gt;5kg</v>
      </c>
      <c r="L894" s="2">
        <f>tdata[[#This Row],[Received_date]]-tdata[[#This Row],[Shipment_Date]]</f>
        <v>3</v>
      </c>
      <c r="M894" s="2">
        <f>VLOOKUP(tdata[[#This Row],[Service_Type]],Table2[#All],2,0)</f>
        <v>1</v>
      </c>
      <c r="N894" s="2" t="str">
        <f>IF(tdata[[#This Row],[Delivery_Days]]&lt;=tdata[[#This Row],[SLA_Days]],"On Time","Late")</f>
        <v>Late</v>
      </c>
      <c r="O894" s="2">
        <f>VLOOKUP(tdata[[#This Row],[Service_Type]],Table2[#All],4,0)</f>
        <v>12000</v>
      </c>
      <c r="P894" s="2">
        <f>tdata[[#This Row],[price_per_kilo]]*tdata[[#This Row],[Weight_KG]]</f>
        <v>93720</v>
      </c>
      <c r="Q894" s="2" t="str">
        <f>VLOOKUP(tdata[[#This Row],[id_employee]],temployee[#All],2,0)</f>
        <v>Olin Febriani</v>
      </c>
      <c r="R894" s="2" t="str">
        <f>VLOOKUP(tdata[[#This Row],[id_employee]],temployee[#All],4,0)</f>
        <v>crowd source</v>
      </c>
      <c r="S894" s="9" t="str">
        <f>VLOOKUP(tdata[[#This Row],[id_employee]],temployee[#All],5,0)</f>
        <v>rider</v>
      </c>
    </row>
    <row r="895" spans="2:19" x14ac:dyDescent="0.35">
      <c r="B895" s="8" t="s">
        <v>914</v>
      </c>
      <c r="C895" s="2" t="s">
        <v>1364</v>
      </c>
      <c r="D895" s="5">
        <v>45157</v>
      </c>
      <c r="E895" s="5">
        <v>45160</v>
      </c>
      <c r="F895" s="2" t="s">
        <v>15</v>
      </c>
      <c r="G895" s="2" t="s">
        <v>16</v>
      </c>
      <c r="H895" s="2" t="s">
        <v>23</v>
      </c>
      <c r="I895" s="2" t="s">
        <v>13</v>
      </c>
      <c r="J895" s="2">
        <v>4.04</v>
      </c>
      <c r="K895" s="2" t="str">
        <f t="shared" si="34"/>
        <v>&lt; 5kg</v>
      </c>
      <c r="L895" s="2">
        <f>tdata[[#This Row],[Received_date]]-tdata[[#This Row],[Shipment_Date]]</f>
        <v>3</v>
      </c>
      <c r="M895" s="2">
        <f>VLOOKUP(tdata[[#This Row],[Service_Type]],Table2[#All],2,0)</f>
        <v>5</v>
      </c>
      <c r="N895" s="2" t="str">
        <f>IF(tdata[[#This Row],[Delivery_Days]]&lt;=tdata[[#This Row],[SLA_Days]],"On Time","Late")</f>
        <v>On Time</v>
      </c>
      <c r="O895" s="2">
        <f>VLOOKUP(tdata[[#This Row],[Service_Type]],Table2[#All],4,0)</f>
        <v>9000</v>
      </c>
      <c r="P895" s="2">
        <f>tdata[[#This Row],[price_per_kilo]]*tdata[[#This Row],[Weight_KG]]</f>
        <v>36360</v>
      </c>
      <c r="Q895" s="2" t="str">
        <f>VLOOKUP(tdata[[#This Row],[id_employee]],temployee[#All],2,0)</f>
        <v>Praditya Wicaksono</v>
      </c>
      <c r="R895" s="2" t="str">
        <f>VLOOKUP(tdata[[#This Row],[id_employee]],temployee[#All],4,0)</f>
        <v>internal</v>
      </c>
      <c r="S895" s="9" t="str">
        <f>VLOOKUP(tdata[[#This Row],[id_employee]],temployee[#All],5,0)</f>
        <v>driver</v>
      </c>
    </row>
    <row r="896" spans="2:19" x14ac:dyDescent="0.35">
      <c r="B896" s="8" t="s">
        <v>915</v>
      </c>
      <c r="C896" s="2" t="s">
        <v>1365</v>
      </c>
      <c r="D896" s="5">
        <v>45131</v>
      </c>
      <c r="E896" s="5">
        <v>45133</v>
      </c>
      <c r="F896" s="2" t="s">
        <v>20</v>
      </c>
      <c r="G896" s="2" t="s">
        <v>12</v>
      </c>
      <c r="H896" s="2" t="s">
        <v>1224</v>
      </c>
      <c r="I896" s="2" t="s">
        <v>17</v>
      </c>
      <c r="J896" s="2">
        <v>3.12</v>
      </c>
      <c r="K896" s="2" t="str">
        <f t="shared" si="34"/>
        <v>&lt; 5kg</v>
      </c>
      <c r="L896" s="2">
        <f>tdata[[#This Row],[Received_date]]-tdata[[#This Row],[Shipment_Date]]</f>
        <v>2</v>
      </c>
      <c r="M896" s="2">
        <f>VLOOKUP(tdata[[#This Row],[Service_Type]],Table2[#All],2,0)</f>
        <v>3</v>
      </c>
      <c r="N896" s="2" t="str">
        <f>IF(tdata[[#This Row],[Delivery_Days]]&lt;=tdata[[#This Row],[SLA_Days]],"On Time","Late")</f>
        <v>On Time</v>
      </c>
      <c r="O896" s="2">
        <f>VLOOKUP(tdata[[#This Row],[Service_Type]],Table2[#All],4,0)</f>
        <v>10000</v>
      </c>
      <c r="P896" s="2">
        <f>tdata[[#This Row],[price_per_kilo]]*tdata[[#This Row],[Weight_KG]]</f>
        <v>31200</v>
      </c>
      <c r="Q896" s="2" t="str">
        <f>VLOOKUP(tdata[[#This Row],[id_employee]],temployee[#All],2,0)</f>
        <v>Qory Azzahra</v>
      </c>
      <c r="R896" s="2" t="str">
        <f>VLOOKUP(tdata[[#This Row],[id_employee]],temployee[#All],4,0)</f>
        <v>internal</v>
      </c>
      <c r="S896" s="9" t="str">
        <f>VLOOKUP(tdata[[#This Row],[id_employee]],temployee[#All],5,0)</f>
        <v>rider</v>
      </c>
    </row>
    <row r="897" spans="2:19" x14ac:dyDescent="0.35">
      <c r="B897" s="8" t="s">
        <v>916</v>
      </c>
      <c r="C897" s="2" t="s">
        <v>1366</v>
      </c>
      <c r="D897" s="5">
        <v>45222</v>
      </c>
      <c r="E897" s="5">
        <v>45232</v>
      </c>
      <c r="F897" s="2" t="s">
        <v>22</v>
      </c>
      <c r="G897" s="2" t="s">
        <v>30</v>
      </c>
      <c r="H897" s="2" t="s">
        <v>23</v>
      </c>
      <c r="I897" s="2" t="s">
        <v>13</v>
      </c>
      <c r="J897" s="2">
        <v>9.7899999999999991</v>
      </c>
      <c r="K897" s="2" t="str">
        <f t="shared" si="34"/>
        <v>&gt;5kg</v>
      </c>
      <c r="L897" s="2">
        <f>tdata[[#This Row],[Received_date]]-tdata[[#This Row],[Shipment_Date]]</f>
        <v>10</v>
      </c>
      <c r="M897" s="2">
        <f>VLOOKUP(tdata[[#This Row],[Service_Type]],Table2[#All],2,0)</f>
        <v>5</v>
      </c>
      <c r="N897" s="2" t="str">
        <f>IF(tdata[[#This Row],[Delivery_Days]]&lt;=tdata[[#This Row],[SLA_Days]],"On Time","Late")</f>
        <v>Late</v>
      </c>
      <c r="O897" s="2">
        <f>VLOOKUP(tdata[[#This Row],[Service_Type]],Table2[#All],4,0)</f>
        <v>9000</v>
      </c>
      <c r="P897" s="2">
        <f>tdata[[#This Row],[price_per_kilo]]*tdata[[#This Row],[Weight_KG]]</f>
        <v>88109.999999999985</v>
      </c>
      <c r="Q897" s="2" t="str">
        <f>VLOOKUP(tdata[[#This Row],[id_employee]],temployee[#All],2,0)</f>
        <v>Rendi Saputra</v>
      </c>
      <c r="R897" s="2" t="str">
        <f>VLOOKUP(tdata[[#This Row],[id_employee]],temployee[#All],4,0)</f>
        <v>crowd source</v>
      </c>
      <c r="S897" s="9" t="str">
        <f>VLOOKUP(tdata[[#This Row],[id_employee]],temployee[#All],5,0)</f>
        <v>driver</v>
      </c>
    </row>
    <row r="898" spans="2:19" x14ac:dyDescent="0.35">
      <c r="B898" s="8" t="s">
        <v>917</v>
      </c>
      <c r="C898" s="2" t="s">
        <v>1367</v>
      </c>
      <c r="D898" s="5">
        <v>44995</v>
      </c>
      <c r="E898" s="5">
        <v>45006</v>
      </c>
      <c r="F898" s="2" t="s">
        <v>12</v>
      </c>
      <c r="G898" s="2" t="s">
        <v>30</v>
      </c>
      <c r="H898" s="2" t="s">
        <v>1224</v>
      </c>
      <c r="I898" s="2" t="s">
        <v>13</v>
      </c>
      <c r="J898" s="2">
        <v>2.7</v>
      </c>
      <c r="K898" s="2" t="str">
        <f t="shared" si="34"/>
        <v>&lt; 5kg</v>
      </c>
      <c r="L898" s="2">
        <f>tdata[[#This Row],[Received_date]]-tdata[[#This Row],[Shipment_Date]]</f>
        <v>11</v>
      </c>
      <c r="M898" s="2">
        <f>VLOOKUP(tdata[[#This Row],[Service_Type]],Table2[#All],2,0)</f>
        <v>3</v>
      </c>
      <c r="N898" s="2" t="str">
        <f>IF(tdata[[#This Row],[Delivery_Days]]&lt;=tdata[[#This Row],[SLA_Days]],"On Time","Late")</f>
        <v>Late</v>
      </c>
      <c r="O898" s="2">
        <f>VLOOKUP(tdata[[#This Row],[Service_Type]],Table2[#All],4,0)</f>
        <v>10000</v>
      </c>
      <c r="P898" s="2">
        <f>tdata[[#This Row],[price_per_kilo]]*tdata[[#This Row],[Weight_KG]]</f>
        <v>27000</v>
      </c>
      <c r="Q898" s="2" t="str">
        <f>VLOOKUP(tdata[[#This Row],[id_employee]],temployee[#All],2,0)</f>
        <v>Salma Nuraini</v>
      </c>
      <c r="R898" s="2" t="str">
        <f>VLOOKUP(tdata[[#This Row],[id_employee]],temployee[#All],4,0)</f>
        <v>internal</v>
      </c>
      <c r="S898" s="9" t="str">
        <f>VLOOKUP(tdata[[#This Row],[id_employee]],temployee[#All],5,0)</f>
        <v>rider</v>
      </c>
    </row>
    <row r="899" spans="2:19" x14ac:dyDescent="0.35">
      <c r="B899" s="8" t="s">
        <v>918</v>
      </c>
      <c r="C899" s="2" t="s">
        <v>1368</v>
      </c>
      <c r="D899" s="5">
        <v>44988</v>
      </c>
      <c r="E899" s="5">
        <v>44989</v>
      </c>
      <c r="F899" s="2" t="s">
        <v>30</v>
      </c>
      <c r="G899" s="2" t="s">
        <v>32</v>
      </c>
      <c r="H899" s="2" t="s">
        <v>1224</v>
      </c>
      <c r="I899" s="2" t="s">
        <v>13</v>
      </c>
      <c r="J899" s="2">
        <v>1.39</v>
      </c>
      <c r="K899" s="2" t="str">
        <f t="shared" si="34"/>
        <v>&lt; 5kg</v>
      </c>
      <c r="L899" s="2">
        <f>tdata[[#This Row],[Received_date]]-tdata[[#This Row],[Shipment_Date]]</f>
        <v>1</v>
      </c>
      <c r="M899" s="2">
        <f>VLOOKUP(tdata[[#This Row],[Service_Type]],Table2[#All],2,0)</f>
        <v>3</v>
      </c>
      <c r="N899" s="2" t="str">
        <f>IF(tdata[[#This Row],[Delivery_Days]]&lt;=tdata[[#This Row],[SLA_Days]],"On Time","Late")</f>
        <v>On Time</v>
      </c>
      <c r="O899" s="2">
        <f>VLOOKUP(tdata[[#This Row],[Service_Type]],Table2[#All],4,0)</f>
        <v>10000</v>
      </c>
      <c r="P899" s="2">
        <f>tdata[[#This Row],[price_per_kilo]]*tdata[[#This Row],[Weight_KG]]</f>
        <v>13899.999999999998</v>
      </c>
      <c r="Q899" s="2" t="str">
        <f>VLOOKUP(tdata[[#This Row],[id_employee]],temployee[#All],2,0)</f>
        <v>Tegar Prakoso</v>
      </c>
      <c r="R899" s="2" t="str">
        <f>VLOOKUP(tdata[[#This Row],[id_employee]],temployee[#All],4,0)</f>
        <v>internal</v>
      </c>
      <c r="S899" s="9" t="str">
        <f>VLOOKUP(tdata[[#This Row],[id_employee]],temployee[#All],5,0)</f>
        <v>driver</v>
      </c>
    </row>
    <row r="900" spans="2:19" x14ac:dyDescent="0.35">
      <c r="B900" s="8" t="s">
        <v>919</v>
      </c>
      <c r="C900" s="2" t="s">
        <v>1369</v>
      </c>
      <c r="D900" s="5">
        <v>45653</v>
      </c>
      <c r="E900" s="5">
        <v>45659</v>
      </c>
      <c r="F900" s="2" t="s">
        <v>32</v>
      </c>
      <c r="G900" s="2" t="s">
        <v>20</v>
      </c>
      <c r="H900" s="2" t="s">
        <v>23</v>
      </c>
      <c r="I900" s="2" t="s">
        <v>13</v>
      </c>
      <c r="J900" s="2">
        <v>5.97</v>
      </c>
      <c r="K900" s="2" t="str">
        <f t="shared" si="34"/>
        <v>&gt;5kg</v>
      </c>
      <c r="L900" s="2">
        <f>tdata[[#This Row],[Received_date]]-tdata[[#This Row],[Shipment_Date]]</f>
        <v>6</v>
      </c>
      <c r="M900" s="2">
        <f>VLOOKUP(tdata[[#This Row],[Service_Type]],Table2[#All],2,0)</f>
        <v>5</v>
      </c>
      <c r="N900" s="2" t="str">
        <f>IF(tdata[[#This Row],[Delivery_Days]]&lt;=tdata[[#This Row],[SLA_Days]],"On Time","Late")</f>
        <v>Late</v>
      </c>
      <c r="O900" s="2">
        <f>VLOOKUP(tdata[[#This Row],[Service_Type]],Table2[#All],4,0)</f>
        <v>9000</v>
      </c>
      <c r="P900" s="2">
        <f>tdata[[#This Row],[price_per_kilo]]*tdata[[#This Row],[Weight_KG]]</f>
        <v>53730</v>
      </c>
      <c r="Q900" s="2" t="str">
        <f>VLOOKUP(tdata[[#This Row],[id_employee]],temployee[#All],2,0)</f>
        <v>Ulfa Khairunnisa</v>
      </c>
      <c r="R900" s="2" t="str">
        <f>VLOOKUP(tdata[[#This Row],[id_employee]],temployee[#All],4,0)</f>
        <v>crowd source</v>
      </c>
      <c r="S900" s="9" t="str">
        <f>VLOOKUP(tdata[[#This Row],[id_employee]],temployee[#All],5,0)</f>
        <v>rider</v>
      </c>
    </row>
    <row r="901" spans="2:19" x14ac:dyDescent="0.35">
      <c r="B901" s="8" t="s">
        <v>920</v>
      </c>
      <c r="C901" s="2" t="s">
        <v>1370</v>
      </c>
      <c r="D901" s="5">
        <v>45210</v>
      </c>
      <c r="E901" s="5">
        <v>45221</v>
      </c>
      <c r="F901" s="2" t="s">
        <v>16</v>
      </c>
      <c r="G901" s="2" t="s">
        <v>49</v>
      </c>
      <c r="H901" s="2" t="s">
        <v>1223</v>
      </c>
      <c r="I901" s="2" t="s">
        <v>13</v>
      </c>
      <c r="J901" s="2">
        <v>2.96</v>
      </c>
      <c r="K901" s="2" t="str">
        <f t="shared" ref="K901:K964" si="37">IF(J901&lt;5,"&lt; 5kg", "&gt;5kg")</f>
        <v>&lt; 5kg</v>
      </c>
      <c r="L901" s="2">
        <f>tdata[[#This Row],[Received_date]]-tdata[[#This Row],[Shipment_Date]]</f>
        <v>11</v>
      </c>
      <c r="M901" s="2">
        <f>VLOOKUP(tdata[[#This Row],[Service_Type]],Table2[#All],2,0)</f>
        <v>1</v>
      </c>
      <c r="N901" s="2" t="str">
        <f>IF(tdata[[#This Row],[Delivery_Days]]&lt;=tdata[[#This Row],[SLA_Days]],"On Time","Late")</f>
        <v>Late</v>
      </c>
      <c r="O901" s="2">
        <f>VLOOKUP(tdata[[#This Row],[Service_Type]],Table2[#All],4,0)</f>
        <v>12000</v>
      </c>
      <c r="P901" s="2">
        <f>tdata[[#This Row],[price_per_kilo]]*tdata[[#This Row],[Weight_KG]]</f>
        <v>35520</v>
      </c>
      <c r="Q901" s="2" t="str">
        <f>VLOOKUP(tdata[[#This Row],[id_employee]],temployee[#All],2,0)</f>
        <v>Vito Mahendra</v>
      </c>
      <c r="R901" s="2" t="str">
        <f>VLOOKUP(tdata[[#This Row],[id_employee]],temployee[#All],4,0)</f>
        <v>internal</v>
      </c>
      <c r="S901" s="9" t="str">
        <f>VLOOKUP(tdata[[#This Row],[id_employee]],temployee[#All],5,0)</f>
        <v>rider</v>
      </c>
    </row>
    <row r="902" spans="2:19" x14ac:dyDescent="0.35">
      <c r="B902" s="8" t="s">
        <v>921</v>
      </c>
      <c r="C902" s="2" t="s">
        <v>1371</v>
      </c>
      <c r="D902" s="5">
        <v>45114</v>
      </c>
      <c r="E902" s="5">
        <v>45119</v>
      </c>
      <c r="F902" s="2" t="s">
        <v>26</v>
      </c>
      <c r="G902" s="2" t="s">
        <v>26</v>
      </c>
      <c r="H902" s="2" t="s">
        <v>1224</v>
      </c>
      <c r="I902" s="2" t="s">
        <v>17</v>
      </c>
      <c r="J902" s="2">
        <v>10.01</v>
      </c>
      <c r="K902" s="2" t="str">
        <f t="shared" si="37"/>
        <v>&gt;5kg</v>
      </c>
      <c r="L902" s="2">
        <f>tdata[[#This Row],[Received_date]]-tdata[[#This Row],[Shipment_Date]]</f>
        <v>5</v>
      </c>
      <c r="M902" s="2">
        <f>VLOOKUP(tdata[[#This Row],[Service_Type]],Table2[#All],2,0)</f>
        <v>3</v>
      </c>
      <c r="N902" s="2" t="str">
        <f>IF(tdata[[#This Row],[Delivery_Days]]&lt;=tdata[[#This Row],[SLA_Days]],"On Time","Late")</f>
        <v>Late</v>
      </c>
      <c r="O902" s="2">
        <f>VLOOKUP(tdata[[#This Row],[Service_Type]],Table2[#All],4,0)</f>
        <v>10000</v>
      </c>
      <c r="P902" s="2">
        <f>tdata[[#This Row],[price_per_kilo]]*tdata[[#This Row],[Weight_KG]]</f>
        <v>100100</v>
      </c>
      <c r="Q902" s="2" t="str">
        <f>VLOOKUP(tdata[[#This Row],[id_employee]],temployee[#All],2,0)</f>
        <v>Winda Sari</v>
      </c>
      <c r="R902" s="2" t="str">
        <f>VLOOKUP(tdata[[#This Row],[id_employee]],temployee[#All],4,0)</f>
        <v>internal</v>
      </c>
      <c r="S902" s="9" t="str">
        <f>VLOOKUP(tdata[[#This Row],[id_employee]],temployee[#All],5,0)</f>
        <v>rider</v>
      </c>
    </row>
    <row r="903" spans="2:19" x14ac:dyDescent="0.35">
      <c r="B903" s="8" t="s">
        <v>922</v>
      </c>
      <c r="C903" s="2" t="s">
        <v>1372</v>
      </c>
      <c r="D903" s="5">
        <v>45264</v>
      </c>
      <c r="E903" s="5">
        <v>45265</v>
      </c>
      <c r="F903" s="2" t="s">
        <v>49</v>
      </c>
      <c r="G903" s="2" t="s">
        <v>16</v>
      </c>
      <c r="H903" s="2" t="s">
        <v>1224</v>
      </c>
      <c r="I903" s="2" t="s">
        <v>13</v>
      </c>
      <c r="J903" s="2">
        <v>9.9600000000000009</v>
      </c>
      <c r="K903" s="2" t="str">
        <f t="shared" si="37"/>
        <v>&gt;5kg</v>
      </c>
      <c r="L903" s="2">
        <f>tdata[[#This Row],[Received_date]]-tdata[[#This Row],[Shipment_Date]]</f>
        <v>1</v>
      </c>
      <c r="M903" s="2">
        <f>VLOOKUP(tdata[[#This Row],[Service_Type]],Table2[#All],2,0)</f>
        <v>3</v>
      </c>
      <c r="N903" s="2" t="str">
        <f>IF(tdata[[#This Row],[Delivery_Days]]&lt;=tdata[[#This Row],[SLA_Days]],"On Time","Late")</f>
        <v>On Time</v>
      </c>
      <c r="O903" s="2">
        <f>VLOOKUP(tdata[[#This Row],[Service_Type]],Table2[#All],4,0)</f>
        <v>10000</v>
      </c>
      <c r="P903" s="2">
        <f>tdata[[#This Row],[price_per_kilo]]*tdata[[#This Row],[Weight_KG]]</f>
        <v>99600.000000000015</v>
      </c>
      <c r="Q903" s="2" t="str">
        <f>VLOOKUP(tdata[[#This Row],[id_employee]],temployee[#All],2,0)</f>
        <v>Yusuf Al Ghazali</v>
      </c>
      <c r="R903" s="2" t="str">
        <f>VLOOKUP(tdata[[#This Row],[id_employee]],temployee[#All],4,0)</f>
        <v>crowd source</v>
      </c>
      <c r="S903" s="9" t="str">
        <f>VLOOKUP(tdata[[#This Row],[id_employee]],temployee[#All],5,0)</f>
        <v>driver</v>
      </c>
    </row>
    <row r="904" spans="2:19" x14ac:dyDescent="0.35">
      <c r="B904" s="8" t="s">
        <v>923</v>
      </c>
      <c r="C904" s="2" t="s">
        <v>1273</v>
      </c>
      <c r="D904" s="5">
        <v>45144</v>
      </c>
      <c r="E904" s="5">
        <v>45148</v>
      </c>
      <c r="F904" s="2" t="s">
        <v>11</v>
      </c>
      <c r="G904" s="2" t="s">
        <v>12</v>
      </c>
      <c r="H904" s="2" t="s">
        <v>23</v>
      </c>
      <c r="I904" s="2" t="s">
        <v>17</v>
      </c>
      <c r="J904" s="2">
        <v>2.16</v>
      </c>
      <c r="K904" s="2" t="str">
        <f t="shared" si="37"/>
        <v>&lt; 5kg</v>
      </c>
      <c r="L904" s="2">
        <f>tdata[[#This Row],[Received_date]]-tdata[[#This Row],[Shipment_Date]]</f>
        <v>4</v>
      </c>
      <c r="M904" s="2">
        <f>VLOOKUP(tdata[[#This Row],[Service_Type]],Table2[#All],2,0)</f>
        <v>5</v>
      </c>
      <c r="N904" s="2" t="str">
        <f>IF(tdata[[#This Row],[Delivery_Days]]&lt;=tdata[[#This Row],[SLA_Days]],"On Time","Late")</f>
        <v>On Time</v>
      </c>
      <c r="O904" s="2">
        <f>VLOOKUP(tdata[[#This Row],[Service_Type]],Table2[#All],4,0)</f>
        <v>9000</v>
      </c>
      <c r="P904" s="2">
        <f>tdata[[#This Row],[price_per_kilo]]*tdata[[#This Row],[Weight_KG]]</f>
        <v>19440</v>
      </c>
      <c r="Q904" s="2" t="str">
        <f>VLOOKUP(tdata[[#This Row],[id_employee]],temployee[#All],2,0)</f>
        <v>Andi Pratama</v>
      </c>
      <c r="R904" s="2" t="str">
        <f>VLOOKUP(tdata[[#This Row],[id_employee]],temployee[#All],4,0)</f>
        <v>internal</v>
      </c>
      <c r="S904" s="9" t="str">
        <f>VLOOKUP(tdata[[#This Row],[id_employee]],temployee[#All],5,0)</f>
        <v>rider</v>
      </c>
    </row>
    <row r="905" spans="2:19" x14ac:dyDescent="0.35">
      <c r="B905" s="8" t="s">
        <v>924</v>
      </c>
      <c r="C905" s="2" t="s">
        <v>1274</v>
      </c>
      <c r="D905" s="5">
        <v>45255</v>
      </c>
      <c r="E905" s="5">
        <v>45258</v>
      </c>
      <c r="F905" s="2" t="s">
        <v>15</v>
      </c>
      <c r="G905" s="2" t="s">
        <v>12</v>
      </c>
      <c r="H905" s="2" t="s">
        <v>23</v>
      </c>
      <c r="I905" s="2" t="s">
        <v>13</v>
      </c>
      <c r="J905" s="2">
        <v>8.89</v>
      </c>
      <c r="K905" s="2" t="str">
        <f t="shared" si="37"/>
        <v>&gt;5kg</v>
      </c>
      <c r="L905" s="2">
        <f>tdata[[#This Row],[Received_date]]-tdata[[#This Row],[Shipment_Date]]</f>
        <v>3</v>
      </c>
      <c r="M905" s="2">
        <f>VLOOKUP(tdata[[#This Row],[Service_Type]],Table2[#All],2,0)</f>
        <v>5</v>
      </c>
      <c r="N905" s="2" t="str">
        <f>IF(tdata[[#This Row],[Delivery_Days]]&lt;=tdata[[#This Row],[SLA_Days]],"On Time","Late")</f>
        <v>On Time</v>
      </c>
      <c r="O905" s="2">
        <f>VLOOKUP(tdata[[#This Row],[Service_Type]],Table2[#All],4,0)</f>
        <v>9000</v>
      </c>
      <c r="P905" s="2">
        <f>tdata[[#This Row],[price_per_kilo]]*tdata[[#This Row],[Weight_KG]]</f>
        <v>80010</v>
      </c>
      <c r="Q905" s="2" t="str">
        <f>VLOOKUP(tdata[[#This Row],[id_employee]],temployee[#All],2,0)</f>
        <v>Budi Santoso</v>
      </c>
      <c r="R905" s="2" t="str">
        <f>VLOOKUP(tdata[[#This Row],[id_employee]],temployee[#All],4,0)</f>
        <v>internal</v>
      </c>
      <c r="S905" s="9" t="str">
        <f>VLOOKUP(tdata[[#This Row],[id_employee]],temployee[#All],5,0)</f>
        <v>driver</v>
      </c>
    </row>
    <row r="906" spans="2:19" x14ac:dyDescent="0.35">
      <c r="B906" s="8" t="s">
        <v>925</v>
      </c>
      <c r="C906" s="2" t="s">
        <v>1275</v>
      </c>
      <c r="D906" s="5">
        <v>45623</v>
      </c>
      <c r="E906" s="5">
        <v>45628</v>
      </c>
      <c r="F906" s="2" t="s">
        <v>20</v>
      </c>
      <c r="G906" s="2" t="s">
        <v>15</v>
      </c>
      <c r="H906" s="2" t="s">
        <v>23</v>
      </c>
      <c r="I906" s="2" t="s">
        <v>17</v>
      </c>
      <c r="J906" s="2">
        <v>4.9800000000000004</v>
      </c>
      <c r="K906" s="2" t="str">
        <f t="shared" si="37"/>
        <v>&lt; 5kg</v>
      </c>
      <c r="L906" s="2">
        <f>tdata[[#This Row],[Received_date]]-tdata[[#This Row],[Shipment_Date]]</f>
        <v>5</v>
      </c>
      <c r="M906" s="2">
        <f>VLOOKUP(tdata[[#This Row],[Service_Type]],Table2[#All],2,0)</f>
        <v>5</v>
      </c>
      <c r="N906" s="2" t="str">
        <f>IF(tdata[[#This Row],[Delivery_Days]]&lt;=tdata[[#This Row],[SLA_Days]],"On Time","Late")</f>
        <v>On Time</v>
      </c>
      <c r="O906" s="2">
        <f>VLOOKUP(tdata[[#This Row],[Service_Type]],Table2[#All],4,0)</f>
        <v>9000</v>
      </c>
      <c r="P906" s="2">
        <f>tdata[[#This Row],[price_per_kilo]]*tdata[[#This Row],[Weight_KG]]</f>
        <v>44820.000000000007</v>
      </c>
      <c r="Q906" s="2" t="str">
        <f>VLOOKUP(tdata[[#This Row],[id_employee]],temployee[#All],2,0)</f>
        <v>Citra Lestari</v>
      </c>
      <c r="R906" s="2" t="str">
        <f>VLOOKUP(tdata[[#This Row],[id_employee]],temployee[#All],4,0)</f>
        <v>crowd source</v>
      </c>
      <c r="S906" s="9" t="str">
        <f>VLOOKUP(tdata[[#This Row],[id_employee]],temployee[#All],5,0)</f>
        <v>rider</v>
      </c>
    </row>
    <row r="907" spans="2:19" x14ac:dyDescent="0.35">
      <c r="B907" s="8" t="s">
        <v>926</v>
      </c>
      <c r="C907" s="2" t="s">
        <v>1276</v>
      </c>
      <c r="D907" s="5">
        <v>45029</v>
      </c>
      <c r="E907" s="5">
        <v>45040</v>
      </c>
      <c r="F907" s="2" t="s">
        <v>22</v>
      </c>
      <c r="G907" s="2" t="s">
        <v>20</v>
      </c>
      <c r="H907" s="2" t="s">
        <v>23</v>
      </c>
      <c r="I907" s="2" t="s">
        <v>17</v>
      </c>
      <c r="J907" s="2">
        <v>2.52</v>
      </c>
      <c r="K907" s="2" t="str">
        <f t="shared" si="37"/>
        <v>&lt; 5kg</v>
      </c>
      <c r="L907" s="2">
        <f>tdata[[#This Row],[Received_date]]-tdata[[#This Row],[Shipment_Date]]</f>
        <v>11</v>
      </c>
      <c r="M907" s="2">
        <f>VLOOKUP(tdata[[#This Row],[Service_Type]],Table2[#All],2,0)</f>
        <v>5</v>
      </c>
      <c r="N907" s="2" t="str">
        <f>IF(tdata[[#This Row],[Delivery_Days]]&lt;=tdata[[#This Row],[SLA_Days]],"On Time","Late")</f>
        <v>Late</v>
      </c>
      <c r="O907" s="2">
        <f>VLOOKUP(tdata[[#This Row],[Service_Type]],Table2[#All],4,0)</f>
        <v>9000</v>
      </c>
      <c r="P907" s="2">
        <f>tdata[[#This Row],[price_per_kilo]]*tdata[[#This Row],[Weight_KG]]</f>
        <v>22680</v>
      </c>
      <c r="Q907" s="2" t="str">
        <f>VLOOKUP(tdata[[#This Row],[id_employee]],temployee[#All],2,0)</f>
        <v>Dedi Saputra</v>
      </c>
      <c r="R907" s="2" t="str">
        <f>VLOOKUP(tdata[[#This Row],[id_employee]],temployee[#All],4,0)</f>
        <v>crowd source</v>
      </c>
      <c r="S907" s="9" t="str">
        <f>VLOOKUP(tdata[[#This Row],[id_employee]],temployee[#All],5,0)</f>
        <v>driver</v>
      </c>
    </row>
    <row r="908" spans="2:19" x14ac:dyDescent="0.35">
      <c r="B908" s="8" t="s">
        <v>927</v>
      </c>
      <c r="C908" s="2" t="s">
        <v>1277</v>
      </c>
      <c r="D908" s="5">
        <v>45430</v>
      </c>
      <c r="E908" s="5">
        <f>D908+4</f>
        <v>45434</v>
      </c>
      <c r="F908" s="2" t="s">
        <v>12</v>
      </c>
      <c r="G908" s="2" t="s">
        <v>16</v>
      </c>
      <c r="H908" s="2" t="s">
        <v>1223</v>
      </c>
      <c r="I908" s="2" t="s">
        <v>17</v>
      </c>
      <c r="J908" s="2">
        <v>7.87</v>
      </c>
      <c r="K908" s="2" t="str">
        <f t="shared" si="37"/>
        <v>&gt;5kg</v>
      </c>
      <c r="L908" s="2">
        <f>tdata[[#This Row],[Received_date]]-tdata[[#This Row],[Shipment_Date]]</f>
        <v>4</v>
      </c>
      <c r="M908" s="2">
        <f>VLOOKUP(tdata[[#This Row],[Service_Type]],Table2[#All],2,0)</f>
        <v>1</v>
      </c>
      <c r="N908" s="2" t="str">
        <f>IF(tdata[[#This Row],[Delivery_Days]]&lt;=tdata[[#This Row],[SLA_Days]],"On Time","Late")</f>
        <v>Late</v>
      </c>
      <c r="O908" s="2">
        <f>VLOOKUP(tdata[[#This Row],[Service_Type]],Table2[#All],4,0)</f>
        <v>12000</v>
      </c>
      <c r="P908" s="2">
        <f>tdata[[#This Row],[price_per_kilo]]*tdata[[#This Row],[Weight_KG]]</f>
        <v>94440</v>
      </c>
      <c r="Q908" s="2" t="str">
        <f>VLOOKUP(tdata[[#This Row],[id_employee]],temployee[#All],2,0)</f>
        <v>Eko Nugroho</v>
      </c>
      <c r="R908" s="2" t="str">
        <f>VLOOKUP(tdata[[#This Row],[id_employee]],temployee[#All],4,0)</f>
        <v>internal</v>
      </c>
      <c r="S908" s="9" t="str">
        <f>VLOOKUP(tdata[[#This Row],[id_employee]],temployee[#All],5,0)</f>
        <v>rider</v>
      </c>
    </row>
    <row r="909" spans="2:19" x14ac:dyDescent="0.35">
      <c r="B909" s="8" t="s">
        <v>928</v>
      </c>
      <c r="C909" s="2" t="s">
        <v>1278</v>
      </c>
      <c r="D909" s="5">
        <v>45176</v>
      </c>
      <c r="E909" s="5">
        <v>45178</v>
      </c>
      <c r="F909" s="2" t="s">
        <v>30</v>
      </c>
      <c r="G909" s="2" t="s">
        <v>26</v>
      </c>
      <c r="H909" s="2" t="s">
        <v>1224</v>
      </c>
      <c r="I909" s="2" t="s">
        <v>17</v>
      </c>
      <c r="J909" s="2">
        <v>8.17</v>
      </c>
      <c r="K909" s="2" t="str">
        <f t="shared" si="37"/>
        <v>&gt;5kg</v>
      </c>
      <c r="L909" s="2">
        <f>tdata[[#This Row],[Received_date]]-tdata[[#This Row],[Shipment_Date]]</f>
        <v>2</v>
      </c>
      <c r="M909" s="2">
        <f>VLOOKUP(tdata[[#This Row],[Service_Type]],Table2[#All],2,0)</f>
        <v>3</v>
      </c>
      <c r="N909" s="2" t="str">
        <f>IF(tdata[[#This Row],[Delivery_Days]]&lt;=tdata[[#This Row],[SLA_Days]],"On Time","Late")</f>
        <v>On Time</v>
      </c>
      <c r="O909" s="2">
        <f>VLOOKUP(tdata[[#This Row],[Service_Type]],Table2[#All],4,0)</f>
        <v>10000</v>
      </c>
      <c r="P909" s="2">
        <f>tdata[[#This Row],[price_per_kilo]]*tdata[[#This Row],[Weight_KG]]</f>
        <v>81700</v>
      </c>
      <c r="Q909" s="2" t="str">
        <f>VLOOKUP(tdata[[#This Row],[id_employee]],temployee[#All],2,0)</f>
        <v>Fajar Hidayat</v>
      </c>
      <c r="R909" s="2" t="str">
        <f>VLOOKUP(tdata[[#This Row],[id_employee]],temployee[#All],4,0)</f>
        <v>internal</v>
      </c>
      <c r="S909" s="9" t="str">
        <f>VLOOKUP(tdata[[#This Row],[id_employee]],temployee[#All],5,0)</f>
        <v>driver</v>
      </c>
    </row>
    <row r="910" spans="2:19" x14ac:dyDescent="0.35">
      <c r="B910" s="8" t="s">
        <v>929</v>
      </c>
      <c r="C910" s="2" t="s">
        <v>1279</v>
      </c>
      <c r="D910" s="5">
        <v>45144</v>
      </c>
      <c r="E910" s="5">
        <f>D910+4</f>
        <v>45148</v>
      </c>
      <c r="F910" s="2" t="s">
        <v>32</v>
      </c>
      <c r="G910" s="2" t="s">
        <v>15</v>
      </c>
      <c r="H910" s="2" t="s">
        <v>1223</v>
      </c>
      <c r="I910" s="2" t="s">
        <v>13</v>
      </c>
      <c r="J910" s="2">
        <v>8.6999999999999993</v>
      </c>
      <c r="K910" s="2" t="str">
        <f t="shared" si="37"/>
        <v>&gt;5kg</v>
      </c>
      <c r="L910" s="2">
        <f>tdata[[#This Row],[Received_date]]-tdata[[#This Row],[Shipment_Date]]</f>
        <v>4</v>
      </c>
      <c r="M910" s="2">
        <f>VLOOKUP(tdata[[#This Row],[Service_Type]],Table2[#All],2,0)</f>
        <v>1</v>
      </c>
      <c r="N910" s="2" t="str">
        <f>IF(tdata[[#This Row],[Delivery_Days]]&lt;=tdata[[#This Row],[SLA_Days]],"On Time","Late")</f>
        <v>Late</v>
      </c>
      <c r="O910" s="2">
        <f>VLOOKUP(tdata[[#This Row],[Service_Type]],Table2[#All],4,0)</f>
        <v>12000</v>
      </c>
      <c r="P910" s="2">
        <f>tdata[[#This Row],[price_per_kilo]]*tdata[[#This Row],[Weight_KG]]</f>
        <v>104399.99999999999</v>
      </c>
      <c r="Q910" s="2" t="str">
        <f>VLOOKUP(tdata[[#This Row],[id_employee]],temployee[#All],2,0)</f>
        <v>Gita Rahmawati</v>
      </c>
      <c r="R910" s="2" t="str">
        <f>VLOOKUP(tdata[[#This Row],[id_employee]],temployee[#All],4,0)</f>
        <v>crowd source</v>
      </c>
      <c r="S910" s="9" t="str">
        <f>VLOOKUP(tdata[[#This Row],[id_employee]],temployee[#All],5,0)</f>
        <v>rider</v>
      </c>
    </row>
    <row r="911" spans="2:19" x14ac:dyDescent="0.35">
      <c r="B911" s="8" t="s">
        <v>930</v>
      </c>
      <c r="C911" s="2" t="s">
        <v>1280</v>
      </c>
      <c r="D911" s="5">
        <v>45014</v>
      </c>
      <c r="E911" s="5">
        <v>45024</v>
      </c>
      <c r="F911" s="2" t="s">
        <v>16</v>
      </c>
      <c r="G911" s="2" t="s">
        <v>26</v>
      </c>
      <c r="H911" s="2" t="s">
        <v>1224</v>
      </c>
      <c r="I911" s="2" t="s">
        <v>13</v>
      </c>
      <c r="J911" s="2">
        <v>3.31</v>
      </c>
      <c r="K911" s="2" t="str">
        <f t="shared" si="37"/>
        <v>&lt; 5kg</v>
      </c>
      <c r="L911" s="2">
        <f>tdata[[#This Row],[Received_date]]-tdata[[#This Row],[Shipment_Date]]</f>
        <v>10</v>
      </c>
      <c r="M911" s="2">
        <f>VLOOKUP(tdata[[#This Row],[Service_Type]],Table2[#All],2,0)</f>
        <v>3</v>
      </c>
      <c r="N911" s="2" t="str">
        <f>IF(tdata[[#This Row],[Delivery_Days]]&lt;=tdata[[#This Row],[SLA_Days]],"On Time","Late")</f>
        <v>Late</v>
      </c>
      <c r="O911" s="2">
        <f>VLOOKUP(tdata[[#This Row],[Service_Type]],Table2[#All],4,0)</f>
        <v>10000</v>
      </c>
      <c r="P911" s="2">
        <f>tdata[[#This Row],[price_per_kilo]]*tdata[[#This Row],[Weight_KG]]</f>
        <v>33100</v>
      </c>
      <c r="Q911" s="2" t="str">
        <f>VLOOKUP(tdata[[#This Row],[id_employee]],temployee[#All],2,0)</f>
        <v>Hendra Wijaya</v>
      </c>
      <c r="R911" s="2" t="str">
        <f>VLOOKUP(tdata[[#This Row],[id_employee]],temployee[#All],4,0)</f>
        <v>internal</v>
      </c>
      <c r="S911" s="9" t="str">
        <f>VLOOKUP(tdata[[#This Row],[id_employee]],temployee[#All],5,0)</f>
        <v>driver</v>
      </c>
    </row>
    <row r="912" spans="2:19" x14ac:dyDescent="0.35">
      <c r="B912" s="8" t="s">
        <v>931</v>
      </c>
      <c r="C912" s="2" t="s">
        <v>1281</v>
      </c>
      <c r="D912" s="5">
        <v>44955</v>
      </c>
      <c r="E912" s="5">
        <v>44956</v>
      </c>
      <c r="F912" s="2" t="s">
        <v>26</v>
      </c>
      <c r="G912" s="2" t="s">
        <v>16</v>
      </c>
      <c r="H912" s="2" t="s">
        <v>1223</v>
      </c>
      <c r="I912" s="2" t="s">
        <v>13</v>
      </c>
      <c r="J912" s="2">
        <v>4.93</v>
      </c>
      <c r="K912" s="2" t="str">
        <f t="shared" si="37"/>
        <v>&lt; 5kg</v>
      </c>
      <c r="L912" s="2">
        <f>tdata[[#This Row],[Received_date]]-tdata[[#This Row],[Shipment_Date]]</f>
        <v>1</v>
      </c>
      <c r="M912" s="2">
        <f>VLOOKUP(tdata[[#This Row],[Service_Type]],Table2[#All],2,0)</f>
        <v>1</v>
      </c>
      <c r="N912" s="2" t="str">
        <f>IF(tdata[[#This Row],[Delivery_Days]]&lt;=tdata[[#This Row],[SLA_Days]],"On Time","Late")</f>
        <v>On Time</v>
      </c>
      <c r="O912" s="2">
        <f>VLOOKUP(tdata[[#This Row],[Service_Type]],Table2[#All],4,0)</f>
        <v>12000</v>
      </c>
      <c r="P912" s="2">
        <f>tdata[[#This Row],[price_per_kilo]]*tdata[[#This Row],[Weight_KG]]</f>
        <v>59160</v>
      </c>
      <c r="Q912" s="2" t="str">
        <f>VLOOKUP(tdata[[#This Row],[id_employee]],temployee[#All],2,0)</f>
        <v>Indah Permata</v>
      </c>
      <c r="R912" s="2" t="str">
        <f>VLOOKUP(tdata[[#This Row],[id_employee]],temployee[#All],4,0)</f>
        <v>crowd source</v>
      </c>
      <c r="S912" s="9" t="str">
        <f>VLOOKUP(tdata[[#This Row],[id_employee]],temployee[#All],5,0)</f>
        <v>rider</v>
      </c>
    </row>
    <row r="913" spans="2:19" x14ac:dyDescent="0.35">
      <c r="B913" s="8" t="s">
        <v>932</v>
      </c>
      <c r="C913" s="2" t="s">
        <v>1282</v>
      </c>
      <c r="D913" s="5">
        <v>45391</v>
      </c>
      <c r="E913" s="5">
        <v>45394</v>
      </c>
      <c r="F913" s="2" t="s">
        <v>49</v>
      </c>
      <c r="G913" s="2" t="s">
        <v>32</v>
      </c>
      <c r="H913" s="2" t="s">
        <v>1224</v>
      </c>
      <c r="I913" s="2" t="s">
        <v>17</v>
      </c>
      <c r="J913" s="2">
        <v>4.9000000000000004</v>
      </c>
      <c r="K913" s="2" t="str">
        <f t="shared" si="37"/>
        <v>&lt; 5kg</v>
      </c>
      <c r="L913" s="2">
        <f>tdata[[#This Row],[Received_date]]-tdata[[#This Row],[Shipment_Date]]</f>
        <v>3</v>
      </c>
      <c r="M913" s="2">
        <f>VLOOKUP(tdata[[#This Row],[Service_Type]],Table2[#All],2,0)</f>
        <v>3</v>
      </c>
      <c r="N913" s="2" t="str">
        <f>IF(tdata[[#This Row],[Delivery_Days]]&lt;=tdata[[#This Row],[SLA_Days]],"On Time","Late")</f>
        <v>On Time</v>
      </c>
      <c r="O913" s="2">
        <f>VLOOKUP(tdata[[#This Row],[Service_Type]],Table2[#All],4,0)</f>
        <v>10000</v>
      </c>
      <c r="P913" s="2">
        <f>tdata[[#This Row],[price_per_kilo]]*tdata[[#This Row],[Weight_KG]]</f>
        <v>49000</v>
      </c>
      <c r="Q913" s="2" t="str">
        <f>VLOOKUP(tdata[[#This Row],[id_employee]],temployee[#All],2,0)</f>
        <v>Joko Susilo</v>
      </c>
      <c r="R913" s="2" t="str">
        <f>VLOOKUP(tdata[[#This Row],[id_employee]],temployee[#All],4,0)</f>
        <v>internal</v>
      </c>
      <c r="S913" s="9" t="str">
        <f>VLOOKUP(tdata[[#This Row],[id_employee]],temployee[#All],5,0)</f>
        <v>driver</v>
      </c>
    </row>
    <row r="914" spans="2:19" x14ac:dyDescent="0.35">
      <c r="B914" s="8" t="s">
        <v>933</v>
      </c>
      <c r="C914" s="2" t="s">
        <v>1283</v>
      </c>
      <c r="D914" s="5">
        <v>45651</v>
      </c>
      <c r="E914" s="5">
        <v>45661</v>
      </c>
      <c r="F914" s="2" t="s">
        <v>11</v>
      </c>
      <c r="G914" s="2" t="s">
        <v>12</v>
      </c>
      <c r="H914" s="2" t="s">
        <v>23</v>
      </c>
      <c r="I914" s="2" t="s">
        <v>17</v>
      </c>
      <c r="J914" s="2">
        <v>0.67</v>
      </c>
      <c r="K914" s="2" t="str">
        <f t="shared" si="37"/>
        <v>&lt; 5kg</v>
      </c>
      <c r="L914" s="2">
        <f>tdata[[#This Row],[Received_date]]-tdata[[#This Row],[Shipment_Date]]</f>
        <v>10</v>
      </c>
      <c r="M914" s="2">
        <f>VLOOKUP(tdata[[#This Row],[Service_Type]],Table2[#All],2,0)</f>
        <v>5</v>
      </c>
      <c r="N914" s="2" t="str">
        <f>IF(tdata[[#This Row],[Delivery_Days]]&lt;=tdata[[#This Row],[SLA_Days]],"On Time","Late")</f>
        <v>Late</v>
      </c>
      <c r="O914" s="2">
        <f>VLOOKUP(tdata[[#This Row],[Service_Type]],Table2[#All],4,0)</f>
        <v>9000</v>
      </c>
      <c r="P914" s="2">
        <f>tdata[[#This Row],[price_per_kilo]]*tdata[[#This Row],[Weight_KG]]</f>
        <v>6030</v>
      </c>
      <c r="Q914" s="2" t="str">
        <f>VLOOKUP(tdata[[#This Row],[id_employee]],temployee[#All],2,0)</f>
        <v>Kurniawan Putra</v>
      </c>
      <c r="R914" s="2" t="str">
        <f>VLOOKUP(tdata[[#This Row],[id_employee]],temployee[#All],4,0)</f>
        <v>crowd source</v>
      </c>
      <c r="S914" s="9" t="str">
        <f>VLOOKUP(tdata[[#This Row],[id_employee]],temployee[#All],5,0)</f>
        <v>driver</v>
      </c>
    </row>
    <row r="915" spans="2:19" x14ac:dyDescent="0.35">
      <c r="B915" s="8" t="s">
        <v>934</v>
      </c>
      <c r="C915" s="2" t="s">
        <v>1284</v>
      </c>
      <c r="D915" s="5">
        <v>45484</v>
      </c>
      <c r="E915" s="5">
        <f t="shared" ref="E915:E916" si="38">D915+4</f>
        <v>45488</v>
      </c>
      <c r="F915" s="2" t="s">
        <v>15</v>
      </c>
      <c r="G915" s="2" t="s">
        <v>15</v>
      </c>
      <c r="H915" s="2" t="s">
        <v>1223</v>
      </c>
      <c r="I915" s="2" t="s">
        <v>13</v>
      </c>
      <c r="J915" s="2">
        <v>10.199999999999999</v>
      </c>
      <c r="K915" s="2" t="str">
        <f t="shared" si="37"/>
        <v>&gt;5kg</v>
      </c>
      <c r="L915" s="2">
        <f>tdata[[#This Row],[Received_date]]-tdata[[#This Row],[Shipment_Date]]</f>
        <v>4</v>
      </c>
      <c r="M915" s="2">
        <f>VLOOKUP(tdata[[#This Row],[Service_Type]],Table2[#All],2,0)</f>
        <v>1</v>
      </c>
      <c r="N915" s="2" t="str">
        <f>IF(tdata[[#This Row],[Delivery_Days]]&lt;=tdata[[#This Row],[SLA_Days]],"On Time","Late")</f>
        <v>Late</v>
      </c>
      <c r="O915" s="2">
        <f>VLOOKUP(tdata[[#This Row],[Service_Type]],Table2[#All],4,0)</f>
        <v>12000</v>
      </c>
      <c r="P915" s="2">
        <f>tdata[[#This Row],[price_per_kilo]]*tdata[[#This Row],[Weight_KG]]</f>
        <v>122399.99999999999</v>
      </c>
      <c r="Q915" s="2" t="str">
        <f>VLOOKUP(tdata[[#This Row],[id_employee]],temployee[#All],2,0)</f>
        <v>Lina Marlina</v>
      </c>
      <c r="R915" s="2" t="str">
        <f>VLOOKUP(tdata[[#This Row],[id_employee]],temployee[#All],4,0)</f>
        <v>internal</v>
      </c>
      <c r="S915" s="9" t="str">
        <f>VLOOKUP(tdata[[#This Row],[id_employee]],temployee[#All],5,0)</f>
        <v>rider</v>
      </c>
    </row>
    <row r="916" spans="2:19" x14ac:dyDescent="0.35">
      <c r="B916" s="8" t="s">
        <v>935</v>
      </c>
      <c r="C916" s="2" t="s">
        <v>1285</v>
      </c>
      <c r="D916" s="5">
        <v>44982</v>
      </c>
      <c r="E916" s="5">
        <f t="shared" si="38"/>
        <v>44986</v>
      </c>
      <c r="F916" s="2" t="s">
        <v>20</v>
      </c>
      <c r="G916" s="2" t="s">
        <v>26</v>
      </c>
      <c r="H916" s="2" t="s">
        <v>1224</v>
      </c>
      <c r="I916" s="2" t="s">
        <v>13</v>
      </c>
      <c r="J916" s="2">
        <v>9.6199999999999992</v>
      </c>
      <c r="K916" s="2" t="str">
        <f t="shared" si="37"/>
        <v>&gt;5kg</v>
      </c>
      <c r="L916" s="2">
        <f>tdata[[#This Row],[Received_date]]-tdata[[#This Row],[Shipment_Date]]</f>
        <v>4</v>
      </c>
      <c r="M916" s="2">
        <f>VLOOKUP(tdata[[#This Row],[Service_Type]],Table2[#All],2,0)</f>
        <v>3</v>
      </c>
      <c r="N916" s="2" t="str">
        <f>IF(tdata[[#This Row],[Delivery_Days]]&lt;=tdata[[#This Row],[SLA_Days]],"On Time","Late")</f>
        <v>Late</v>
      </c>
      <c r="O916" s="2">
        <f>VLOOKUP(tdata[[#This Row],[Service_Type]],Table2[#All],4,0)</f>
        <v>10000</v>
      </c>
      <c r="P916" s="2">
        <f>tdata[[#This Row],[price_per_kilo]]*tdata[[#This Row],[Weight_KG]]</f>
        <v>96199.999999999985</v>
      </c>
      <c r="Q916" s="2" t="str">
        <f>VLOOKUP(tdata[[#This Row],[id_employee]],temployee[#All],2,0)</f>
        <v>Rizky Ananda</v>
      </c>
      <c r="R916" s="2" t="str">
        <f>VLOOKUP(tdata[[#This Row],[id_employee]],temployee[#All],4,0)</f>
        <v>crowd source</v>
      </c>
      <c r="S916" s="9" t="str">
        <f>VLOOKUP(tdata[[#This Row],[id_employee]],temployee[#All],5,0)</f>
        <v>rider</v>
      </c>
    </row>
    <row r="917" spans="2:19" x14ac:dyDescent="0.35">
      <c r="B917" s="8" t="s">
        <v>936</v>
      </c>
      <c r="C917" s="2" t="s">
        <v>1286</v>
      </c>
      <c r="D917" s="5">
        <v>45050</v>
      </c>
      <c r="E917" s="5">
        <v>45055</v>
      </c>
      <c r="F917" s="2" t="s">
        <v>22</v>
      </c>
      <c r="G917" s="2" t="s">
        <v>12</v>
      </c>
      <c r="H917" s="2" t="s">
        <v>23</v>
      </c>
      <c r="I917" s="2" t="s">
        <v>13</v>
      </c>
      <c r="J917" s="2">
        <v>10.45</v>
      </c>
      <c r="K917" s="2" t="str">
        <f t="shared" si="37"/>
        <v>&gt;5kg</v>
      </c>
      <c r="L917" s="2">
        <f>tdata[[#This Row],[Received_date]]-tdata[[#This Row],[Shipment_Date]]</f>
        <v>5</v>
      </c>
      <c r="M917" s="2">
        <f>VLOOKUP(tdata[[#This Row],[Service_Type]],Table2[#All],2,0)</f>
        <v>5</v>
      </c>
      <c r="N917" s="2" t="str">
        <f>IF(tdata[[#This Row],[Delivery_Days]]&lt;=tdata[[#This Row],[SLA_Days]],"On Time","Late")</f>
        <v>On Time</v>
      </c>
      <c r="O917" s="2">
        <f>VLOOKUP(tdata[[#This Row],[Service_Type]],Table2[#All],4,0)</f>
        <v>9000</v>
      </c>
      <c r="P917" s="2">
        <f>tdata[[#This Row],[price_per_kilo]]*tdata[[#This Row],[Weight_KG]]</f>
        <v>94050</v>
      </c>
      <c r="Q917" s="2" t="str">
        <f>VLOOKUP(tdata[[#This Row],[id_employee]],temployee[#All],2,0)</f>
        <v>Nanda Prakoso</v>
      </c>
      <c r="R917" s="2" t="str">
        <f>VLOOKUP(tdata[[#This Row],[id_employee]],temployee[#All],4,0)</f>
        <v>internal</v>
      </c>
      <c r="S917" s="9" t="str">
        <f>VLOOKUP(tdata[[#This Row],[id_employee]],temployee[#All],5,0)</f>
        <v>driver</v>
      </c>
    </row>
    <row r="918" spans="2:19" x14ac:dyDescent="0.35">
      <c r="B918" s="8" t="s">
        <v>937</v>
      </c>
      <c r="C918" s="2" t="s">
        <v>1287</v>
      </c>
      <c r="D918" s="5">
        <v>44985</v>
      </c>
      <c r="E918" s="5">
        <v>44986</v>
      </c>
      <c r="F918" s="2" t="s">
        <v>12</v>
      </c>
      <c r="G918" s="2" t="s">
        <v>15</v>
      </c>
      <c r="H918" s="2" t="s">
        <v>1223</v>
      </c>
      <c r="I918" s="2" t="s">
        <v>17</v>
      </c>
      <c r="J918" s="2">
        <v>3.66</v>
      </c>
      <c r="K918" s="2" t="str">
        <f t="shared" si="37"/>
        <v>&lt; 5kg</v>
      </c>
      <c r="L918" s="2">
        <f>tdata[[#This Row],[Received_date]]-tdata[[#This Row],[Shipment_Date]]</f>
        <v>1</v>
      </c>
      <c r="M918" s="2">
        <f>VLOOKUP(tdata[[#This Row],[Service_Type]],Table2[#All],2,0)</f>
        <v>1</v>
      </c>
      <c r="N918" s="2" t="str">
        <f>IF(tdata[[#This Row],[Delivery_Days]]&lt;=tdata[[#This Row],[SLA_Days]],"On Time","Late")</f>
        <v>On Time</v>
      </c>
      <c r="O918" s="2">
        <f>VLOOKUP(tdata[[#This Row],[Service_Type]],Table2[#All],4,0)</f>
        <v>12000</v>
      </c>
      <c r="P918" s="2">
        <f>tdata[[#This Row],[price_per_kilo]]*tdata[[#This Row],[Weight_KG]]</f>
        <v>43920</v>
      </c>
      <c r="Q918" s="2" t="str">
        <f>VLOOKUP(tdata[[#This Row],[id_employee]],temployee[#All],2,0)</f>
        <v>Oktavian Yusuf</v>
      </c>
      <c r="R918" s="2" t="str">
        <f>VLOOKUP(tdata[[#This Row],[id_employee]],temployee[#All],4,0)</f>
        <v>crowd source</v>
      </c>
      <c r="S918" s="9" t="str">
        <f>VLOOKUP(tdata[[#This Row],[id_employee]],temployee[#All],5,0)</f>
        <v>driver</v>
      </c>
    </row>
    <row r="919" spans="2:19" x14ac:dyDescent="0.35">
      <c r="B919" s="8" t="s">
        <v>938</v>
      </c>
      <c r="C919" s="2" t="s">
        <v>1288</v>
      </c>
      <c r="D919" s="5">
        <v>45603</v>
      </c>
      <c r="E919" s="5">
        <v>45610</v>
      </c>
      <c r="F919" s="2" t="s">
        <v>30</v>
      </c>
      <c r="G919" s="2" t="s">
        <v>32</v>
      </c>
      <c r="H919" s="2" t="s">
        <v>1224</v>
      </c>
      <c r="I919" s="2" t="s">
        <v>17</v>
      </c>
      <c r="J919" s="2">
        <v>7.21</v>
      </c>
      <c r="K919" s="2" t="str">
        <f t="shared" si="37"/>
        <v>&gt;5kg</v>
      </c>
      <c r="L919" s="2">
        <f>tdata[[#This Row],[Received_date]]-tdata[[#This Row],[Shipment_Date]]</f>
        <v>7</v>
      </c>
      <c r="M919" s="2">
        <f>VLOOKUP(tdata[[#This Row],[Service_Type]],Table2[#All],2,0)</f>
        <v>3</v>
      </c>
      <c r="N919" s="2" t="str">
        <f>IF(tdata[[#This Row],[Delivery_Days]]&lt;=tdata[[#This Row],[SLA_Days]],"On Time","Late")</f>
        <v>Late</v>
      </c>
      <c r="O919" s="2">
        <f>VLOOKUP(tdata[[#This Row],[Service_Type]],Table2[#All],4,0)</f>
        <v>10000</v>
      </c>
      <c r="P919" s="2">
        <f>tdata[[#This Row],[price_per_kilo]]*tdata[[#This Row],[Weight_KG]]</f>
        <v>72100</v>
      </c>
      <c r="Q919" s="2" t="str">
        <f>VLOOKUP(tdata[[#This Row],[id_employee]],temployee[#All],2,0)</f>
        <v>Putri Ayu Lestari</v>
      </c>
      <c r="R919" s="2" t="str">
        <f>VLOOKUP(tdata[[#This Row],[id_employee]],temployee[#All],4,0)</f>
        <v>internal</v>
      </c>
      <c r="S919" s="9" t="str">
        <f>VLOOKUP(tdata[[#This Row],[id_employee]],temployee[#All],5,0)</f>
        <v>rider</v>
      </c>
    </row>
    <row r="920" spans="2:19" x14ac:dyDescent="0.35">
      <c r="B920" s="8" t="s">
        <v>939</v>
      </c>
      <c r="C920" s="2" t="s">
        <v>1289</v>
      </c>
      <c r="D920" s="5">
        <v>45301</v>
      </c>
      <c r="E920" s="5">
        <v>45309</v>
      </c>
      <c r="F920" s="2" t="s">
        <v>32</v>
      </c>
      <c r="G920" s="2" t="s">
        <v>20</v>
      </c>
      <c r="H920" s="2" t="s">
        <v>23</v>
      </c>
      <c r="I920" s="2" t="s">
        <v>13</v>
      </c>
      <c r="J920" s="2">
        <v>4.0199999999999996</v>
      </c>
      <c r="K920" s="2" t="str">
        <f t="shared" si="37"/>
        <v>&lt; 5kg</v>
      </c>
      <c r="L920" s="2">
        <f>tdata[[#This Row],[Received_date]]-tdata[[#This Row],[Shipment_Date]]</f>
        <v>8</v>
      </c>
      <c r="M920" s="2">
        <f>VLOOKUP(tdata[[#This Row],[Service_Type]],Table2[#All],2,0)</f>
        <v>5</v>
      </c>
      <c r="N920" s="2" t="str">
        <f>IF(tdata[[#This Row],[Delivery_Days]]&lt;=tdata[[#This Row],[SLA_Days]],"On Time","Late")</f>
        <v>Late</v>
      </c>
      <c r="O920" s="2">
        <f>VLOOKUP(tdata[[#This Row],[Service_Type]],Table2[#All],4,0)</f>
        <v>9000</v>
      </c>
      <c r="P920" s="2">
        <f>tdata[[#This Row],[price_per_kilo]]*tdata[[#This Row],[Weight_KG]]</f>
        <v>36179.999999999993</v>
      </c>
      <c r="Q920" s="2" t="str">
        <f>VLOOKUP(tdata[[#This Row],[id_employee]],temployee[#All],2,0)</f>
        <v>Rafi Maulana</v>
      </c>
      <c r="R920" s="2" t="str">
        <f>VLOOKUP(tdata[[#This Row],[id_employee]],temployee[#All],4,0)</f>
        <v>internal</v>
      </c>
      <c r="S920" s="9" t="str">
        <f>VLOOKUP(tdata[[#This Row],[id_employee]],temployee[#All],5,0)</f>
        <v>rider</v>
      </c>
    </row>
    <row r="921" spans="2:19" x14ac:dyDescent="0.35">
      <c r="B921" s="8" t="s">
        <v>940</v>
      </c>
      <c r="C921" s="2" t="s">
        <v>1290</v>
      </c>
      <c r="D921" s="5">
        <v>45559</v>
      </c>
      <c r="E921" s="5">
        <v>45565</v>
      </c>
      <c r="F921" s="2" t="s">
        <v>16</v>
      </c>
      <c r="G921" s="2" t="s">
        <v>20</v>
      </c>
      <c r="H921" s="2" t="s">
        <v>23</v>
      </c>
      <c r="I921" s="2" t="s">
        <v>13</v>
      </c>
      <c r="J921" s="2">
        <v>9.6</v>
      </c>
      <c r="K921" s="2" t="str">
        <f t="shared" si="37"/>
        <v>&gt;5kg</v>
      </c>
      <c r="L921" s="2">
        <f>tdata[[#This Row],[Received_date]]-tdata[[#This Row],[Shipment_Date]]</f>
        <v>6</v>
      </c>
      <c r="M921" s="2">
        <f>VLOOKUP(tdata[[#This Row],[Service_Type]],Table2[#All],2,0)</f>
        <v>5</v>
      </c>
      <c r="N921" s="2" t="str">
        <f>IF(tdata[[#This Row],[Delivery_Days]]&lt;=tdata[[#This Row],[SLA_Days]],"On Time","Late")</f>
        <v>Late</v>
      </c>
      <c r="O921" s="2">
        <f>VLOOKUP(tdata[[#This Row],[Service_Type]],Table2[#All],4,0)</f>
        <v>9000</v>
      </c>
      <c r="P921" s="2">
        <f>tdata[[#This Row],[price_per_kilo]]*tdata[[#This Row],[Weight_KG]]</f>
        <v>86400</v>
      </c>
      <c r="Q921" s="2" t="str">
        <f>VLOOKUP(tdata[[#This Row],[id_employee]],temployee[#All],2,0)</f>
        <v>Sari Puspita</v>
      </c>
      <c r="R921" s="2" t="str">
        <f>VLOOKUP(tdata[[#This Row],[id_employee]],temployee[#All],4,0)</f>
        <v>crowd source</v>
      </c>
      <c r="S921" s="9" t="str">
        <f>VLOOKUP(tdata[[#This Row],[id_employee]],temployee[#All],5,0)</f>
        <v>rider</v>
      </c>
    </row>
    <row r="922" spans="2:19" x14ac:dyDescent="0.35">
      <c r="B922" s="8" t="s">
        <v>941</v>
      </c>
      <c r="C922" s="2" t="s">
        <v>1291</v>
      </c>
      <c r="D922" s="5">
        <v>45568</v>
      </c>
      <c r="E922" s="5">
        <v>45574</v>
      </c>
      <c r="F922" s="2" t="s">
        <v>26</v>
      </c>
      <c r="G922" s="2" t="s">
        <v>12</v>
      </c>
      <c r="H922" s="2" t="s">
        <v>1224</v>
      </c>
      <c r="I922" s="2" t="s">
        <v>17</v>
      </c>
      <c r="J922" s="2">
        <v>9.65</v>
      </c>
      <c r="K922" s="2" t="str">
        <f t="shared" si="37"/>
        <v>&gt;5kg</v>
      </c>
      <c r="L922" s="2">
        <f>tdata[[#This Row],[Received_date]]-tdata[[#This Row],[Shipment_Date]]</f>
        <v>6</v>
      </c>
      <c r="M922" s="2">
        <f>VLOOKUP(tdata[[#This Row],[Service_Type]],Table2[#All],2,0)</f>
        <v>3</v>
      </c>
      <c r="N922" s="2" t="str">
        <f>IF(tdata[[#This Row],[Delivery_Days]]&lt;=tdata[[#This Row],[SLA_Days]],"On Time","Late")</f>
        <v>Late</v>
      </c>
      <c r="O922" s="2">
        <f>VLOOKUP(tdata[[#This Row],[Service_Type]],Table2[#All],4,0)</f>
        <v>10000</v>
      </c>
      <c r="P922" s="2">
        <f>tdata[[#This Row],[price_per_kilo]]*tdata[[#This Row],[Weight_KG]]</f>
        <v>96500</v>
      </c>
      <c r="Q922" s="2" t="str">
        <f>VLOOKUP(tdata[[#This Row],[id_employee]],temployee[#All],2,0)</f>
        <v>Teguh Wibowo</v>
      </c>
      <c r="R922" s="2" t="str">
        <f>VLOOKUP(tdata[[#This Row],[id_employee]],temployee[#All],4,0)</f>
        <v>internal</v>
      </c>
      <c r="S922" s="9" t="str">
        <f>VLOOKUP(tdata[[#This Row],[id_employee]],temployee[#All],5,0)</f>
        <v>driver</v>
      </c>
    </row>
    <row r="923" spans="2:19" x14ac:dyDescent="0.35">
      <c r="B923" s="8" t="s">
        <v>942</v>
      </c>
      <c r="C923" s="2" t="s">
        <v>1292</v>
      </c>
      <c r="D923" s="5">
        <v>45601</v>
      </c>
      <c r="E923" s="5">
        <f>D923+4</f>
        <v>45605</v>
      </c>
      <c r="F923" s="2" t="s">
        <v>49</v>
      </c>
      <c r="G923" s="2" t="s">
        <v>15</v>
      </c>
      <c r="H923" s="2" t="s">
        <v>1224</v>
      </c>
      <c r="I923" s="2" t="s">
        <v>13</v>
      </c>
      <c r="J923" s="2">
        <v>8.5399999999999991</v>
      </c>
      <c r="K923" s="2" t="str">
        <f t="shared" si="37"/>
        <v>&gt;5kg</v>
      </c>
      <c r="L923" s="2">
        <f>tdata[[#This Row],[Received_date]]-tdata[[#This Row],[Shipment_Date]]</f>
        <v>4</v>
      </c>
      <c r="M923" s="2">
        <f>VLOOKUP(tdata[[#This Row],[Service_Type]],Table2[#All],2,0)</f>
        <v>3</v>
      </c>
      <c r="N923" s="2" t="str">
        <f>IF(tdata[[#This Row],[Delivery_Days]]&lt;=tdata[[#This Row],[SLA_Days]],"On Time","Late")</f>
        <v>Late</v>
      </c>
      <c r="O923" s="2">
        <f>VLOOKUP(tdata[[#This Row],[Service_Type]],Table2[#All],4,0)</f>
        <v>10000</v>
      </c>
      <c r="P923" s="2">
        <f>tdata[[#This Row],[price_per_kilo]]*tdata[[#This Row],[Weight_KG]]</f>
        <v>85399.999999999985</v>
      </c>
      <c r="Q923" s="2" t="str">
        <f>VLOOKUP(tdata[[#This Row],[id_employee]],temployee[#All],2,0)</f>
        <v>Umi Kalsum</v>
      </c>
      <c r="R923" s="2" t="str">
        <f>VLOOKUP(tdata[[#This Row],[id_employee]],temployee[#All],4,0)</f>
        <v>crowd source</v>
      </c>
      <c r="S923" s="9" t="str">
        <f>VLOOKUP(tdata[[#This Row],[id_employee]],temployee[#All],5,0)</f>
        <v>rider</v>
      </c>
    </row>
    <row r="924" spans="2:19" x14ac:dyDescent="0.35">
      <c r="B924" s="8" t="s">
        <v>943</v>
      </c>
      <c r="C924" s="2" t="s">
        <v>1293</v>
      </c>
      <c r="D924" s="5">
        <v>45191</v>
      </c>
      <c r="E924" s="5">
        <v>45194</v>
      </c>
      <c r="F924" s="2" t="s">
        <v>11</v>
      </c>
      <c r="G924" s="2" t="s">
        <v>32</v>
      </c>
      <c r="H924" s="2" t="s">
        <v>1224</v>
      </c>
      <c r="I924" s="2" t="s">
        <v>13</v>
      </c>
      <c r="J924" s="2">
        <v>2.78</v>
      </c>
      <c r="K924" s="2" t="str">
        <f t="shared" si="37"/>
        <v>&lt; 5kg</v>
      </c>
      <c r="L924" s="2">
        <f>tdata[[#This Row],[Received_date]]-tdata[[#This Row],[Shipment_Date]]</f>
        <v>3</v>
      </c>
      <c r="M924" s="2">
        <f>VLOOKUP(tdata[[#This Row],[Service_Type]],Table2[#All],2,0)</f>
        <v>3</v>
      </c>
      <c r="N924" s="2" t="str">
        <f>IF(tdata[[#This Row],[Delivery_Days]]&lt;=tdata[[#This Row],[SLA_Days]],"On Time","Late")</f>
        <v>On Time</v>
      </c>
      <c r="O924" s="2">
        <f>VLOOKUP(tdata[[#This Row],[Service_Type]],Table2[#All],4,0)</f>
        <v>10000</v>
      </c>
      <c r="P924" s="2">
        <f>tdata[[#This Row],[price_per_kilo]]*tdata[[#This Row],[Weight_KG]]</f>
        <v>27799.999999999996</v>
      </c>
      <c r="Q924" s="2" t="str">
        <f>VLOOKUP(tdata[[#This Row],[id_employee]],temployee[#All],2,0)</f>
        <v>Vina Oktaviani</v>
      </c>
      <c r="R924" s="2" t="str">
        <f>VLOOKUP(tdata[[#This Row],[id_employee]],temployee[#All],4,0)</f>
        <v>internal</v>
      </c>
      <c r="S924" s="9" t="str">
        <f>VLOOKUP(tdata[[#This Row],[id_employee]],temployee[#All],5,0)</f>
        <v>rider</v>
      </c>
    </row>
    <row r="925" spans="2:19" x14ac:dyDescent="0.35">
      <c r="B925" s="8" t="s">
        <v>944</v>
      </c>
      <c r="C925" s="2" t="s">
        <v>1294</v>
      </c>
      <c r="D925" s="5">
        <v>45487</v>
      </c>
      <c r="E925" s="5">
        <v>45488</v>
      </c>
      <c r="F925" s="2" t="s">
        <v>15</v>
      </c>
      <c r="G925" s="2" t="s">
        <v>20</v>
      </c>
      <c r="H925" s="2" t="s">
        <v>23</v>
      </c>
      <c r="I925" s="2" t="s">
        <v>17</v>
      </c>
      <c r="J925" s="2">
        <v>0.54</v>
      </c>
      <c r="K925" s="2" t="str">
        <f t="shared" si="37"/>
        <v>&lt; 5kg</v>
      </c>
      <c r="L925" s="2">
        <f>tdata[[#This Row],[Received_date]]-tdata[[#This Row],[Shipment_Date]]</f>
        <v>1</v>
      </c>
      <c r="M925" s="2">
        <f>VLOOKUP(tdata[[#This Row],[Service_Type]],Table2[#All],2,0)</f>
        <v>5</v>
      </c>
      <c r="N925" s="2" t="str">
        <f>IF(tdata[[#This Row],[Delivery_Days]]&lt;=tdata[[#This Row],[SLA_Days]],"On Time","Late")</f>
        <v>On Time</v>
      </c>
      <c r="O925" s="2">
        <f>VLOOKUP(tdata[[#This Row],[Service_Type]],Table2[#All],4,0)</f>
        <v>9000</v>
      </c>
      <c r="P925" s="2">
        <f>tdata[[#This Row],[price_per_kilo]]*tdata[[#This Row],[Weight_KG]]</f>
        <v>4860</v>
      </c>
      <c r="Q925" s="2" t="str">
        <f>VLOOKUP(tdata[[#This Row],[id_employee]],temployee[#All],2,0)</f>
        <v>Wahyu Setiawan</v>
      </c>
      <c r="R925" s="2" t="str">
        <f>VLOOKUP(tdata[[#This Row],[id_employee]],temployee[#All],4,0)</f>
        <v>crowd source</v>
      </c>
      <c r="S925" s="9" t="str">
        <f>VLOOKUP(tdata[[#This Row],[id_employee]],temployee[#All],5,0)</f>
        <v>driver</v>
      </c>
    </row>
    <row r="926" spans="2:19" x14ac:dyDescent="0.35">
      <c r="B926" s="8" t="s">
        <v>945</v>
      </c>
      <c r="C926" s="2" t="s">
        <v>1295</v>
      </c>
      <c r="D926" s="5">
        <v>45371</v>
      </c>
      <c r="E926" s="5">
        <v>45372</v>
      </c>
      <c r="F926" s="2" t="s">
        <v>20</v>
      </c>
      <c r="G926" s="2" t="s">
        <v>26</v>
      </c>
      <c r="H926" s="2" t="s">
        <v>1224</v>
      </c>
      <c r="I926" s="2" t="s">
        <v>17</v>
      </c>
      <c r="J926" s="2">
        <v>4.8899999999999997</v>
      </c>
      <c r="K926" s="2" t="str">
        <f t="shared" si="37"/>
        <v>&lt; 5kg</v>
      </c>
      <c r="L926" s="2">
        <f>tdata[[#This Row],[Received_date]]-tdata[[#This Row],[Shipment_Date]]</f>
        <v>1</v>
      </c>
      <c r="M926" s="2">
        <f>VLOOKUP(tdata[[#This Row],[Service_Type]],Table2[#All],2,0)</f>
        <v>3</v>
      </c>
      <c r="N926" s="2" t="str">
        <f>IF(tdata[[#This Row],[Delivery_Days]]&lt;=tdata[[#This Row],[SLA_Days]],"On Time","Late")</f>
        <v>On Time</v>
      </c>
      <c r="O926" s="2">
        <f>VLOOKUP(tdata[[#This Row],[Service_Type]],Table2[#All],4,0)</f>
        <v>10000</v>
      </c>
      <c r="P926" s="2">
        <f>tdata[[#This Row],[price_per_kilo]]*tdata[[#This Row],[Weight_KG]]</f>
        <v>48900</v>
      </c>
      <c r="Q926" s="2" t="str">
        <f>VLOOKUP(tdata[[#This Row],[id_employee]],temployee[#All],2,0)</f>
        <v>Yogi Firmansyah</v>
      </c>
      <c r="R926" s="2" t="str">
        <f>VLOOKUP(tdata[[#This Row],[id_employee]],temployee[#All],4,0)</f>
        <v>internal</v>
      </c>
      <c r="S926" s="9" t="str">
        <f>VLOOKUP(tdata[[#This Row],[id_employee]],temployee[#All],5,0)</f>
        <v>driver</v>
      </c>
    </row>
    <row r="927" spans="2:19" x14ac:dyDescent="0.35">
      <c r="B927" s="8" t="s">
        <v>946</v>
      </c>
      <c r="C927" s="2" t="s">
        <v>1296</v>
      </c>
      <c r="D927" s="5">
        <v>45320</v>
      </c>
      <c r="E927" s="5">
        <v>45320</v>
      </c>
      <c r="F927" s="2" t="s">
        <v>22</v>
      </c>
      <c r="G927" s="2" t="s">
        <v>15</v>
      </c>
      <c r="H927" s="2" t="s">
        <v>23</v>
      </c>
      <c r="I927" s="2" t="s">
        <v>17</v>
      </c>
      <c r="J927" s="2">
        <v>8.7100000000000009</v>
      </c>
      <c r="K927" s="2" t="str">
        <f t="shared" si="37"/>
        <v>&gt;5kg</v>
      </c>
      <c r="L927" s="2">
        <f>tdata[[#This Row],[Received_date]]-tdata[[#This Row],[Shipment_Date]]</f>
        <v>0</v>
      </c>
      <c r="M927" s="2">
        <f>VLOOKUP(tdata[[#This Row],[Service_Type]],Table2[#All],2,0)</f>
        <v>5</v>
      </c>
      <c r="N927" s="2" t="str">
        <f>IF(tdata[[#This Row],[Delivery_Days]]&lt;=tdata[[#This Row],[SLA_Days]],"On Time","Late")</f>
        <v>On Time</v>
      </c>
      <c r="O927" s="2">
        <f>VLOOKUP(tdata[[#This Row],[Service_Type]],Table2[#All],4,0)</f>
        <v>9000</v>
      </c>
      <c r="P927" s="2">
        <f>tdata[[#This Row],[price_per_kilo]]*tdata[[#This Row],[Weight_KG]]</f>
        <v>78390.000000000015</v>
      </c>
      <c r="Q927" s="2" t="str">
        <f>VLOOKUP(tdata[[#This Row],[id_employee]],temployee[#All],2,0)</f>
        <v>Zainal Abidin</v>
      </c>
      <c r="R927" s="2" t="str">
        <f>VLOOKUP(tdata[[#This Row],[id_employee]],temployee[#All],4,0)</f>
        <v>crowd source</v>
      </c>
      <c r="S927" s="9" t="str">
        <f>VLOOKUP(tdata[[#This Row],[id_employee]],temployee[#All],5,0)</f>
        <v>driver</v>
      </c>
    </row>
    <row r="928" spans="2:19" x14ac:dyDescent="0.35">
      <c r="B928" s="8" t="s">
        <v>947</v>
      </c>
      <c r="C928" s="2" t="s">
        <v>1297</v>
      </c>
      <c r="D928" s="5">
        <v>44948</v>
      </c>
      <c r="E928" s="5">
        <f t="shared" ref="E928:E930" si="39">D928+4</f>
        <v>44952</v>
      </c>
      <c r="F928" s="2" t="s">
        <v>12</v>
      </c>
      <c r="G928" s="2" t="s">
        <v>49</v>
      </c>
      <c r="H928" s="2" t="s">
        <v>23</v>
      </c>
      <c r="I928" s="2" t="s">
        <v>13</v>
      </c>
      <c r="J928" s="2">
        <v>7.63</v>
      </c>
      <c r="K928" s="2" t="str">
        <f t="shared" si="37"/>
        <v>&gt;5kg</v>
      </c>
      <c r="L928" s="2">
        <f>tdata[[#This Row],[Received_date]]-tdata[[#This Row],[Shipment_Date]]</f>
        <v>4</v>
      </c>
      <c r="M928" s="2">
        <f>VLOOKUP(tdata[[#This Row],[Service_Type]],Table2[#All],2,0)</f>
        <v>5</v>
      </c>
      <c r="N928" s="2" t="str">
        <f>IF(tdata[[#This Row],[Delivery_Days]]&lt;=tdata[[#This Row],[SLA_Days]],"On Time","Late")</f>
        <v>On Time</v>
      </c>
      <c r="O928" s="2">
        <f>VLOOKUP(tdata[[#This Row],[Service_Type]],Table2[#All],4,0)</f>
        <v>9000</v>
      </c>
      <c r="P928" s="2">
        <f>tdata[[#This Row],[price_per_kilo]]*tdata[[#This Row],[Weight_KG]]</f>
        <v>68670</v>
      </c>
      <c r="Q928" s="2" t="str">
        <f>VLOOKUP(tdata[[#This Row],[id_employee]],temployee[#All],2,0)</f>
        <v>Ahmad Fauzi</v>
      </c>
      <c r="R928" s="2" t="str">
        <f>VLOOKUP(tdata[[#This Row],[id_employee]],temployee[#All],4,0)</f>
        <v>internal</v>
      </c>
      <c r="S928" s="9" t="str">
        <f>VLOOKUP(tdata[[#This Row],[id_employee]],temployee[#All],5,0)</f>
        <v>rider</v>
      </c>
    </row>
    <row r="929" spans="2:19" x14ac:dyDescent="0.35">
      <c r="B929" s="8" t="s">
        <v>948</v>
      </c>
      <c r="C929" s="2" t="s">
        <v>1298</v>
      </c>
      <c r="D929" s="5">
        <v>45315</v>
      </c>
      <c r="E929" s="5">
        <f t="shared" si="39"/>
        <v>45319</v>
      </c>
      <c r="F929" s="2" t="s">
        <v>30</v>
      </c>
      <c r="G929" s="2" t="s">
        <v>32</v>
      </c>
      <c r="H929" s="2" t="s">
        <v>23</v>
      </c>
      <c r="I929" s="2" t="s">
        <v>13</v>
      </c>
      <c r="J929" s="2">
        <v>6.11</v>
      </c>
      <c r="K929" s="2" t="str">
        <f t="shared" si="37"/>
        <v>&gt;5kg</v>
      </c>
      <c r="L929" s="2">
        <f>tdata[[#This Row],[Received_date]]-tdata[[#This Row],[Shipment_Date]]</f>
        <v>4</v>
      </c>
      <c r="M929" s="2">
        <f>VLOOKUP(tdata[[#This Row],[Service_Type]],Table2[#All],2,0)</f>
        <v>5</v>
      </c>
      <c r="N929" s="2" t="str">
        <f>IF(tdata[[#This Row],[Delivery_Days]]&lt;=tdata[[#This Row],[SLA_Days]],"On Time","Late")</f>
        <v>On Time</v>
      </c>
      <c r="O929" s="2">
        <f>VLOOKUP(tdata[[#This Row],[Service_Type]],Table2[#All],4,0)</f>
        <v>9000</v>
      </c>
      <c r="P929" s="2">
        <f>tdata[[#This Row],[price_per_kilo]]*tdata[[#This Row],[Weight_KG]]</f>
        <v>54990</v>
      </c>
      <c r="Q929" s="2" t="str">
        <f>VLOOKUP(tdata[[#This Row],[id_employee]],temployee[#All],2,0)</f>
        <v>Bayu Ramadhan</v>
      </c>
      <c r="R929" s="2" t="str">
        <f>VLOOKUP(tdata[[#This Row],[id_employee]],temployee[#All],4,0)</f>
        <v>crowd source</v>
      </c>
      <c r="S929" s="9" t="str">
        <f>VLOOKUP(tdata[[#This Row],[id_employee]],temployee[#All],5,0)</f>
        <v>rider</v>
      </c>
    </row>
    <row r="930" spans="2:19" x14ac:dyDescent="0.35">
      <c r="B930" s="8" t="s">
        <v>949</v>
      </c>
      <c r="C930" s="2" t="s">
        <v>1299</v>
      </c>
      <c r="D930" s="5">
        <v>45392</v>
      </c>
      <c r="E930" s="5">
        <f t="shared" si="39"/>
        <v>45396</v>
      </c>
      <c r="F930" s="2" t="s">
        <v>32</v>
      </c>
      <c r="G930" s="2" t="s">
        <v>11</v>
      </c>
      <c r="H930" s="2" t="s">
        <v>1224</v>
      </c>
      <c r="I930" s="2" t="s">
        <v>13</v>
      </c>
      <c r="J930" s="2">
        <v>9.14</v>
      </c>
      <c r="K930" s="2" t="str">
        <f t="shared" si="37"/>
        <v>&gt;5kg</v>
      </c>
      <c r="L930" s="2">
        <f>tdata[[#This Row],[Received_date]]-tdata[[#This Row],[Shipment_Date]]</f>
        <v>4</v>
      </c>
      <c r="M930" s="2">
        <f>VLOOKUP(tdata[[#This Row],[Service_Type]],Table2[#All],2,0)</f>
        <v>3</v>
      </c>
      <c r="N930" s="2" t="str">
        <f>IF(tdata[[#This Row],[Delivery_Days]]&lt;=tdata[[#This Row],[SLA_Days]],"On Time","Late")</f>
        <v>Late</v>
      </c>
      <c r="O930" s="2">
        <f>VLOOKUP(tdata[[#This Row],[Service_Type]],Table2[#All],4,0)</f>
        <v>10000</v>
      </c>
      <c r="P930" s="2">
        <f>tdata[[#This Row],[price_per_kilo]]*tdata[[#This Row],[Weight_KG]]</f>
        <v>91400</v>
      </c>
      <c r="Q930" s="2" t="str">
        <f>VLOOKUP(tdata[[#This Row],[id_employee]],temployee[#All],2,0)</f>
        <v>Cindy Oktavia</v>
      </c>
      <c r="R930" s="2" t="str">
        <f>VLOOKUP(tdata[[#This Row],[id_employee]],temployee[#All],4,0)</f>
        <v>internal</v>
      </c>
      <c r="S930" s="9" t="str">
        <f>VLOOKUP(tdata[[#This Row],[id_employee]],temployee[#All],5,0)</f>
        <v>rider</v>
      </c>
    </row>
    <row r="931" spans="2:19" x14ac:dyDescent="0.35">
      <c r="B931" s="8" t="s">
        <v>950</v>
      </c>
      <c r="C931" s="2" t="s">
        <v>1300</v>
      </c>
      <c r="D931" s="5">
        <v>45653</v>
      </c>
      <c r="E931" s="5">
        <v>45654</v>
      </c>
      <c r="F931" s="2" t="s">
        <v>16</v>
      </c>
      <c r="G931" s="2" t="s">
        <v>20</v>
      </c>
      <c r="H931" s="2" t="s">
        <v>23</v>
      </c>
      <c r="I931" s="2" t="s">
        <v>13</v>
      </c>
      <c r="J931" s="2">
        <v>3.4</v>
      </c>
      <c r="K931" s="2" t="str">
        <f t="shared" si="37"/>
        <v>&lt; 5kg</v>
      </c>
      <c r="L931" s="2">
        <f>tdata[[#This Row],[Received_date]]-tdata[[#This Row],[Shipment_Date]]</f>
        <v>1</v>
      </c>
      <c r="M931" s="2">
        <f>VLOOKUP(tdata[[#This Row],[Service_Type]],Table2[#All],2,0)</f>
        <v>5</v>
      </c>
      <c r="N931" s="2" t="str">
        <f>IF(tdata[[#This Row],[Delivery_Days]]&lt;=tdata[[#This Row],[SLA_Days]],"On Time","Late")</f>
        <v>On Time</v>
      </c>
      <c r="O931" s="2">
        <f>VLOOKUP(tdata[[#This Row],[Service_Type]],Table2[#All],4,0)</f>
        <v>9000</v>
      </c>
      <c r="P931" s="2">
        <f>tdata[[#This Row],[price_per_kilo]]*tdata[[#This Row],[Weight_KG]]</f>
        <v>30600</v>
      </c>
      <c r="Q931" s="2" t="str">
        <f>VLOOKUP(tdata[[#This Row],[id_employee]],temployee[#All],2,0)</f>
        <v>Dian Pramudya</v>
      </c>
      <c r="R931" s="2" t="str">
        <f>VLOOKUP(tdata[[#This Row],[id_employee]],temployee[#All],4,0)</f>
        <v>crowd source</v>
      </c>
      <c r="S931" s="9" t="str">
        <f>VLOOKUP(tdata[[#This Row],[id_employee]],temployee[#All],5,0)</f>
        <v>driver</v>
      </c>
    </row>
    <row r="932" spans="2:19" x14ac:dyDescent="0.35">
      <c r="B932" s="8" t="s">
        <v>951</v>
      </c>
      <c r="C932" s="2" t="s">
        <v>1301</v>
      </c>
      <c r="D932" s="5">
        <v>45007</v>
      </c>
      <c r="E932" s="5">
        <v>45009</v>
      </c>
      <c r="F932" s="2" t="s">
        <v>26</v>
      </c>
      <c r="G932" s="2" t="s">
        <v>30</v>
      </c>
      <c r="H932" s="2" t="s">
        <v>1224</v>
      </c>
      <c r="I932" s="2" t="s">
        <v>13</v>
      </c>
      <c r="J932" s="2">
        <v>7.79</v>
      </c>
      <c r="K932" s="2" t="str">
        <f t="shared" si="37"/>
        <v>&gt;5kg</v>
      </c>
      <c r="L932" s="2">
        <f>tdata[[#This Row],[Received_date]]-tdata[[#This Row],[Shipment_Date]]</f>
        <v>2</v>
      </c>
      <c r="M932" s="2">
        <f>VLOOKUP(tdata[[#This Row],[Service_Type]],Table2[#All],2,0)</f>
        <v>3</v>
      </c>
      <c r="N932" s="2" t="str">
        <f>IF(tdata[[#This Row],[Delivery_Days]]&lt;=tdata[[#This Row],[SLA_Days]],"On Time","Late")</f>
        <v>On Time</v>
      </c>
      <c r="O932" s="2">
        <f>VLOOKUP(tdata[[#This Row],[Service_Type]],Table2[#All],4,0)</f>
        <v>10000</v>
      </c>
      <c r="P932" s="2">
        <f>tdata[[#This Row],[price_per_kilo]]*tdata[[#This Row],[Weight_KG]]</f>
        <v>77900</v>
      </c>
      <c r="Q932" s="2" t="str">
        <f>VLOOKUP(tdata[[#This Row],[id_employee]],temployee[#All],2,0)</f>
        <v>Erwin Kurniawan</v>
      </c>
      <c r="R932" s="2" t="str">
        <f>VLOOKUP(tdata[[#This Row],[id_employee]],temployee[#All],4,0)</f>
        <v>internal</v>
      </c>
      <c r="S932" s="9" t="str">
        <f>VLOOKUP(tdata[[#This Row],[id_employee]],temployee[#All],5,0)</f>
        <v>driver</v>
      </c>
    </row>
    <row r="933" spans="2:19" x14ac:dyDescent="0.35">
      <c r="B933" s="8" t="s">
        <v>952</v>
      </c>
      <c r="C933" s="2" t="s">
        <v>1302</v>
      </c>
      <c r="D933" s="5">
        <v>45058</v>
      </c>
      <c r="E933" s="5">
        <v>45068</v>
      </c>
      <c r="F933" s="2" t="s">
        <v>49</v>
      </c>
      <c r="G933" s="2" t="s">
        <v>49</v>
      </c>
      <c r="H933" s="2" t="s">
        <v>23</v>
      </c>
      <c r="I933" s="2" t="s">
        <v>13</v>
      </c>
      <c r="J933" s="2">
        <v>10.3</v>
      </c>
      <c r="K933" s="2" t="str">
        <f t="shared" si="37"/>
        <v>&gt;5kg</v>
      </c>
      <c r="L933" s="2">
        <f>tdata[[#This Row],[Received_date]]-tdata[[#This Row],[Shipment_Date]]</f>
        <v>10</v>
      </c>
      <c r="M933" s="2">
        <f>VLOOKUP(tdata[[#This Row],[Service_Type]],Table2[#All],2,0)</f>
        <v>5</v>
      </c>
      <c r="N933" s="2" t="str">
        <f>IF(tdata[[#This Row],[Delivery_Days]]&lt;=tdata[[#This Row],[SLA_Days]],"On Time","Late")</f>
        <v>Late</v>
      </c>
      <c r="O933" s="2">
        <f>VLOOKUP(tdata[[#This Row],[Service_Type]],Table2[#All],4,0)</f>
        <v>9000</v>
      </c>
      <c r="P933" s="2">
        <f>tdata[[#This Row],[price_per_kilo]]*tdata[[#This Row],[Weight_KG]]</f>
        <v>92700</v>
      </c>
      <c r="Q933" s="2" t="str">
        <f>VLOOKUP(tdata[[#This Row],[id_employee]],temployee[#All],2,0)</f>
        <v>Fitri Handayani</v>
      </c>
      <c r="R933" s="2" t="str">
        <f>VLOOKUP(tdata[[#This Row],[id_employee]],temployee[#All],4,0)</f>
        <v>crowd source</v>
      </c>
      <c r="S933" s="9" t="str">
        <f>VLOOKUP(tdata[[#This Row],[id_employee]],temployee[#All],5,0)</f>
        <v>rider</v>
      </c>
    </row>
    <row r="934" spans="2:19" x14ac:dyDescent="0.35">
      <c r="B934" s="8" t="s">
        <v>953</v>
      </c>
      <c r="C934" s="2" t="s">
        <v>1303</v>
      </c>
      <c r="D934" s="5">
        <v>45507</v>
      </c>
      <c r="E934" s="5">
        <f>D934+4</f>
        <v>45511</v>
      </c>
      <c r="F934" s="2" t="s">
        <v>11</v>
      </c>
      <c r="G934" s="2" t="s">
        <v>26</v>
      </c>
      <c r="H934" s="2" t="s">
        <v>1224</v>
      </c>
      <c r="I934" s="2" t="s">
        <v>17</v>
      </c>
      <c r="J934" s="2">
        <v>8.01</v>
      </c>
      <c r="K934" s="2" t="str">
        <f t="shared" si="37"/>
        <v>&gt;5kg</v>
      </c>
      <c r="L934" s="2">
        <f>tdata[[#This Row],[Received_date]]-tdata[[#This Row],[Shipment_Date]]</f>
        <v>4</v>
      </c>
      <c r="M934" s="2">
        <f>VLOOKUP(tdata[[#This Row],[Service_Type]],Table2[#All],2,0)</f>
        <v>3</v>
      </c>
      <c r="N934" s="2" t="str">
        <f>IF(tdata[[#This Row],[Delivery_Days]]&lt;=tdata[[#This Row],[SLA_Days]],"On Time","Late")</f>
        <v>Late</v>
      </c>
      <c r="O934" s="2">
        <f>VLOOKUP(tdata[[#This Row],[Service_Type]],Table2[#All],4,0)</f>
        <v>10000</v>
      </c>
      <c r="P934" s="2">
        <f>tdata[[#This Row],[price_per_kilo]]*tdata[[#This Row],[Weight_KG]]</f>
        <v>80100</v>
      </c>
      <c r="Q934" s="2" t="str">
        <f>VLOOKUP(tdata[[#This Row],[id_employee]],temployee[#All],2,0)</f>
        <v>Gilang Saputra</v>
      </c>
      <c r="R934" s="2" t="str">
        <f>VLOOKUP(tdata[[#This Row],[id_employee]],temployee[#All],4,0)</f>
        <v>internal</v>
      </c>
      <c r="S934" s="9" t="str">
        <f>VLOOKUP(tdata[[#This Row],[id_employee]],temployee[#All],5,0)</f>
        <v>rider</v>
      </c>
    </row>
    <row r="935" spans="2:19" x14ac:dyDescent="0.35">
      <c r="B935" s="8" t="s">
        <v>954</v>
      </c>
      <c r="C935" s="2" t="s">
        <v>1304</v>
      </c>
      <c r="D935" s="5">
        <v>45538</v>
      </c>
      <c r="E935" s="5">
        <v>45538</v>
      </c>
      <c r="F935" s="2" t="s">
        <v>15</v>
      </c>
      <c r="G935" s="2" t="s">
        <v>22</v>
      </c>
      <c r="H935" s="2" t="s">
        <v>1224</v>
      </c>
      <c r="I935" s="2" t="s">
        <v>17</v>
      </c>
      <c r="J935" s="2">
        <v>5.26</v>
      </c>
      <c r="K935" s="2" t="str">
        <f t="shared" si="37"/>
        <v>&gt;5kg</v>
      </c>
      <c r="L935" s="2">
        <f>tdata[[#This Row],[Received_date]]-tdata[[#This Row],[Shipment_Date]]</f>
        <v>0</v>
      </c>
      <c r="M935" s="2">
        <f>VLOOKUP(tdata[[#This Row],[Service_Type]],Table2[#All],2,0)</f>
        <v>3</v>
      </c>
      <c r="N935" s="2" t="str">
        <f>IF(tdata[[#This Row],[Delivery_Days]]&lt;=tdata[[#This Row],[SLA_Days]],"On Time","Late")</f>
        <v>On Time</v>
      </c>
      <c r="O935" s="2">
        <f>VLOOKUP(tdata[[#This Row],[Service_Type]],Table2[#All],4,0)</f>
        <v>10000</v>
      </c>
      <c r="P935" s="2">
        <f>tdata[[#This Row],[price_per_kilo]]*tdata[[#This Row],[Weight_KG]]</f>
        <v>52600</v>
      </c>
      <c r="Q935" s="2" t="str">
        <f>VLOOKUP(tdata[[#This Row],[id_employee]],temployee[#All],2,0)</f>
        <v>Hariyanto</v>
      </c>
      <c r="R935" s="2" t="str">
        <f>VLOOKUP(tdata[[#This Row],[id_employee]],temployee[#All],4,0)</f>
        <v>crowd source</v>
      </c>
      <c r="S935" s="9" t="str">
        <f>VLOOKUP(tdata[[#This Row],[id_employee]],temployee[#All],5,0)</f>
        <v>driver</v>
      </c>
    </row>
    <row r="936" spans="2:19" x14ac:dyDescent="0.35">
      <c r="B936" s="8" t="s">
        <v>955</v>
      </c>
      <c r="C936" s="2" t="s">
        <v>1305</v>
      </c>
      <c r="D936" s="5">
        <v>44998</v>
      </c>
      <c r="E936" s="5">
        <v>45008</v>
      </c>
      <c r="F936" s="2" t="s">
        <v>20</v>
      </c>
      <c r="G936" s="2" t="s">
        <v>32</v>
      </c>
      <c r="H936" s="2" t="s">
        <v>1223</v>
      </c>
      <c r="I936" s="2" t="s">
        <v>13</v>
      </c>
      <c r="J936" s="2">
        <v>9.76</v>
      </c>
      <c r="K936" s="2" t="str">
        <f t="shared" si="37"/>
        <v>&gt;5kg</v>
      </c>
      <c r="L936" s="2">
        <f>tdata[[#This Row],[Received_date]]-tdata[[#This Row],[Shipment_Date]]</f>
        <v>10</v>
      </c>
      <c r="M936" s="2">
        <f>VLOOKUP(tdata[[#This Row],[Service_Type]],Table2[#All],2,0)</f>
        <v>1</v>
      </c>
      <c r="N936" s="2" t="str">
        <f>IF(tdata[[#This Row],[Delivery_Days]]&lt;=tdata[[#This Row],[SLA_Days]],"On Time","Late")</f>
        <v>Late</v>
      </c>
      <c r="O936" s="2">
        <f>VLOOKUP(tdata[[#This Row],[Service_Type]],Table2[#All],4,0)</f>
        <v>12000</v>
      </c>
      <c r="P936" s="2">
        <f>tdata[[#This Row],[price_per_kilo]]*tdata[[#This Row],[Weight_KG]]</f>
        <v>117120</v>
      </c>
      <c r="Q936" s="2" t="str">
        <f>VLOOKUP(tdata[[#This Row],[id_employee]],temployee[#All],2,0)</f>
        <v>Intan Maharani</v>
      </c>
      <c r="R936" s="2" t="str">
        <f>VLOOKUP(tdata[[#This Row],[id_employee]],temployee[#All],4,0)</f>
        <v>internal</v>
      </c>
      <c r="S936" s="9" t="str">
        <f>VLOOKUP(tdata[[#This Row],[id_employee]],temployee[#All],5,0)</f>
        <v>rider</v>
      </c>
    </row>
    <row r="937" spans="2:19" x14ac:dyDescent="0.35">
      <c r="B937" s="8" t="s">
        <v>956</v>
      </c>
      <c r="C937" s="2" t="s">
        <v>1306</v>
      </c>
      <c r="D937" s="5">
        <v>45047</v>
      </c>
      <c r="E937" s="5">
        <v>45050</v>
      </c>
      <c r="F937" s="2" t="s">
        <v>22</v>
      </c>
      <c r="G937" s="2" t="s">
        <v>26</v>
      </c>
      <c r="H937" s="2" t="s">
        <v>1224</v>
      </c>
      <c r="I937" s="2" t="s">
        <v>13</v>
      </c>
      <c r="J937" s="2">
        <v>5.73</v>
      </c>
      <c r="K937" s="2" t="str">
        <f t="shared" si="37"/>
        <v>&gt;5kg</v>
      </c>
      <c r="L937" s="2">
        <f>tdata[[#This Row],[Received_date]]-tdata[[#This Row],[Shipment_Date]]</f>
        <v>3</v>
      </c>
      <c r="M937" s="2">
        <f>VLOOKUP(tdata[[#This Row],[Service_Type]],Table2[#All],2,0)</f>
        <v>3</v>
      </c>
      <c r="N937" s="2" t="str">
        <f>IF(tdata[[#This Row],[Delivery_Days]]&lt;=tdata[[#This Row],[SLA_Days]],"On Time","Late")</f>
        <v>On Time</v>
      </c>
      <c r="O937" s="2">
        <f>VLOOKUP(tdata[[#This Row],[Service_Type]],Table2[#All],4,0)</f>
        <v>10000</v>
      </c>
      <c r="P937" s="2">
        <f>tdata[[#This Row],[price_per_kilo]]*tdata[[#This Row],[Weight_KG]]</f>
        <v>57300.000000000007</v>
      </c>
      <c r="Q937" s="2" t="str">
        <f>VLOOKUP(tdata[[#This Row],[id_employee]],temployee[#All],2,0)</f>
        <v>Jefri Alamsyah</v>
      </c>
      <c r="R937" s="2" t="str">
        <f>VLOOKUP(tdata[[#This Row],[id_employee]],temployee[#All],4,0)</f>
        <v>internal</v>
      </c>
      <c r="S937" s="9" t="str">
        <f>VLOOKUP(tdata[[#This Row],[id_employee]],temployee[#All],5,0)</f>
        <v>driver</v>
      </c>
    </row>
    <row r="938" spans="2:19" x14ac:dyDescent="0.35">
      <c r="B938" s="8" t="s">
        <v>957</v>
      </c>
      <c r="C938" s="2" t="s">
        <v>1307</v>
      </c>
      <c r="D938" s="5">
        <v>45442</v>
      </c>
      <c r="E938" s="5">
        <v>45445</v>
      </c>
      <c r="F938" s="2" t="s">
        <v>12</v>
      </c>
      <c r="G938" s="2" t="s">
        <v>12</v>
      </c>
      <c r="H938" s="2" t="s">
        <v>1224</v>
      </c>
      <c r="I938" s="2" t="s">
        <v>13</v>
      </c>
      <c r="J938" s="2">
        <v>0.55000000000000004</v>
      </c>
      <c r="K938" s="2" t="str">
        <f t="shared" si="37"/>
        <v>&lt; 5kg</v>
      </c>
      <c r="L938" s="2">
        <f>tdata[[#This Row],[Received_date]]-tdata[[#This Row],[Shipment_Date]]</f>
        <v>3</v>
      </c>
      <c r="M938" s="2">
        <f>VLOOKUP(tdata[[#This Row],[Service_Type]],Table2[#All],2,0)</f>
        <v>3</v>
      </c>
      <c r="N938" s="2" t="str">
        <f>IF(tdata[[#This Row],[Delivery_Days]]&lt;=tdata[[#This Row],[SLA_Days]],"On Time","Late")</f>
        <v>On Time</v>
      </c>
      <c r="O938" s="2">
        <f>VLOOKUP(tdata[[#This Row],[Service_Type]],Table2[#All],4,0)</f>
        <v>10000</v>
      </c>
      <c r="P938" s="2">
        <f>tdata[[#This Row],[price_per_kilo]]*tdata[[#This Row],[Weight_KG]]</f>
        <v>5500</v>
      </c>
      <c r="Q938" s="2" t="str">
        <f>VLOOKUP(tdata[[#This Row],[id_employee]],temployee[#All],2,0)</f>
        <v>Kartika Sari</v>
      </c>
      <c r="R938" s="2" t="str">
        <f>VLOOKUP(tdata[[#This Row],[id_employee]],temployee[#All],4,0)</f>
        <v>crowd source</v>
      </c>
      <c r="S938" s="9" t="str">
        <f>VLOOKUP(tdata[[#This Row],[id_employee]],temployee[#All],5,0)</f>
        <v>rider</v>
      </c>
    </row>
    <row r="939" spans="2:19" x14ac:dyDescent="0.35">
      <c r="B939" s="8" t="s">
        <v>958</v>
      </c>
      <c r="C939" s="2" t="s">
        <v>1308</v>
      </c>
      <c r="D939" s="5">
        <v>45437</v>
      </c>
      <c r="E939" s="5">
        <v>45437</v>
      </c>
      <c r="F939" s="2" t="s">
        <v>30</v>
      </c>
      <c r="G939" s="2" t="s">
        <v>15</v>
      </c>
      <c r="H939" s="2" t="s">
        <v>1223</v>
      </c>
      <c r="I939" s="2" t="s">
        <v>17</v>
      </c>
      <c r="J939" s="2">
        <v>5.44</v>
      </c>
      <c r="K939" s="2" t="str">
        <f t="shared" si="37"/>
        <v>&gt;5kg</v>
      </c>
      <c r="L939" s="2">
        <f>tdata[[#This Row],[Received_date]]-tdata[[#This Row],[Shipment_Date]]</f>
        <v>0</v>
      </c>
      <c r="M939" s="2">
        <f>VLOOKUP(tdata[[#This Row],[Service_Type]],Table2[#All],2,0)</f>
        <v>1</v>
      </c>
      <c r="N939" s="2" t="str">
        <f>IF(tdata[[#This Row],[Delivery_Days]]&lt;=tdata[[#This Row],[SLA_Days]],"On Time","Late")</f>
        <v>On Time</v>
      </c>
      <c r="O939" s="2">
        <f>VLOOKUP(tdata[[#This Row],[Service_Type]],Table2[#All],4,0)</f>
        <v>12000</v>
      </c>
      <c r="P939" s="2">
        <f>tdata[[#This Row],[price_per_kilo]]*tdata[[#This Row],[Weight_KG]]</f>
        <v>65280.000000000007</v>
      </c>
      <c r="Q939" s="2" t="str">
        <f>VLOOKUP(tdata[[#This Row],[id_employee]],temployee[#All],2,0)</f>
        <v>Lukman Hakim</v>
      </c>
      <c r="R939" s="2" t="str">
        <f>VLOOKUP(tdata[[#This Row],[id_employee]],temployee[#All],4,0)</f>
        <v>internal</v>
      </c>
      <c r="S939" s="9" t="str">
        <f>VLOOKUP(tdata[[#This Row],[id_employee]],temployee[#All],5,0)</f>
        <v>driver</v>
      </c>
    </row>
    <row r="940" spans="2:19" x14ac:dyDescent="0.35">
      <c r="B940" s="8" t="s">
        <v>959</v>
      </c>
      <c r="C940" s="2" t="s">
        <v>1309</v>
      </c>
      <c r="D940" s="5">
        <v>45115</v>
      </c>
      <c r="E940" s="5">
        <v>45116</v>
      </c>
      <c r="F940" s="2" t="s">
        <v>32</v>
      </c>
      <c r="G940" s="2" t="s">
        <v>15</v>
      </c>
      <c r="H940" s="2" t="s">
        <v>1223</v>
      </c>
      <c r="I940" s="2" t="s">
        <v>17</v>
      </c>
      <c r="J940" s="2">
        <v>4.26</v>
      </c>
      <c r="K940" s="2" t="str">
        <f t="shared" si="37"/>
        <v>&lt; 5kg</v>
      </c>
      <c r="L940" s="2">
        <f>tdata[[#This Row],[Received_date]]-tdata[[#This Row],[Shipment_Date]]</f>
        <v>1</v>
      </c>
      <c r="M940" s="2">
        <f>VLOOKUP(tdata[[#This Row],[Service_Type]],Table2[#All],2,0)</f>
        <v>1</v>
      </c>
      <c r="N940" s="2" t="str">
        <f>IF(tdata[[#This Row],[Delivery_Days]]&lt;=tdata[[#This Row],[SLA_Days]],"On Time","Late")</f>
        <v>On Time</v>
      </c>
      <c r="O940" s="2">
        <f>VLOOKUP(tdata[[#This Row],[Service_Type]],Table2[#All],4,0)</f>
        <v>12000</v>
      </c>
      <c r="P940" s="2">
        <f>tdata[[#This Row],[price_per_kilo]]*tdata[[#This Row],[Weight_KG]]</f>
        <v>51120</v>
      </c>
      <c r="Q940" s="2" t="str">
        <f>VLOOKUP(tdata[[#This Row],[id_employee]],temployee[#All],2,0)</f>
        <v>Mega Puspitasari</v>
      </c>
      <c r="R940" s="2" t="str">
        <f>VLOOKUP(tdata[[#This Row],[id_employee]],temployee[#All],4,0)</f>
        <v>internal</v>
      </c>
      <c r="S940" s="9" t="str">
        <f>VLOOKUP(tdata[[#This Row],[id_employee]],temployee[#All],5,0)</f>
        <v>rider</v>
      </c>
    </row>
    <row r="941" spans="2:19" x14ac:dyDescent="0.35">
      <c r="B941" s="8" t="s">
        <v>960</v>
      </c>
      <c r="C941" s="2" t="s">
        <v>1310</v>
      </c>
      <c r="D941" s="5">
        <v>45627</v>
      </c>
      <c r="E941" s="5">
        <v>45637</v>
      </c>
      <c r="F941" s="2" t="s">
        <v>16</v>
      </c>
      <c r="G941" s="2" t="s">
        <v>49</v>
      </c>
      <c r="H941" s="2" t="s">
        <v>1224</v>
      </c>
      <c r="I941" s="2" t="s">
        <v>13</v>
      </c>
      <c r="J941" s="2">
        <v>10.1</v>
      </c>
      <c r="K941" s="2" t="str">
        <f t="shared" si="37"/>
        <v>&gt;5kg</v>
      </c>
      <c r="L941" s="2">
        <f>tdata[[#This Row],[Received_date]]-tdata[[#This Row],[Shipment_Date]]</f>
        <v>10</v>
      </c>
      <c r="M941" s="2">
        <f>VLOOKUP(tdata[[#This Row],[Service_Type]],Table2[#All],2,0)</f>
        <v>3</v>
      </c>
      <c r="N941" s="2" t="str">
        <f>IF(tdata[[#This Row],[Delivery_Days]]&lt;=tdata[[#This Row],[SLA_Days]],"On Time","Late")</f>
        <v>Late</v>
      </c>
      <c r="O941" s="2">
        <f>VLOOKUP(tdata[[#This Row],[Service_Type]],Table2[#All],4,0)</f>
        <v>10000</v>
      </c>
      <c r="P941" s="2">
        <f>tdata[[#This Row],[price_per_kilo]]*tdata[[#This Row],[Weight_KG]]</f>
        <v>101000</v>
      </c>
      <c r="Q941" s="2" t="str">
        <f>VLOOKUP(tdata[[#This Row],[id_employee]],temployee[#All],2,0)</f>
        <v>Niko Prasetyo</v>
      </c>
      <c r="R941" s="2" t="str">
        <f>VLOOKUP(tdata[[#This Row],[id_employee]],temployee[#All],4,0)</f>
        <v>crowd source</v>
      </c>
      <c r="S941" s="9" t="str">
        <f>VLOOKUP(tdata[[#This Row],[id_employee]],temployee[#All],5,0)</f>
        <v>driver</v>
      </c>
    </row>
    <row r="942" spans="2:19" x14ac:dyDescent="0.35">
      <c r="B942" s="8" t="s">
        <v>961</v>
      </c>
      <c r="C942" s="2" t="s">
        <v>1311</v>
      </c>
      <c r="D942" s="5">
        <v>45374</v>
      </c>
      <c r="E942" s="5">
        <f>D942+4</f>
        <v>45378</v>
      </c>
      <c r="F942" s="2" t="s">
        <v>26</v>
      </c>
      <c r="G942" s="2" t="s">
        <v>11</v>
      </c>
      <c r="H942" s="2" t="s">
        <v>1224</v>
      </c>
      <c r="I942" s="2" t="s">
        <v>17</v>
      </c>
      <c r="J942" s="2">
        <v>5.59</v>
      </c>
      <c r="K942" s="2" t="str">
        <f t="shared" si="37"/>
        <v>&gt;5kg</v>
      </c>
      <c r="L942" s="2">
        <f>tdata[[#This Row],[Received_date]]-tdata[[#This Row],[Shipment_Date]]</f>
        <v>4</v>
      </c>
      <c r="M942" s="2">
        <f>VLOOKUP(tdata[[#This Row],[Service_Type]],Table2[#All],2,0)</f>
        <v>3</v>
      </c>
      <c r="N942" s="2" t="str">
        <f>IF(tdata[[#This Row],[Delivery_Days]]&lt;=tdata[[#This Row],[SLA_Days]],"On Time","Late")</f>
        <v>Late</v>
      </c>
      <c r="O942" s="2">
        <f>VLOOKUP(tdata[[#This Row],[Service_Type]],Table2[#All],4,0)</f>
        <v>10000</v>
      </c>
      <c r="P942" s="2">
        <f>tdata[[#This Row],[price_per_kilo]]*tdata[[#This Row],[Weight_KG]]</f>
        <v>55900</v>
      </c>
      <c r="Q942" s="2" t="str">
        <f>VLOOKUP(tdata[[#This Row],[id_employee]],temployee[#All],2,0)</f>
        <v>Olivia Putri</v>
      </c>
      <c r="R942" s="2" t="str">
        <f>VLOOKUP(tdata[[#This Row],[id_employee]],temployee[#All],4,0)</f>
        <v>internal</v>
      </c>
      <c r="S942" s="9" t="str">
        <f>VLOOKUP(tdata[[#This Row],[id_employee]],temployee[#All],5,0)</f>
        <v>rider</v>
      </c>
    </row>
    <row r="943" spans="2:19" x14ac:dyDescent="0.35">
      <c r="B943" s="8" t="s">
        <v>962</v>
      </c>
      <c r="C943" s="2" t="s">
        <v>1312</v>
      </c>
      <c r="D943" s="5">
        <v>45145</v>
      </c>
      <c r="E943" s="5">
        <v>45152</v>
      </c>
      <c r="F943" s="2" t="s">
        <v>49</v>
      </c>
      <c r="G943" s="2" t="s">
        <v>49</v>
      </c>
      <c r="H943" s="2" t="s">
        <v>1223</v>
      </c>
      <c r="I943" s="2" t="s">
        <v>13</v>
      </c>
      <c r="J943" s="2">
        <v>9.4700000000000006</v>
      </c>
      <c r="K943" s="2" t="str">
        <f t="shared" si="37"/>
        <v>&gt;5kg</v>
      </c>
      <c r="L943" s="2">
        <f>tdata[[#This Row],[Received_date]]-tdata[[#This Row],[Shipment_Date]]</f>
        <v>7</v>
      </c>
      <c r="M943" s="2">
        <f>VLOOKUP(tdata[[#This Row],[Service_Type]],Table2[#All],2,0)</f>
        <v>1</v>
      </c>
      <c r="N943" s="2" t="str">
        <f>IF(tdata[[#This Row],[Delivery_Days]]&lt;=tdata[[#This Row],[SLA_Days]],"On Time","Late")</f>
        <v>Late</v>
      </c>
      <c r="O943" s="2">
        <f>VLOOKUP(tdata[[#This Row],[Service_Type]],Table2[#All],4,0)</f>
        <v>12000</v>
      </c>
      <c r="P943" s="2">
        <f>tdata[[#This Row],[price_per_kilo]]*tdata[[#This Row],[Weight_KG]]</f>
        <v>113640.00000000001</v>
      </c>
      <c r="Q943" s="2" t="str">
        <f>VLOOKUP(tdata[[#This Row],[id_employee]],temployee[#All],2,0)</f>
        <v>Prasetyo Utomo</v>
      </c>
      <c r="R943" s="2" t="str">
        <f>VLOOKUP(tdata[[#This Row],[id_employee]],temployee[#All],4,0)</f>
        <v>internal</v>
      </c>
      <c r="S943" s="9" t="str">
        <f>VLOOKUP(tdata[[#This Row],[id_employee]],temployee[#All],5,0)</f>
        <v>driver</v>
      </c>
    </row>
    <row r="944" spans="2:19" x14ac:dyDescent="0.35">
      <c r="B944" s="8" t="s">
        <v>963</v>
      </c>
      <c r="C944" s="2" t="s">
        <v>1313</v>
      </c>
      <c r="D944" s="5">
        <v>45599</v>
      </c>
      <c r="E944" s="5">
        <f>D944+4</f>
        <v>45603</v>
      </c>
      <c r="F944" s="2" t="s">
        <v>11</v>
      </c>
      <c r="G944" s="2" t="s">
        <v>49</v>
      </c>
      <c r="H944" s="2" t="s">
        <v>1223</v>
      </c>
      <c r="I944" s="2" t="s">
        <v>17</v>
      </c>
      <c r="J944" s="2">
        <v>7.87</v>
      </c>
      <c r="K944" s="2" t="str">
        <f t="shared" si="37"/>
        <v>&gt;5kg</v>
      </c>
      <c r="L944" s="2">
        <f>tdata[[#This Row],[Received_date]]-tdata[[#This Row],[Shipment_Date]]</f>
        <v>4</v>
      </c>
      <c r="M944" s="2">
        <f>VLOOKUP(tdata[[#This Row],[Service_Type]],Table2[#All],2,0)</f>
        <v>1</v>
      </c>
      <c r="N944" s="2" t="str">
        <f>IF(tdata[[#This Row],[Delivery_Days]]&lt;=tdata[[#This Row],[SLA_Days]],"On Time","Late")</f>
        <v>Late</v>
      </c>
      <c r="O944" s="2">
        <f>VLOOKUP(tdata[[#This Row],[Service_Type]],Table2[#All],4,0)</f>
        <v>12000</v>
      </c>
      <c r="P944" s="2">
        <f>tdata[[#This Row],[price_per_kilo]]*tdata[[#This Row],[Weight_KG]]</f>
        <v>94440</v>
      </c>
      <c r="Q944" s="2" t="str">
        <f>VLOOKUP(tdata[[#This Row],[id_employee]],temployee[#All],2,0)</f>
        <v>Qori Annisa</v>
      </c>
      <c r="R944" s="2" t="str">
        <f>VLOOKUP(tdata[[#This Row],[id_employee]],temployee[#All],4,0)</f>
        <v>crowd source</v>
      </c>
      <c r="S944" s="9" t="str">
        <f>VLOOKUP(tdata[[#This Row],[id_employee]],temployee[#All],5,0)</f>
        <v>rider</v>
      </c>
    </row>
    <row r="945" spans="2:19" x14ac:dyDescent="0.35">
      <c r="B945" s="8" t="s">
        <v>964</v>
      </c>
      <c r="C945" s="2" t="s">
        <v>1314</v>
      </c>
      <c r="D945" s="5">
        <v>45297</v>
      </c>
      <c r="E945" s="5">
        <v>45305</v>
      </c>
      <c r="F945" s="2" t="s">
        <v>15</v>
      </c>
      <c r="G945" s="2" t="s">
        <v>12</v>
      </c>
      <c r="H945" s="2" t="s">
        <v>1224</v>
      </c>
      <c r="I945" s="2" t="s">
        <v>17</v>
      </c>
      <c r="J945" s="2">
        <v>6.82</v>
      </c>
      <c r="K945" s="2" t="str">
        <f t="shared" si="37"/>
        <v>&gt;5kg</v>
      </c>
      <c r="L945" s="2">
        <f>tdata[[#This Row],[Received_date]]-tdata[[#This Row],[Shipment_Date]]</f>
        <v>8</v>
      </c>
      <c r="M945" s="2">
        <f>VLOOKUP(tdata[[#This Row],[Service_Type]],Table2[#All],2,0)</f>
        <v>3</v>
      </c>
      <c r="N945" s="2" t="str">
        <f>IF(tdata[[#This Row],[Delivery_Days]]&lt;=tdata[[#This Row],[SLA_Days]],"On Time","Late")</f>
        <v>Late</v>
      </c>
      <c r="O945" s="2">
        <f>VLOOKUP(tdata[[#This Row],[Service_Type]],Table2[#All],4,0)</f>
        <v>10000</v>
      </c>
      <c r="P945" s="2">
        <f>tdata[[#This Row],[price_per_kilo]]*tdata[[#This Row],[Weight_KG]]</f>
        <v>68200</v>
      </c>
      <c r="Q945" s="2" t="str">
        <f>VLOOKUP(tdata[[#This Row],[id_employee]],temployee[#All],2,0)</f>
        <v>Rangga Saptonugroho</v>
      </c>
      <c r="R945" s="2" t="str">
        <f>VLOOKUP(tdata[[#This Row],[id_employee]],temployee[#All],4,0)</f>
        <v>crowd source</v>
      </c>
      <c r="S945" s="9" t="str">
        <f>VLOOKUP(tdata[[#This Row],[id_employee]],temployee[#All],5,0)</f>
        <v>driver</v>
      </c>
    </row>
    <row r="946" spans="2:19" x14ac:dyDescent="0.35">
      <c r="B946" s="8" t="s">
        <v>965</v>
      </c>
      <c r="C946" s="2" t="s">
        <v>1315</v>
      </c>
      <c r="D946" s="5">
        <v>45576</v>
      </c>
      <c r="E946" s="5">
        <f>D946+4</f>
        <v>45580</v>
      </c>
      <c r="F946" s="2" t="s">
        <v>20</v>
      </c>
      <c r="G946" s="2" t="s">
        <v>15</v>
      </c>
      <c r="H946" s="2" t="s">
        <v>1224</v>
      </c>
      <c r="I946" s="2" t="s">
        <v>13</v>
      </c>
      <c r="J946" s="2">
        <v>8.33</v>
      </c>
      <c r="K946" s="2" t="str">
        <f t="shared" si="37"/>
        <v>&gt;5kg</v>
      </c>
      <c r="L946" s="2">
        <f>tdata[[#This Row],[Received_date]]-tdata[[#This Row],[Shipment_Date]]</f>
        <v>4</v>
      </c>
      <c r="M946" s="2">
        <f>VLOOKUP(tdata[[#This Row],[Service_Type]],Table2[#All],2,0)</f>
        <v>3</v>
      </c>
      <c r="N946" s="2" t="str">
        <f>IF(tdata[[#This Row],[Delivery_Days]]&lt;=tdata[[#This Row],[SLA_Days]],"On Time","Late")</f>
        <v>Late</v>
      </c>
      <c r="O946" s="2">
        <f>VLOOKUP(tdata[[#This Row],[Service_Type]],Table2[#All],4,0)</f>
        <v>10000</v>
      </c>
      <c r="P946" s="2">
        <f>tdata[[#This Row],[price_per_kilo]]*tdata[[#This Row],[Weight_KG]]</f>
        <v>83300</v>
      </c>
      <c r="Q946" s="2" t="str">
        <f>VLOOKUP(tdata[[#This Row],[id_employee]],temployee[#All],2,0)</f>
        <v>Sinta Dewi</v>
      </c>
      <c r="R946" s="2" t="str">
        <f>VLOOKUP(tdata[[#This Row],[id_employee]],temployee[#All],4,0)</f>
        <v>internal</v>
      </c>
      <c r="S946" s="9" t="str">
        <f>VLOOKUP(tdata[[#This Row],[id_employee]],temployee[#All],5,0)</f>
        <v>rider</v>
      </c>
    </row>
    <row r="947" spans="2:19" x14ac:dyDescent="0.35">
      <c r="B947" s="8" t="s">
        <v>966</v>
      </c>
      <c r="C947" s="2" t="s">
        <v>1316</v>
      </c>
      <c r="D947" s="5">
        <v>45200</v>
      </c>
      <c r="E947" s="5">
        <v>45201</v>
      </c>
      <c r="F947" s="2" t="s">
        <v>22</v>
      </c>
      <c r="G947" s="2" t="s">
        <v>11</v>
      </c>
      <c r="H947" s="2" t="s">
        <v>1224</v>
      </c>
      <c r="I947" s="2" t="s">
        <v>13</v>
      </c>
      <c r="J947" s="2">
        <v>7.66</v>
      </c>
      <c r="K947" s="2" t="str">
        <f t="shared" si="37"/>
        <v>&gt;5kg</v>
      </c>
      <c r="L947" s="2">
        <f>tdata[[#This Row],[Received_date]]-tdata[[#This Row],[Shipment_Date]]</f>
        <v>1</v>
      </c>
      <c r="M947" s="2">
        <f>VLOOKUP(tdata[[#This Row],[Service_Type]],Table2[#All],2,0)</f>
        <v>3</v>
      </c>
      <c r="N947" s="2" t="str">
        <f>IF(tdata[[#This Row],[Delivery_Days]]&lt;=tdata[[#This Row],[SLA_Days]],"On Time","Late")</f>
        <v>On Time</v>
      </c>
      <c r="O947" s="2">
        <f>VLOOKUP(tdata[[#This Row],[Service_Type]],Table2[#All],4,0)</f>
        <v>10000</v>
      </c>
      <c r="P947" s="2">
        <f>tdata[[#This Row],[price_per_kilo]]*tdata[[#This Row],[Weight_KG]]</f>
        <v>76600</v>
      </c>
      <c r="Q947" s="2" t="str">
        <f>VLOOKUP(tdata[[#This Row],[id_employee]],temployee[#All],2,0)</f>
        <v>Taufik Hidayat</v>
      </c>
      <c r="R947" s="2" t="str">
        <f>VLOOKUP(tdata[[#This Row],[id_employee]],temployee[#All],4,0)</f>
        <v>internal</v>
      </c>
      <c r="S947" s="9" t="str">
        <f>VLOOKUP(tdata[[#This Row],[id_employee]],temployee[#All],5,0)</f>
        <v>driver</v>
      </c>
    </row>
    <row r="948" spans="2:19" x14ac:dyDescent="0.35">
      <c r="B948" s="8" t="s">
        <v>967</v>
      </c>
      <c r="C948" s="2" t="s">
        <v>1317</v>
      </c>
      <c r="D948" s="5">
        <v>45154</v>
      </c>
      <c r="E948" s="5">
        <f>D948+4</f>
        <v>45158</v>
      </c>
      <c r="F948" s="2" t="s">
        <v>12</v>
      </c>
      <c r="G948" s="2" t="s">
        <v>20</v>
      </c>
      <c r="H948" s="2" t="s">
        <v>1224</v>
      </c>
      <c r="I948" s="2" t="s">
        <v>17</v>
      </c>
      <c r="J948" s="2">
        <v>5.42</v>
      </c>
      <c r="K948" s="2" t="str">
        <f t="shared" si="37"/>
        <v>&gt;5kg</v>
      </c>
      <c r="L948" s="2">
        <f>tdata[[#This Row],[Received_date]]-tdata[[#This Row],[Shipment_Date]]</f>
        <v>4</v>
      </c>
      <c r="M948" s="2">
        <f>VLOOKUP(tdata[[#This Row],[Service_Type]],Table2[#All],2,0)</f>
        <v>3</v>
      </c>
      <c r="N948" s="2" t="str">
        <f>IF(tdata[[#This Row],[Delivery_Days]]&lt;=tdata[[#This Row],[SLA_Days]],"On Time","Late")</f>
        <v>Late</v>
      </c>
      <c r="O948" s="2">
        <f>VLOOKUP(tdata[[#This Row],[Service_Type]],Table2[#All],4,0)</f>
        <v>10000</v>
      </c>
      <c r="P948" s="2">
        <f>tdata[[#This Row],[price_per_kilo]]*tdata[[#This Row],[Weight_KG]]</f>
        <v>54200</v>
      </c>
      <c r="Q948" s="2" t="str">
        <f>VLOOKUP(tdata[[#This Row],[id_employee]],temployee[#All],2,0)</f>
        <v>Usman Ali</v>
      </c>
      <c r="R948" s="2" t="str">
        <f>VLOOKUP(tdata[[#This Row],[id_employee]],temployee[#All],4,0)</f>
        <v>crowd source</v>
      </c>
      <c r="S948" s="9" t="str">
        <f>VLOOKUP(tdata[[#This Row],[id_employee]],temployee[#All],5,0)</f>
        <v>rider</v>
      </c>
    </row>
    <row r="949" spans="2:19" x14ac:dyDescent="0.35">
      <c r="B949" s="8" t="s">
        <v>968</v>
      </c>
      <c r="C949" s="2" t="s">
        <v>1318</v>
      </c>
      <c r="D949" s="5">
        <v>44939</v>
      </c>
      <c r="E949" s="5">
        <v>44947</v>
      </c>
      <c r="F949" s="2" t="s">
        <v>30</v>
      </c>
      <c r="G949" s="2" t="s">
        <v>20</v>
      </c>
      <c r="H949" s="2" t="s">
        <v>1224</v>
      </c>
      <c r="I949" s="2" t="s">
        <v>13</v>
      </c>
      <c r="J949" s="2">
        <v>8.4</v>
      </c>
      <c r="K949" s="2" t="str">
        <f t="shared" si="37"/>
        <v>&gt;5kg</v>
      </c>
      <c r="L949" s="2">
        <f>tdata[[#This Row],[Received_date]]-tdata[[#This Row],[Shipment_Date]]</f>
        <v>8</v>
      </c>
      <c r="M949" s="2">
        <f>VLOOKUP(tdata[[#This Row],[Service_Type]],Table2[#All],2,0)</f>
        <v>3</v>
      </c>
      <c r="N949" s="2" t="str">
        <f>IF(tdata[[#This Row],[Delivery_Days]]&lt;=tdata[[#This Row],[SLA_Days]],"On Time","Late")</f>
        <v>Late</v>
      </c>
      <c r="O949" s="2">
        <f>VLOOKUP(tdata[[#This Row],[Service_Type]],Table2[#All],4,0)</f>
        <v>10000</v>
      </c>
      <c r="P949" s="2">
        <f>tdata[[#This Row],[price_per_kilo]]*tdata[[#This Row],[Weight_KG]]</f>
        <v>84000</v>
      </c>
      <c r="Q949" s="2" t="str">
        <f>VLOOKUP(tdata[[#This Row],[id_employee]],temployee[#All],2,0)</f>
        <v>Vivi Lestari</v>
      </c>
      <c r="R949" s="2" t="str">
        <f>VLOOKUP(tdata[[#This Row],[id_employee]],temployee[#All],4,0)</f>
        <v>internal</v>
      </c>
      <c r="S949" s="9" t="str">
        <f>VLOOKUP(tdata[[#This Row],[id_employee]],temployee[#All],5,0)</f>
        <v>rider</v>
      </c>
    </row>
    <row r="950" spans="2:19" x14ac:dyDescent="0.35">
      <c r="B950" s="8" t="s">
        <v>969</v>
      </c>
      <c r="C950" s="2" t="s">
        <v>1319</v>
      </c>
      <c r="D950" s="5">
        <v>45499</v>
      </c>
      <c r="E950" s="5">
        <v>45503</v>
      </c>
      <c r="F950" s="2" t="s">
        <v>32</v>
      </c>
      <c r="G950" s="2" t="s">
        <v>26</v>
      </c>
      <c r="H950" s="2" t="s">
        <v>23</v>
      </c>
      <c r="I950" s="2" t="s">
        <v>13</v>
      </c>
      <c r="J950" s="2">
        <v>5.64</v>
      </c>
      <c r="K950" s="2" t="str">
        <f t="shared" si="37"/>
        <v>&gt;5kg</v>
      </c>
      <c r="L950" s="2">
        <f>tdata[[#This Row],[Received_date]]-tdata[[#This Row],[Shipment_Date]]</f>
        <v>4</v>
      </c>
      <c r="M950" s="2">
        <f>VLOOKUP(tdata[[#This Row],[Service_Type]],Table2[#All],2,0)</f>
        <v>5</v>
      </c>
      <c r="N950" s="2" t="str">
        <f>IF(tdata[[#This Row],[Delivery_Days]]&lt;=tdata[[#This Row],[SLA_Days]],"On Time","Late")</f>
        <v>On Time</v>
      </c>
      <c r="O950" s="2">
        <f>VLOOKUP(tdata[[#This Row],[Service_Type]],Table2[#All],4,0)</f>
        <v>9000</v>
      </c>
      <c r="P950" s="2">
        <f>tdata[[#This Row],[price_per_kilo]]*tdata[[#This Row],[Weight_KG]]</f>
        <v>50760</v>
      </c>
      <c r="Q950" s="2" t="str">
        <f>VLOOKUP(tdata[[#This Row],[id_employee]],temployee[#All],2,0)</f>
        <v>Wawan Setiabudi</v>
      </c>
      <c r="R950" s="2" t="str">
        <f>VLOOKUP(tdata[[#This Row],[id_employee]],temployee[#All],4,0)</f>
        <v>internal</v>
      </c>
      <c r="S950" s="9" t="str">
        <f>VLOOKUP(tdata[[#This Row],[id_employee]],temployee[#All],5,0)</f>
        <v>driver</v>
      </c>
    </row>
    <row r="951" spans="2:19" x14ac:dyDescent="0.35">
      <c r="B951" s="8" t="s">
        <v>970</v>
      </c>
      <c r="C951" s="2" t="s">
        <v>1320</v>
      </c>
      <c r="D951" s="5">
        <v>44960</v>
      </c>
      <c r="E951" s="5">
        <f>D951+4</f>
        <v>44964</v>
      </c>
      <c r="F951" s="2" t="s">
        <v>16</v>
      </c>
      <c r="G951" s="2" t="s">
        <v>15</v>
      </c>
      <c r="H951" s="2" t="s">
        <v>1224</v>
      </c>
      <c r="I951" s="2" t="s">
        <v>13</v>
      </c>
      <c r="J951" s="2">
        <v>7.19</v>
      </c>
      <c r="K951" s="2" t="str">
        <f t="shared" si="37"/>
        <v>&gt;5kg</v>
      </c>
      <c r="L951" s="2">
        <f>tdata[[#This Row],[Received_date]]-tdata[[#This Row],[Shipment_Date]]</f>
        <v>4</v>
      </c>
      <c r="M951" s="2">
        <f>VLOOKUP(tdata[[#This Row],[Service_Type]],Table2[#All],2,0)</f>
        <v>3</v>
      </c>
      <c r="N951" s="2" t="str">
        <f>IF(tdata[[#This Row],[Delivery_Days]]&lt;=tdata[[#This Row],[SLA_Days]],"On Time","Late")</f>
        <v>Late</v>
      </c>
      <c r="O951" s="2">
        <f>VLOOKUP(tdata[[#This Row],[Service_Type]],Table2[#All],4,0)</f>
        <v>10000</v>
      </c>
      <c r="P951" s="2">
        <f>tdata[[#This Row],[price_per_kilo]]*tdata[[#This Row],[Weight_KG]]</f>
        <v>71900</v>
      </c>
      <c r="Q951" s="2" t="str">
        <f>VLOOKUP(tdata[[#This Row],[id_employee]],temployee[#All],2,0)</f>
        <v>Xenia Maharani</v>
      </c>
      <c r="R951" s="2" t="str">
        <f>VLOOKUP(tdata[[#This Row],[id_employee]],temployee[#All],4,0)</f>
        <v>crowd source</v>
      </c>
      <c r="S951" s="9" t="str">
        <f>VLOOKUP(tdata[[#This Row],[id_employee]],temployee[#All],5,0)</f>
        <v>rider</v>
      </c>
    </row>
    <row r="952" spans="2:19" x14ac:dyDescent="0.35">
      <c r="B952" s="8" t="s">
        <v>971</v>
      </c>
      <c r="C952" s="2" t="s">
        <v>1321</v>
      </c>
      <c r="D952" s="5">
        <v>45549</v>
      </c>
      <c r="E952" s="5">
        <v>45558</v>
      </c>
      <c r="F952" s="2" t="s">
        <v>26</v>
      </c>
      <c r="G952" s="2" t="s">
        <v>32</v>
      </c>
      <c r="H952" s="2" t="s">
        <v>1223</v>
      </c>
      <c r="I952" s="2" t="s">
        <v>13</v>
      </c>
      <c r="J952" s="2">
        <v>1.39</v>
      </c>
      <c r="K952" s="2" t="str">
        <f t="shared" si="37"/>
        <v>&lt; 5kg</v>
      </c>
      <c r="L952" s="2">
        <f>tdata[[#This Row],[Received_date]]-tdata[[#This Row],[Shipment_Date]]</f>
        <v>9</v>
      </c>
      <c r="M952" s="2">
        <f>VLOOKUP(tdata[[#This Row],[Service_Type]],Table2[#All],2,0)</f>
        <v>1</v>
      </c>
      <c r="N952" s="2" t="str">
        <f>IF(tdata[[#This Row],[Delivery_Days]]&lt;=tdata[[#This Row],[SLA_Days]],"On Time","Late")</f>
        <v>Late</v>
      </c>
      <c r="O952" s="2">
        <f>VLOOKUP(tdata[[#This Row],[Service_Type]],Table2[#All],4,0)</f>
        <v>12000</v>
      </c>
      <c r="P952" s="2">
        <f>tdata[[#This Row],[price_per_kilo]]*tdata[[#This Row],[Weight_KG]]</f>
        <v>16680</v>
      </c>
      <c r="Q952" s="2" t="str">
        <f>VLOOKUP(tdata[[#This Row],[id_employee]],temployee[#All],2,0)</f>
        <v>Yoga Pradana</v>
      </c>
      <c r="R952" s="2" t="str">
        <f>VLOOKUP(tdata[[#This Row],[id_employee]],temployee[#All],4,0)</f>
        <v>internal</v>
      </c>
      <c r="S952" s="9" t="str">
        <f>VLOOKUP(tdata[[#This Row],[id_employee]],temployee[#All],5,0)</f>
        <v>rider</v>
      </c>
    </row>
    <row r="953" spans="2:19" x14ac:dyDescent="0.35">
      <c r="B953" s="8" t="s">
        <v>972</v>
      </c>
      <c r="C953" s="2" t="s">
        <v>1322</v>
      </c>
      <c r="D953" s="5">
        <v>45406</v>
      </c>
      <c r="E953" s="5">
        <v>45411</v>
      </c>
      <c r="F953" s="2" t="s">
        <v>49</v>
      </c>
      <c r="G953" s="2" t="s">
        <v>30</v>
      </c>
      <c r="H953" s="2" t="s">
        <v>1223</v>
      </c>
      <c r="I953" s="2" t="s">
        <v>17</v>
      </c>
      <c r="J953" s="2">
        <v>7.34</v>
      </c>
      <c r="K953" s="2" t="str">
        <f t="shared" si="37"/>
        <v>&gt;5kg</v>
      </c>
      <c r="L953" s="2">
        <f>tdata[[#This Row],[Received_date]]-tdata[[#This Row],[Shipment_Date]]</f>
        <v>5</v>
      </c>
      <c r="M953" s="2">
        <f>VLOOKUP(tdata[[#This Row],[Service_Type]],Table2[#All],2,0)</f>
        <v>1</v>
      </c>
      <c r="N953" s="2" t="str">
        <f>IF(tdata[[#This Row],[Delivery_Days]]&lt;=tdata[[#This Row],[SLA_Days]],"On Time","Late")</f>
        <v>Late</v>
      </c>
      <c r="O953" s="2">
        <f>VLOOKUP(tdata[[#This Row],[Service_Type]],Table2[#All],4,0)</f>
        <v>12000</v>
      </c>
      <c r="P953" s="2">
        <f>tdata[[#This Row],[price_per_kilo]]*tdata[[#This Row],[Weight_KG]]</f>
        <v>88080</v>
      </c>
      <c r="Q953" s="2" t="str">
        <f>VLOOKUP(tdata[[#This Row],[id_employee]],temployee[#All],2,0)</f>
        <v>Zulfikar Ramadhan</v>
      </c>
      <c r="R953" s="2" t="str">
        <f>VLOOKUP(tdata[[#This Row],[id_employee]],temployee[#All],4,0)</f>
        <v>crowd source</v>
      </c>
      <c r="S953" s="9" t="str">
        <f>VLOOKUP(tdata[[#This Row],[id_employee]],temployee[#All],5,0)</f>
        <v>driver</v>
      </c>
    </row>
    <row r="954" spans="2:19" x14ac:dyDescent="0.35">
      <c r="B954" s="8" t="s">
        <v>973</v>
      </c>
      <c r="C954" s="2" t="s">
        <v>1323</v>
      </c>
      <c r="D954" s="5">
        <v>45652</v>
      </c>
      <c r="E954" s="5">
        <f t="shared" ref="E954:E955" si="40">D954+4</f>
        <v>45656</v>
      </c>
      <c r="F954" s="2" t="s">
        <v>11</v>
      </c>
      <c r="G954" s="2" t="s">
        <v>32</v>
      </c>
      <c r="H954" s="2" t="s">
        <v>23</v>
      </c>
      <c r="I954" s="2" t="s">
        <v>13</v>
      </c>
      <c r="J954" s="2">
        <v>5.47</v>
      </c>
      <c r="K954" s="2" t="str">
        <f t="shared" si="37"/>
        <v>&gt;5kg</v>
      </c>
      <c r="L954" s="2">
        <f>tdata[[#This Row],[Received_date]]-tdata[[#This Row],[Shipment_Date]]</f>
        <v>4</v>
      </c>
      <c r="M954" s="2">
        <f>VLOOKUP(tdata[[#This Row],[Service_Type]],Table2[#All],2,0)</f>
        <v>5</v>
      </c>
      <c r="N954" s="2" t="str">
        <f>IF(tdata[[#This Row],[Delivery_Days]]&lt;=tdata[[#This Row],[SLA_Days]],"On Time","Late")</f>
        <v>On Time</v>
      </c>
      <c r="O954" s="2">
        <f>VLOOKUP(tdata[[#This Row],[Service_Type]],Table2[#All],4,0)</f>
        <v>9000</v>
      </c>
      <c r="P954" s="2">
        <f>tdata[[#This Row],[price_per_kilo]]*tdata[[#This Row],[Weight_KG]]</f>
        <v>49230</v>
      </c>
      <c r="Q954" s="2" t="str">
        <f>VLOOKUP(tdata[[#This Row],[id_employee]],temployee[#All],2,0)</f>
        <v>Aditya Saputra</v>
      </c>
      <c r="R954" s="2" t="str">
        <f>VLOOKUP(tdata[[#This Row],[id_employee]],temployee[#All],4,0)</f>
        <v>internal</v>
      </c>
      <c r="S954" s="9" t="str">
        <f>VLOOKUP(tdata[[#This Row],[id_employee]],temployee[#All],5,0)</f>
        <v>rider</v>
      </c>
    </row>
    <row r="955" spans="2:19" x14ac:dyDescent="0.35">
      <c r="B955" s="8" t="s">
        <v>974</v>
      </c>
      <c r="C955" s="2" t="s">
        <v>1324</v>
      </c>
      <c r="D955" s="5">
        <v>45535</v>
      </c>
      <c r="E955" s="5">
        <f t="shared" si="40"/>
        <v>45539</v>
      </c>
      <c r="F955" s="2" t="s">
        <v>15</v>
      </c>
      <c r="G955" s="2" t="s">
        <v>16</v>
      </c>
      <c r="H955" s="2" t="s">
        <v>1223</v>
      </c>
      <c r="I955" s="2" t="s">
        <v>17</v>
      </c>
      <c r="J955" s="2">
        <v>6.25</v>
      </c>
      <c r="K955" s="2" t="str">
        <f t="shared" si="37"/>
        <v>&gt;5kg</v>
      </c>
      <c r="L955" s="2">
        <f>tdata[[#This Row],[Received_date]]-tdata[[#This Row],[Shipment_Date]]</f>
        <v>4</v>
      </c>
      <c r="M955" s="2">
        <f>VLOOKUP(tdata[[#This Row],[Service_Type]],Table2[#All],2,0)</f>
        <v>1</v>
      </c>
      <c r="N955" s="2" t="str">
        <f>IF(tdata[[#This Row],[Delivery_Days]]&lt;=tdata[[#This Row],[SLA_Days]],"On Time","Late")</f>
        <v>Late</v>
      </c>
      <c r="O955" s="2">
        <f>VLOOKUP(tdata[[#This Row],[Service_Type]],Table2[#All],4,0)</f>
        <v>12000</v>
      </c>
      <c r="P955" s="2">
        <f>tdata[[#This Row],[price_per_kilo]]*tdata[[#This Row],[Weight_KG]]</f>
        <v>75000</v>
      </c>
      <c r="Q955" s="2" t="str">
        <f>VLOOKUP(tdata[[#This Row],[id_employee]],temployee[#All],2,0)</f>
        <v>Bella Oktaviani</v>
      </c>
      <c r="R955" s="2" t="str">
        <f>VLOOKUP(tdata[[#This Row],[id_employee]],temployee[#All],4,0)</f>
        <v>internal</v>
      </c>
      <c r="S955" s="9" t="str">
        <f>VLOOKUP(tdata[[#This Row],[id_employee]],temployee[#All],5,0)</f>
        <v>rider</v>
      </c>
    </row>
    <row r="956" spans="2:19" x14ac:dyDescent="0.35">
      <c r="B956" s="8" t="s">
        <v>975</v>
      </c>
      <c r="C956" s="2" t="s">
        <v>1325</v>
      </c>
      <c r="D956" s="5">
        <v>45300</v>
      </c>
      <c r="E956" s="5">
        <v>45305</v>
      </c>
      <c r="F956" s="2" t="s">
        <v>20</v>
      </c>
      <c r="G956" s="2" t="s">
        <v>30</v>
      </c>
      <c r="H956" s="2" t="s">
        <v>1224</v>
      </c>
      <c r="I956" s="2" t="s">
        <v>13</v>
      </c>
      <c r="J956" s="2">
        <v>4.26</v>
      </c>
      <c r="K956" s="2" t="str">
        <f t="shared" si="37"/>
        <v>&lt; 5kg</v>
      </c>
      <c r="L956" s="2">
        <f>tdata[[#This Row],[Received_date]]-tdata[[#This Row],[Shipment_Date]]</f>
        <v>5</v>
      </c>
      <c r="M956" s="2">
        <f>VLOOKUP(tdata[[#This Row],[Service_Type]],Table2[#All],2,0)</f>
        <v>3</v>
      </c>
      <c r="N956" s="2" t="str">
        <f>IF(tdata[[#This Row],[Delivery_Days]]&lt;=tdata[[#This Row],[SLA_Days]],"On Time","Late")</f>
        <v>Late</v>
      </c>
      <c r="O956" s="2">
        <f>VLOOKUP(tdata[[#This Row],[Service_Type]],Table2[#All],4,0)</f>
        <v>10000</v>
      </c>
      <c r="P956" s="2">
        <f>tdata[[#This Row],[price_per_kilo]]*tdata[[#This Row],[Weight_KG]]</f>
        <v>42600</v>
      </c>
      <c r="Q956" s="2" t="str">
        <f>VLOOKUP(tdata[[#This Row],[id_employee]],temployee[#All],2,0)</f>
        <v>Chandra Wijaya</v>
      </c>
      <c r="R956" s="2" t="str">
        <f>VLOOKUP(tdata[[#This Row],[id_employee]],temployee[#All],4,0)</f>
        <v>crowd source</v>
      </c>
      <c r="S956" s="9" t="str">
        <f>VLOOKUP(tdata[[#This Row],[id_employee]],temployee[#All],5,0)</f>
        <v>driver</v>
      </c>
    </row>
    <row r="957" spans="2:19" x14ac:dyDescent="0.35">
      <c r="B957" s="8" t="s">
        <v>976</v>
      </c>
      <c r="C957" s="2" t="s">
        <v>1326</v>
      </c>
      <c r="D957" s="5">
        <v>45194</v>
      </c>
      <c r="E957" s="5">
        <f>D957+4</f>
        <v>45198</v>
      </c>
      <c r="F957" s="2" t="s">
        <v>22</v>
      </c>
      <c r="G957" s="2" t="s">
        <v>15</v>
      </c>
      <c r="H957" s="2" t="s">
        <v>1224</v>
      </c>
      <c r="I957" s="2" t="s">
        <v>13</v>
      </c>
      <c r="J957" s="2">
        <v>8.6999999999999993</v>
      </c>
      <c r="K957" s="2" t="str">
        <f t="shared" si="37"/>
        <v>&gt;5kg</v>
      </c>
      <c r="L957" s="2">
        <f>tdata[[#This Row],[Received_date]]-tdata[[#This Row],[Shipment_Date]]</f>
        <v>4</v>
      </c>
      <c r="M957" s="2">
        <f>VLOOKUP(tdata[[#This Row],[Service_Type]],Table2[#All],2,0)</f>
        <v>3</v>
      </c>
      <c r="N957" s="2" t="str">
        <f>IF(tdata[[#This Row],[Delivery_Days]]&lt;=tdata[[#This Row],[SLA_Days]],"On Time","Late")</f>
        <v>Late</v>
      </c>
      <c r="O957" s="2">
        <f>VLOOKUP(tdata[[#This Row],[Service_Type]],Table2[#All],4,0)</f>
        <v>10000</v>
      </c>
      <c r="P957" s="2">
        <f>tdata[[#This Row],[price_per_kilo]]*tdata[[#This Row],[Weight_KG]]</f>
        <v>87000</v>
      </c>
      <c r="Q957" s="2" t="str">
        <f>VLOOKUP(tdata[[#This Row],[id_employee]],temployee[#All],2,0)</f>
        <v>Dewi Sartika</v>
      </c>
      <c r="R957" s="2" t="str">
        <f>VLOOKUP(tdata[[#This Row],[id_employee]],temployee[#All],4,0)</f>
        <v>internal</v>
      </c>
      <c r="S957" s="9" t="str">
        <f>VLOOKUP(tdata[[#This Row],[id_employee]],temployee[#All],5,0)</f>
        <v>rider</v>
      </c>
    </row>
    <row r="958" spans="2:19" x14ac:dyDescent="0.35">
      <c r="B958" s="8" t="s">
        <v>977</v>
      </c>
      <c r="C958" s="2" t="s">
        <v>1327</v>
      </c>
      <c r="D958" s="5">
        <v>45528</v>
      </c>
      <c r="E958" s="5">
        <v>45539</v>
      </c>
      <c r="F958" s="2" t="s">
        <v>12</v>
      </c>
      <c r="G958" s="2" t="s">
        <v>49</v>
      </c>
      <c r="H958" s="2" t="s">
        <v>23</v>
      </c>
      <c r="I958" s="2" t="s">
        <v>17</v>
      </c>
      <c r="J958" s="2">
        <v>7.06</v>
      </c>
      <c r="K958" s="2" t="str">
        <f t="shared" si="37"/>
        <v>&gt;5kg</v>
      </c>
      <c r="L958" s="2">
        <f>tdata[[#This Row],[Received_date]]-tdata[[#This Row],[Shipment_Date]]</f>
        <v>11</v>
      </c>
      <c r="M958" s="2">
        <f>VLOOKUP(tdata[[#This Row],[Service_Type]],Table2[#All],2,0)</f>
        <v>5</v>
      </c>
      <c r="N958" s="2" t="str">
        <f>IF(tdata[[#This Row],[Delivery_Days]]&lt;=tdata[[#This Row],[SLA_Days]],"On Time","Late")</f>
        <v>Late</v>
      </c>
      <c r="O958" s="2">
        <f>VLOOKUP(tdata[[#This Row],[Service_Type]],Table2[#All],4,0)</f>
        <v>9000</v>
      </c>
      <c r="P958" s="2">
        <f>tdata[[#This Row],[price_per_kilo]]*tdata[[#This Row],[Weight_KG]]</f>
        <v>63540</v>
      </c>
      <c r="Q958" s="2" t="str">
        <f>VLOOKUP(tdata[[#This Row],[id_employee]],temployee[#All],2,0)</f>
        <v>Edi Kurniawan</v>
      </c>
      <c r="R958" s="2" t="str">
        <f>VLOOKUP(tdata[[#This Row],[id_employee]],temployee[#All],4,0)</f>
        <v>internal</v>
      </c>
      <c r="S958" s="9" t="str">
        <f>VLOOKUP(tdata[[#This Row],[id_employee]],temployee[#All],5,0)</f>
        <v>driver</v>
      </c>
    </row>
    <row r="959" spans="2:19" x14ac:dyDescent="0.35">
      <c r="B959" s="8" t="s">
        <v>978</v>
      </c>
      <c r="C959" s="2" t="s">
        <v>1328</v>
      </c>
      <c r="D959" s="5">
        <v>45644</v>
      </c>
      <c r="E959" s="5">
        <f>D959+4</f>
        <v>45648</v>
      </c>
      <c r="F959" s="2" t="s">
        <v>30</v>
      </c>
      <c r="G959" s="2" t="s">
        <v>12</v>
      </c>
      <c r="H959" s="2" t="s">
        <v>1224</v>
      </c>
      <c r="I959" s="2" t="s">
        <v>17</v>
      </c>
      <c r="J959" s="2">
        <v>6.52</v>
      </c>
      <c r="K959" s="2" t="str">
        <f t="shared" si="37"/>
        <v>&gt;5kg</v>
      </c>
      <c r="L959" s="2">
        <f>tdata[[#This Row],[Received_date]]-tdata[[#This Row],[Shipment_Date]]</f>
        <v>4</v>
      </c>
      <c r="M959" s="2">
        <f>VLOOKUP(tdata[[#This Row],[Service_Type]],Table2[#All],2,0)</f>
        <v>3</v>
      </c>
      <c r="N959" s="2" t="str">
        <f>IF(tdata[[#This Row],[Delivery_Days]]&lt;=tdata[[#This Row],[SLA_Days]],"On Time","Late")</f>
        <v>Late</v>
      </c>
      <c r="O959" s="2">
        <f>VLOOKUP(tdata[[#This Row],[Service_Type]],Table2[#All],4,0)</f>
        <v>10000</v>
      </c>
      <c r="P959" s="2">
        <f>tdata[[#This Row],[price_per_kilo]]*tdata[[#This Row],[Weight_KG]]</f>
        <v>65199.999999999993</v>
      </c>
      <c r="Q959" s="2" t="str">
        <f>VLOOKUP(tdata[[#This Row],[id_employee]],temployee[#All],2,0)</f>
        <v>Farah Nabila</v>
      </c>
      <c r="R959" s="2" t="str">
        <f>VLOOKUP(tdata[[#This Row],[id_employee]],temployee[#All],4,0)</f>
        <v>crowd source</v>
      </c>
      <c r="S959" s="9" t="str">
        <f>VLOOKUP(tdata[[#This Row],[id_employee]],temployee[#All],5,0)</f>
        <v>rider</v>
      </c>
    </row>
    <row r="960" spans="2:19" x14ac:dyDescent="0.35">
      <c r="B960" s="8" t="s">
        <v>979</v>
      </c>
      <c r="C960" s="2" t="s">
        <v>1329</v>
      </c>
      <c r="D960" s="5">
        <v>45211</v>
      </c>
      <c r="E960" s="5">
        <v>45217</v>
      </c>
      <c r="F960" s="2" t="s">
        <v>32</v>
      </c>
      <c r="G960" s="2" t="s">
        <v>20</v>
      </c>
      <c r="H960" s="2" t="s">
        <v>23</v>
      </c>
      <c r="I960" s="2" t="s">
        <v>17</v>
      </c>
      <c r="J960" s="2">
        <v>9.7799999999999994</v>
      </c>
      <c r="K960" s="2" t="str">
        <f t="shared" si="37"/>
        <v>&gt;5kg</v>
      </c>
      <c r="L960" s="2">
        <f>tdata[[#This Row],[Received_date]]-tdata[[#This Row],[Shipment_Date]]</f>
        <v>6</v>
      </c>
      <c r="M960" s="2">
        <f>VLOOKUP(tdata[[#This Row],[Service_Type]],Table2[#All],2,0)</f>
        <v>5</v>
      </c>
      <c r="N960" s="2" t="str">
        <f>IF(tdata[[#This Row],[Delivery_Days]]&lt;=tdata[[#This Row],[SLA_Days]],"On Time","Late")</f>
        <v>Late</v>
      </c>
      <c r="O960" s="2">
        <f>VLOOKUP(tdata[[#This Row],[Service_Type]],Table2[#All],4,0)</f>
        <v>9000</v>
      </c>
      <c r="P960" s="2">
        <f>tdata[[#This Row],[price_per_kilo]]*tdata[[#This Row],[Weight_KG]]</f>
        <v>88020</v>
      </c>
      <c r="Q960" s="2" t="str">
        <f>VLOOKUP(tdata[[#This Row],[id_employee]],temployee[#All],2,0)</f>
        <v>Galih Pratomo</v>
      </c>
      <c r="R960" s="2" t="str">
        <f>VLOOKUP(tdata[[#This Row],[id_employee]],temployee[#All],4,0)</f>
        <v>internal</v>
      </c>
      <c r="S960" s="9" t="str">
        <f>VLOOKUP(tdata[[#This Row],[id_employee]],temployee[#All],5,0)</f>
        <v>rider</v>
      </c>
    </row>
    <row r="961" spans="2:19" x14ac:dyDescent="0.35">
      <c r="B961" s="8" t="s">
        <v>980</v>
      </c>
      <c r="C961" s="2" t="s">
        <v>1330</v>
      </c>
      <c r="D961" s="5">
        <v>45134</v>
      </c>
      <c r="E961" s="5">
        <v>45135</v>
      </c>
      <c r="F961" s="2" t="s">
        <v>16</v>
      </c>
      <c r="G961" s="2" t="s">
        <v>15</v>
      </c>
      <c r="H961" s="2" t="s">
        <v>1224</v>
      </c>
      <c r="I961" s="2" t="s">
        <v>17</v>
      </c>
      <c r="J961" s="2">
        <v>7.65</v>
      </c>
      <c r="K961" s="2" t="str">
        <f t="shared" si="37"/>
        <v>&gt;5kg</v>
      </c>
      <c r="L961" s="2">
        <f>tdata[[#This Row],[Received_date]]-tdata[[#This Row],[Shipment_Date]]</f>
        <v>1</v>
      </c>
      <c r="M961" s="2">
        <f>VLOOKUP(tdata[[#This Row],[Service_Type]],Table2[#All],2,0)</f>
        <v>3</v>
      </c>
      <c r="N961" s="2" t="str">
        <f>IF(tdata[[#This Row],[Delivery_Days]]&lt;=tdata[[#This Row],[SLA_Days]],"On Time","Late")</f>
        <v>On Time</v>
      </c>
      <c r="O961" s="2">
        <f>VLOOKUP(tdata[[#This Row],[Service_Type]],Table2[#All],4,0)</f>
        <v>10000</v>
      </c>
      <c r="P961" s="2">
        <f>tdata[[#This Row],[price_per_kilo]]*tdata[[#This Row],[Weight_KG]]</f>
        <v>76500</v>
      </c>
      <c r="Q961" s="2" t="str">
        <f>VLOOKUP(tdata[[#This Row],[id_employee]],temployee[#All],2,0)</f>
        <v>Hadi Purnomo</v>
      </c>
      <c r="R961" s="2" t="str">
        <f>VLOOKUP(tdata[[#This Row],[id_employee]],temployee[#All],4,0)</f>
        <v>crowd source</v>
      </c>
      <c r="S961" s="9" t="str">
        <f>VLOOKUP(tdata[[#This Row],[id_employee]],temployee[#All],5,0)</f>
        <v>driver</v>
      </c>
    </row>
    <row r="962" spans="2:19" x14ac:dyDescent="0.35">
      <c r="B962" s="8" t="s">
        <v>981</v>
      </c>
      <c r="C962" s="2" t="s">
        <v>1331</v>
      </c>
      <c r="D962" s="5">
        <v>45384</v>
      </c>
      <c r="E962" s="5">
        <v>45385</v>
      </c>
      <c r="F962" s="2" t="s">
        <v>26</v>
      </c>
      <c r="G962" s="2" t="s">
        <v>11</v>
      </c>
      <c r="H962" s="2" t="s">
        <v>1223</v>
      </c>
      <c r="I962" s="2" t="s">
        <v>17</v>
      </c>
      <c r="J962" s="2">
        <v>4.63</v>
      </c>
      <c r="K962" s="2" t="str">
        <f t="shared" si="37"/>
        <v>&lt; 5kg</v>
      </c>
      <c r="L962" s="2">
        <f>tdata[[#This Row],[Received_date]]-tdata[[#This Row],[Shipment_Date]]</f>
        <v>1</v>
      </c>
      <c r="M962" s="2">
        <f>VLOOKUP(tdata[[#This Row],[Service_Type]],Table2[#All],2,0)</f>
        <v>1</v>
      </c>
      <c r="N962" s="2" t="str">
        <f>IF(tdata[[#This Row],[Delivery_Days]]&lt;=tdata[[#This Row],[SLA_Days]],"On Time","Late")</f>
        <v>On Time</v>
      </c>
      <c r="O962" s="2">
        <f>VLOOKUP(tdata[[#This Row],[Service_Type]],Table2[#All],4,0)</f>
        <v>12000</v>
      </c>
      <c r="P962" s="2">
        <f>tdata[[#This Row],[price_per_kilo]]*tdata[[#This Row],[Weight_KG]]</f>
        <v>55560</v>
      </c>
      <c r="Q962" s="2" t="str">
        <f>VLOOKUP(tdata[[#This Row],[id_employee]],temployee[#All],2,0)</f>
        <v>Ika Lestari</v>
      </c>
      <c r="R962" s="2" t="str">
        <f>VLOOKUP(tdata[[#This Row],[id_employee]],temployee[#All],4,0)</f>
        <v>internal</v>
      </c>
      <c r="S962" s="9" t="str">
        <f>VLOOKUP(tdata[[#This Row],[id_employee]],temployee[#All],5,0)</f>
        <v>rider</v>
      </c>
    </row>
    <row r="963" spans="2:19" x14ac:dyDescent="0.35">
      <c r="B963" s="8" t="s">
        <v>982</v>
      </c>
      <c r="C963" s="2" t="s">
        <v>1332</v>
      </c>
      <c r="D963" s="5">
        <v>45369</v>
      </c>
      <c r="E963" s="5">
        <v>45379</v>
      </c>
      <c r="F963" s="2" t="s">
        <v>49</v>
      </c>
      <c r="G963" s="2" t="s">
        <v>12</v>
      </c>
      <c r="H963" s="2" t="s">
        <v>23</v>
      </c>
      <c r="I963" s="2" t="s">
        <v>17</v>
      </c>
      <c r="J963" s="2">
        <v>6.12</v>
      </c>
      <c r="K963" s="2" t="str">
        <f t="shared" si="37"/>
        <v>&gt;5kg</v>
      </c>
      <c r="L963" s="2">
        <f>tdata[[#This Row],[Received_date]]-tdata[[#This Row],[Shipment_Date]]</f>
        <v>10</v>
      </c>
      <c r="M963" s="2">
        <f>VLOOKUP(tdata[[#This Row],[Service_Type]],Table2[#All],2,0)</f>
        <v>5</v>
      </c>
      <c r="N963" s="2" t="str">
        <f>IF(tdata[[#This Row],[Delivery_Days]]&lt;=tdata[[#This Row],[SLA_Days]],"On Time","Late")</f>
        <v>Late</v>
      </c>
      <c r="O963" s="2">
        <f>VLOOKUP(tdata[[#This Row],[Service_Type]],Table2[#All],4,0)</f>
        <v>9000</v>
      </c>
      <c r="P963" s="2">
        <f>tdata[[#This Row],[price_per_kilo]]*tdata[[#This Row],[Weight_KG]]</f>
        <v>55080</v>
      </c>
      <c r="Q963" s="2" t="str">
        <f>VLOOKUP(tdata[[#This Row],[id_employee]],temployee[#All],2,0)</f>
        <v>Jamil Akbar</v>
      </c>
      <c r="R963" s="2" t="str">
        <f>VLOOKUP(tdata[[#This Row],[id_employee]],temployee[#All],4,0)</f>
        <v>internal</v>
      </c>
      <c r="S963" s="9" t="str">
        <f>VLOOKUP(tdata[[#This Row],[id_employee]],temployee[#All],5,0)</f>
        <v>driver</v>
      </c>
    </row>
    <row r="964" spans="2:19" x14ac:dyDescent="0.35">
      <c r="B964" s="8" t="s">
        <v>983</v>
      </c>
      <c r="C964" s="2" t="s">
        <v>1333</v>
      </c>
      <c r="D964" s="5">
        <v>45316</v>
      </c>
      <c r="E964" s="5">
        <f>D964+4</f>
        <v>45320</v>
      </c>
      <c r="F964" s="2" t="s">
        <v>11</v>
      </c>
      <c r="G964" s="2" t="s">
        <v>26</v>
      </c>
      <c r="H964" s="2" t="s">
        <v>1224</v>
      </c>
      <c r="I964" s="2" t="s">
        <v>13</v>
      </c>
      <c r="J964" s="2">
        <v>10.45</v>
      </c>
      <c r="K964" s="2" t="str">
        <f t="shared" si="37"/>
        <v>&gt;5kg</v>
      </c>
      <c r="L964" s="2">
        <f>tdata[[#This Row],[Received_date]]-tdata[[#This Row],[Shipment_Date]]</f>
        <v>4</v>
      </c>
      <c r="M964" s="2">
        <f>VLOOKUP(tdata[[#This Row],[Service_Type]],Table2[#All],2,0)</f>
        <v>3</v>
      </c>
      <c r="N964" s="2" t="str">
        <f>IF(tdata[[#This Row],[Delivery_Days]]&lt;=tdata[[#This Row],[SLA_Days]],"On Time","Late")</f>
        <v>Late</v>
      </c>
      <c r="O964" s="2">
        <f>VLOOKUP(tdata[[#This Row],[Service_Type]],Table2[#All],4,0)</f>
        <v>10000</v>
      </c>
      <c r="P964" s="2">
        <f>tdata[[#This Row],[price_per_kilo]]*tdata[[#This Row],[Weight_KG]]</f>
        <v>104500</v>
      </c>
      <c r="Q964" s="2" t="str">
        <f>VLOOKUP(tdata[[#This Row],[id_employee]],temployee[#All],2,0)</f>
        <v>Kevin Sanjaya</v>
      </c>
      <c r="R964" s="2" t="str">
        <f>VLOOKUP(tdata[[#This Row],[id_employee]],temployee[#All],4,0)</f>
        <v>crowd source</v>
      </c>
      <c r="S964" s="9" t="str">
        <f>VLOOKUP(tdata[[#This Row],[id_employee]],temployee[#All],5,0)</f>
        <v>rider</v>
      </c>
    </row>
    <row r="965" spans="2:19" x14ac:dyDescent="0.35">
      <c r="B965" s="8" t="s">
        <v>984</v>
      </c>
      <c r="C965" s="2" t="s">
        <v>1334</v>
      </c>
      <c r="D965" s="5">
        <v>45016</v>
      </c>
      <c r="E965" s="5">
        <v>45023</v>
      </c>
      <c r="F965" s="2" t="s">
        <v>15</v>
      </c>
      <c r="G965" s="2" t="s">
        <v>22</v>
      </c>
      <c r="H965" s="2" t="s">
        <v>1223</v>
      </c>
      <c r="I965" s="2" t="s">
        <v>17</v>
      </c>
      <c r="J965" s="2">
        <v>6.06</v>
      </c>
      <c r="K965" s="2" t="str">
        <f t="shared" ref="K965:K1028" si="41">IF(J965&lt;5,"&lt; 5kg", "&gt;5kg")</f>
        <v>&gt;5kg</v>
      </c>
      <c r="L965" s="2">
        <f>tdata[[#This Row],[Received_date]]-tdata[[#This Row],[Shipment_Date]]</f>
        <v>7</v>
      </c>
      <c r="M965" s="2">
        <f>VLOOKUP(tdata[[#This Row],[Service_Type]],Table2[#All],2,0)</f>
        <v>1</v>
      </c>
      <c r="N965" s="2" t="str">
        <f>IF(tdata[[#This Row],[Delivery_Days]]&lt;=tdata[[#This Row],[SLA_Days]],"On Time","Late")</f>
        <v>Late</v>
      </c>
      <c r="O965" s="2">
        <f>VLOOKUP(tdata[[#This Row],[Service_Type]],Table2[#All],4,0)</f>
        <v>12000</v>
      </c>
      <c r="P965" s="2">
        <f>tdata[[#This Row],[price_per_kilo]]*tdata[[#This Row],[Weight_KG]]</f>
        <v>72720</v>
      </c>
      <c r="Q965" s="2" t="str">
        <f>VLOOKUP(tdata[[#This Row],[id_employee]],temployee[#All],2,0)</f>
        <v>Laila Nuraini</v>
      </c>
      <c r="R965" s="2" t="str">
        <f>VLOOKUP(tdata[[#This Row],[id_employee]],temployee[#All],4,0)</f>
        <v>internal</v>
      </c>
      <c r="S965" s="9" t="str">
        <f>VLOOKUP(tdata[[#This Row],[id_employee]],temployee[#All],5,0)</f>
        <v>rider</v>
      </c>
    </row>
    <row r="966" spans="2:19" x14ac:dyDescent="0.35">
      <c r="B966" s="8" t="s">
        <v>985</v>
      </c>
      <c r="C966" s="2" t="s">
        <v>1335</v>
      </c>
      <c r="D966" s="5">
        <v>45388</v>
      </c>
      <c r="E966" s="5">
        <v>45388</v>
      </c>
      <c r="F966" s="2" t="s">
        <v>20</v>
      </c>
      <c r="G966" s="2" t="s">
        <v>22</v>
      </c>
      <c r="H966" s="2" t="s">
        <v>23</v>
      </c>
      <c r="I966" s="2" t="s">
        <v>13</v>
      </c>
      <c r="J966" s="2">
        <v>2.91</v>
      </c>
      <c r="K966" s="2" t="str">
        <f t="shared" si="41"/>
        <v>&lt; 5kg</v>
      </c>
      <c r="L966" s="2">
        <f>tdata[[#This Row],[Received_date]]-tdata[[#This Row],[Shipment_Date]]</f>
        <v>0</v>
      </c>
      <c r="M966" s="2">
        <f>VLOOKUP(tdata[[#This Row],[Service_Type]],Table2[#All],2,0)</f>
        <v>5</v>
      </c>
      <c r="N966" s="2" t="str">
        <f>IF(tdata[[#This Row],[Delivery_Days]]&lt;=tdata[[#This Row],[SLA_Days]],"On Time","Late")</f>
        <v>On Time</v>
      </c>
      <c r="O966" s="2">
        <f>VLOOKUP(tdata[[#This Row],[Service_Type]],Table2[#All],4,0)</f>
        <v>9000</v>
      </c>
      <c r="P966" s="2">
        <f>tdata[[#This Row],[price_per_kilo]]*tdata[[#This Row],[Weight_KG]]</f>
        <v>26190</v>
      </c>
      <c r="Q966" s="2" t="str">
        <f>VLOOKUP(tdata[[#This Row],[id_employee]],temployee[#All],2,0)</f>
        <v>Miko Setiawan</v>
      </c>
      <c r="R966" s="2" t="str">
        <f>VLOOKUP(tdata[[#This Row],[id_employee]],temployee[#All],4,0)</f>
        <v>crowd source</v>
      </c>
      <c r="S966" s="9" t="str">
        <f>VLOOKUP(tdata[[#This Row],[id_employee]],temployee[#All],5,0)</f>
        <v>driver</v>
      </c>
    </row>
    <row r="967" spans="2:19" x14ac:dyDescent="0.35">
      <c r="B967" s="8" t="s">
        <v>986</v>
      </c>
      <c r="C967" s="2" t="s">
        <v>1336</v>
      </c>
      <c r="D967" s="5">
        <v>45281</v>
      </c>
      <c r="E967" s="5">
        <v>45281</v>
      </c>
      <c r="F967" s="2" t="s">
        <v>22</v>
      </c>
      <c r="G967" s="2" t="s">
        <v>16</v>
      </c>
      <c r="H967" s="2" t="s">
        <v>1224</v>
      </c>
      <c r="I967" s="2" t="s">
        <v>17</v>
      </c>
      <c r="J967" s="2">
        <v>1.87</v>
      </c>
      <c r="K967" s="2" t="str">
        <f t="shared" si="41"/>
        <v>&lt; 5kg</v>
      </c>
      <c r="L967" s="2">
        <f>tdata[[#This Row],[Received_date]]-tdata[[#This Row],[Shipment_Date]]</f>
        <v>0</v>
      </c>
      <c r="M967" s="2">
        <f>VLOOKUP(tdata[[#This Row],[Service_Type]],Table2[#All],2,0)</f>
        <v>3</v>
      </c>
      <c r="N967" s="2" t="str">
        <f>IF(tdata[[#This Row],[Delivery_Days]]&lt;=tdata[[#This Row],[SLA_Days]],"On Time","Late")</f>
        <v>On Time</v>
      </c>
      <c r="O967" s="2">
        <f>VLOOKUP(tdata[[#This Row],[Service_Type]],Table2[#All],4,0)</f>
        <v>10000</v>
      </c>
      <c r="P967" s="2">
        <f>tdata[[#This Row],[price_per_kilo]]*tdata[[#This Row],[Weight_KG]]</f>
        <v>18700</v>
      </c>
      <c r="Q967" s="2" t="str">
        <f>VLOOKUP(tdata[[#This Row],[id_employee]],temployee[#All],2,0)</f>
        <v>Nisa Aulia</v>
      </c>
      <c r="R967" s="2" t="str">
        <f>VLOOKUP(tdata[[#This Row],[id_employee]],temployee[#All],4,0)</f>
        <v>internal</v>
      </c>
      <c r="S967" s="9" t="str">
        <f>VLOOKUP(tdata[[#This Row],[id_employee]],temployee[#All],5,0)</f>
        <v>rider</v>
      </c>
    </row>
    <row r="968" spans="2:19" x14ac:dyDescent="0.35">
      <c r="B968" s="8" t="s">
        <v>987</v>
      </c>
      <c r="C968" s="2" t="s">
        <v>1337</v>
      </c>
      <c r="D968" s="5">
        <v>45100</v>
      </c>
      <c r="E968" s="5">
        <v>45101</v>
      </c>
      <c r="F968" s="2" t="s">
        <v>12</v>
      </c>
      <c r="G968" s="2" t="s">
        <v>11</v>
      </c>
      <c r="H968" s="2" t="s">
        <v>1224</v>
      </c>
      <c r="I968" s="2" t="s">
        <v>13</v>
      </c>
      <c r="J968" s="2">
        <v>6.01</v>
      </c>
      <c r="K968" s="2" t="str">
        <f t="shared" si="41"/>
        <v>&gt;5kg</v>
      </c>
      <c r="L968" s="2">
        <f>tdata[[#This Row],[Received_date]]-tdata[[#This Row],[Shipment_Date]]</f>
        <v>1</v>
      </c>
      <c r="M968" s="2">
        <f>VLOOKUP(tdata[[#This Row],[Service_Type]],Table2[#All],2,0)</f>
        <v>3</v>
      </c>
      <c r="N968" s="2" t="str">
        <f>IF(tdata[[#This Row],[Delivery_Days]]&lt;=tdata[[#This Row],[SLA_Days]],"On Time","Late")</f>
        <v>On Time</v>
      </c>
      <c r="O968" s="2">
        <f>VLOOKUP(tdata[[#This Row],[Service_Type]],Table2[#All],4,0)</f>
        <v>10000</v>
      </c>
      <c r="P968" s="2">
        <f>tdata[[#This Row],[price_per_kilo]]*tdata[[#This Row],[Weight_KG]]</f>
        <v>60100</v>
      </c>
      <c r="Q968" s="2" t="str">
        <f>VLOOKUP(tdata[[#This Row],[id_employee]],temployee[#All],2,0)</f>
        <v>Oki Pramono</v>
      </c>
      <c r="R968" s="2" t="str">
        <f>VLOOKUP(tdata[[#This Row],[id_employee]],temployee[#All],4,0)</f>
        <v>internal</v>
      </c>
      <c r="S968" s="9" t="str">
        <f>VLOOKUP(tdata[[#This Row],[id_employee]],temployee[#All],5,0)</f>
        <v>driver</v>
      </c>
    </row>
    <row r="969" spans="2:19" x14ac:dyDescent="0.35">
      <c r="B969" s="8" t="s">
        <v>988</v>
      </c>
      <c r="C969" s="2" t="s">
        <v>1338</v>
      </c>
      <c r="D969" s="5">
        <v>45273</v>
      </c>
      <c r="E969" s="5">
        <v>45276</v>
      </c>
      <c r="F969" s="2" t="s">
        <v>30</v>
      </c>
      <c r="G969" s="2" t="s">
        <v>32</v>
      </c>
      <c r="H969" s="2" t="s">
        <v>1224</v>
      </c>
      <c r="I969" s="2" t="s">
        <v>17</v>
      </c>
      <c r="J969" s="2">
        <v>4.28</v>
      </c>
      <c r="K969" s="2" t="str">
        <f t="shared" si="41"/>
        <v>&lt; 5kg</v>
      </c>
      <c r="L969" s="2">
        <f>tdata[[#This Row],[Received_date]]-tdata[[#This Row],[Shipment_Date]]</f>
        <v>3</v>
      </c>
      <c r="M969" s="2">
        <f>VLOOKUP(tdata[[#This Row],[Service_Type]],Table2[#All],2,0)</f>
        <v>3</v>
      </c>
      <c r="N969" s="2" t="str">
        <f>IF(tdata[[#This Row],[Delivery_Days]]&lt;=tdata[[#This Row],[SLA_Days]],"On Time","Late")</f>
        <v>On Time</v>
      </c>
      <c r="O969" s="2">
        <f>VLOOKUP(tdata[[#This Row],[Service_Type]],Table2[#All],4,0)</f>
        <v>10000</v>
      </c>
      <c r="P969" s="2">
        <f>tdata[[#This Row],[price_per_kilo]]*tdata[[#This Row],[Weight_KG]]</f>
        <v>42800</v>
      </c>
      <c r="Q969" s="2" t="str">
        <f>VLOOKUP(tdata[[#This Row],[id_employee]],temployee[#All],2,0)</f>
        <v>Putra Mahendra</v>
      </c>
      <c r="R969" s="2" t="str">
        <f>VLOOKUP(tdata[[#This Row],[id_employee]],temployee[#All],4,0)</f>
        <v>crowd source</v>
      </c>
      <c r="S969" s="9" t="str">
        <f>VLOOKUP(tdata[[#This Row],[id_employee]],temployee[#All],5,0)</f>
        <v>rider</v>
      </c>
    </row>
    <row r="970" spans="2:19" x14ac:dyDescent="0.35">
      <c r="B970" s="8" t="s">
        <v>989</v>
      </c>
      <c r="C970" s="2" t="s">
        <v>1339</v>
      </c>
      <c r="D970" s="5">
        <v>45429</v>
      </c>
      <c r="E970" s="5">
        <f>D970+4</f>
        <v>45433</v>
      </c>
      <c r="F970" s="2" t="s">
        <v>32</v>
      </c>
      <c r="G970" s="2" t="s">
        <v>11</v>
      </c>
      <c r="H970" s="2" t="s">
        <v>1224</v>
      </c>
      <c r="I970" s="2" t="s">
        <v>13</v>
      </c>
      <c r="J970" s="2">
        <v>6.86</v>
      </c>
      <c r="K970" s="2" t="str">
        <f t="shared" si="41"/>
        <v>&gt;5kg</v>
      </c>
      <c r="L970" s="2">
        <f>tdata[[#This Row],[Received_date]]-tdata[[#This Row],[Shipment_Date]]</f>
        <v>4</v>
      </c>
      <c r="M970" s="2">
        <f>VLOOKUP(tdata[[#This Row],[Service_Type]],Table2[#All],2,0)</f>
        <v>3</v>
      </c>
      <c r="N970" s="2" t="str">
        <f>IF(tdata[[#This Row],[Delivery_Days]]&lt;=tdata[[#This Row],[SLA_Days]],"On Time","Late")</f>
        <v>Late</v>
      </c>
      <c r="O970" s="2">
        <f>VLOOKUP(tdata[[#This Row],[Service_Type]],Table2[#All],4,0)</f>
        <v>10000</v>
      </c>
      <c r="P970" s="2">
        <f>tdata[[#This Row],[price_per_kilo]]*tdata[[#This Row],[Weight_KG]]</f>
        <v>68600</v>
      </c>
      <c r="Q970" s="2" t="str">
        <f>VLOOKUP(tdata[[#This Row],[id_employee]],temployee[#All],2,0)</f>
        <v>Qolbi Ramadhani</v>
      </c>
      <c r="R970" s="2" t="str">
        <f>VLOOKUP(tdata[[#This Row],[id_employee]],temployee[#All],4,0)</f>
        <v>internal</v>
      </c>
      <c r="S970" s="9" t="str">
        <f>VLOOKUP(tdata[[#This Row],[id_employee]],temployee[#All],5,0)</f>
        <v>rider</v>
      </c>
    </row>
    <row r="971" spans="2:19" x14ac:dyDescent="0.35">
      <c r="B971" s="8" t="s">
        <v>990</v>
      </c>
      <c r="C971" s="2" t="s">
        <v>1340</v>
      </c>
      <c r="D971" s="5">
        <v>44938</v>
      </c>
      <c r="E971" s="5">
        <v>44942</v>
      </c>
      <c r="F971" s="2" t="s">
        <v>16</v>
      </c>
      <c r="G971" s="2" t="s">
        <v>32</v>
      </c>
      <c r="H971" s="2" t="s">
        <v>1224</v>
      </c>
      <c r="I971" s="2" t="s">
        <v>13</v>
      </c>
      <c r="J971" s="2">
        <v>1.42</v>
      </c>
      <c r="K971" s="2" t="str">
        <f t="shared" si="41"/>
        <v>&lt; 5kg</v>
      </c>
      <c r="L971" s="2">
        <f>tdata[[#This Row],[Received_date]]-tdata[[#This Row],[Shipment_Date]]</f>
        <v>4</v>
      </c>
      <c r="M971" s="2">
        <f>VLOOKUP(tdata[[#This Row],[Service_Type]],Table2[#All],2,0)</f>
        <v>3</v>
      </c>
      <c r="N971" s="2" t="str">
        <f>IF(tdata[[#This Row],[Delivery_Days]]&lt;=tdata[[#This Row],[SLA_Days]],"On Time","Late")</f>
        <v>Late</v>
      </c>
      <c r="O971" s="2">
        <f>VLOOKUP(tdata[[#This Row],[Service_Type]],Table2[#All],4,0)</f>
        <v>10000</v>
      </c>
      <c r="P971" s="2">
        <f>tdata[[#This Row],[price_per_kilo]]*tdata[[#This Row],[Weight_KG]]</f>
        <v>14200</v>
      </c>
      <c r="Q971" s="2" t="str">
        <f>VLOOKUP(tdata[[#This Row],[id_employee]],temployee[#All],2,0)</f>
        <v>Reza Firmansyah</v>
      </c>
      <c r="R971" s="2" t="str">
        <f>VLOOKUP(tdata[[#This Row],[id_employee]],temployee[#All],4,0)</f>
        <v>crowd source</v>
      </c>
      <c r="S971" s="9" t="str">
        <f>VLOOKUP(tdata[[#This Row],[id_employee]],temployee[#All],5,0)</f>
        <v>driver</v>
      </c>
    </row>
    <row r="972" spans="2:19" x14ac:dyDescent="0.35">
      <c r="B972" s="8" t="s">
        <v>991</v>
      </c>
      <c r="C972" s="2" t="s">
        <v>1341</v>
      </c>
      <c r="D972" s="5">
        <v>45109</v>
      </c>
      <c r="E972" s="5">
        <v>45116</v>
      </c>
      <c r="F972" s="2" t="s">
        <v>26</v>
      </c>
      <c r="G972" s="2" t="s">
        <v>22</v>
      </c>
      <c r="H972" s="2" t="s">
        <v>1224</v>
      </c>
      <c r="I972" s="2" t="s">
        <v>17</v>
      </c>
      <c r="J972" s="2">
        <v>9.7799999999999994</v>
      </c>
      <c r="K972" s="2" t="str">
        <f t="shared" si="41"/>
        <v>&gt;5kg</v>
      </c>
      <c r="L972" s="2">
        <f>tdata[[#This Row],[Received_date]]-tdata[[#This Row],[Shipment_Date]]</f>
        <v>7</v>
      </c>
      <c r="M972" s="2">
        <f>VLOOKUP(tdata[[#This Row],[Service_Type]],Table2[#All],2,0)</f>
        <v>3</v>
      </c>
      <c r="N972" s="2" t="str">
        <f>IF(tdata[[#This Row],[Delivery_Days]]&lt;=tdata[[#This Row],[SLA_Days]],"On Time","Late")</f>
        <v>Late</v>
      </c>
      <c r="O972" s="2">
        <f>VLOOKUP(tdata[[#This Row],[Service_Type]],Table2[#All],4,0)</f>
        <v>10000</v>
      </c>
      <c r="P972" s="2">
        <f>tdata[[#This Row],[price_per_kilo]]*tdata[[#This Row],[Weight_KG]]</f>
        <v>97800</v>
      </c>
      <c r="Q972" s="2" t="str">
        <f>VLOOKUP(tdata[[#This Row],[id_employee]],temployee[#All],2,0)</f>
        <v>Siska Amelia</v>
      </c>
      <c r="R972" s="2" t="str">
        <f>VLOOKUP(tdata[[#This Row],[id_employee]],temployee[#All],4,0)</f>
        <v>internal</v>
      </c>
      <c r="S972" s="9" t="str">
        <f>VLOOKUP(tdata[[#This Row],[id_employee]],temployee[#All],5,0)</f>
        <v>rider</v>
      </c>
    </row>
    <row r="973" spans="2:19" x14ac:dyDescent="0.35">
      <c r="B973" s="8" t="s">
        <v>992</v>
      </c>
      <c r="C973" s="2" t="s">
        <v>1342</v>
      </c>
      <c r="D973" s="5">
        <v>45435</v>
      </c>
      <c r="E973" s="5">
        <v>45436</v>
      </c>
      <c r="F973" s="2" t="s">
        <v>49</v>
      </c>
      <c r="G973" s="2" t="s">
        <v>49</v>
      </c>
      <c r="H973" s="2" t="s">
        <v>1224</v>
      </c>
      <c r="I973" s="2" t="s">
        <v>13</v>
      </c>
      <c r="J973" s="2">
        <v>9.99</v>
      </c>
      <c r="K973" s="2" t="str">
        <f t="shared" si="41"/>
        <v>&gt;5kg</v>
      </c>
      <c r="L973" s="2">
        <f>tdata[[#This Row],[Received_date]]-tdata[[#This Row],[Shipment_Date]]</f>
        <v>1</v>
      </c>
      <c r="M973" s="2">
        <f>VLOOKUP(tdata[[#This Row],[Service_Type]],Table2[#All],2,0)</f>
        <v>3</v>
      </c>
      <c r="N973" s="2" t="str">
        <f>IF(tdata[[#This Row],[Delivery_Days]]&lt;=tdata[[#This Row],[SLA_Days]],"On Time","Late")</f>
        <v>On Time</v>
      </c>
      <c r="O973" s="2">
        <f>VLOOKUP(tdata[[#This Row],[Service_Type]],Table2[#All],4,0)</f>
        <v>10000</v>
      </c>
      <c r="P973" s="2">
        <f>tdata[[#This Row],[price_per_kilo]]*tdata[[#This Row],[Weight_KG]]</f>
        <v>99900</v>
      </c>
      <c r="Q973" s="2" t="str">
        <f>VLOOKUP(tdata[[#This Row],[id_employee]],temployee[#All],2,0)</f>
        <v>Tri Wibowo</v>
      </c>
      <c r="R973" s="2" t="str">
        <f>VLOOKUP(tdata[[#This Row],[id_employee]],temployee[#All],4,0)</f>
        <v>internal</v>
      </c>
      <c r="S973" s="9" t="str">
        <f>VLOOKUP(tdata[[#This Row],[id_employee]],temployee[#All],5,0)</f>
        <v>driver</v>
      </c>
    </row>
    <row r="974" spans="2:19" x14ac:dyDescent="0.35">
      <c r="B974" s="8" t="s">
        <v>993</v>
      </c>
      <c r="C974" s="2" t="s">
        <v>1343</v>
      </c>
      <c r="D974" s="5">
        <v>45497</v>
      </c>
      <c r="E974" s="5">
        <f>D974+4</f>
        <v>45501</v>
      </c>
      <c r="F974" s="2" t="s">
        <v>11</v>
      </c>
      <c r="G974" s="2" t="s">
        <v>15</v>
      </c>
      <c r="H974" s="2" t="s">
        <v>1224</v>
      </c>
      <c r="I974" s="2" t="s">
        <v>17</v>
      </c>
      <c r="J974" s="2">
        <v>6.99</v>
      </c>
      <c r="K974" s="2" t="str">
        <f t="shared" si="41"/>
        <v>&gt;5kg</v>
      </c>
      <c r="L974" s="2">
        <f>tdata[[#This Row],[Received_date]]-tdata[[#This Row],[Shipment_Date]]</f>
        <v>4</v>
      </c>
      <c r="M974" s="2">
        <f>VLOOKUP(tdata[[#This Row],[Service_Type]],Table2[#All],2,0)</f>
        <v>3</v>
      </c>
      <c r="N974" s="2" t="str">
        <f>IF(tdata[[#This Row],[Delivery_Days]]&lt;=tdata[[#This Row],[SLA_Days]],"On Time","Late")</f>
        <v>Late</v>
      </c>
      <c r="O974" s="2">
        <f>VLOOKUP(tdata[[#This Row],[Service_Type]],Table2[#All],4,0)</f>
        <v>10000</v>
      </c>
      <c r="P974" s="2">
        <f>tdata[[#This Row],[price_per_kilo]]*tdata[[#This Row],[Weight_KG]]</f>
        <v>69900</v>
      </c>
      <c r="Q974" s="2" t="str">
        <f>VLOOKUP(tdata[[#This Row],[id_employee]],temployee[#All],2,0)</f>
        <v>Ubay Prakoso</v>
      </c>
      <c r="R974" s="2" t="str">
        <f>VLOOKUP(tdata[[#This Row],[id_employee]],temployee[#All],4,0)</f>
        <v>crowd source</v>
      </c>
      <c r="S974" s="9" t="str">
        <f>VLOOKUP(tdata[[#This Row],[id_employee]],temployee[#All],5,0)</f>
        <v>rider</v>
      </c>
    </row>
    <row r="975" spans="2:19" x14ac:dyDescent="0.35">
      <c r="B975" s="8" t="s">
        <v>994</v>
      </c>
      <c r="C975" s="2" t="s">
        <v>1344</v>
      </c>
      <c r="D975" s="5">
        <v>45438</v>
      </c>
      <c r="E975" s="5">
        <v>45438</v>
      </c>
      <c r="F975" s="2" t="s">
        <v>15</v>
      </c>
      <c r="G975" s="2" t="s">
        <v>16</v>
      </c>
      <c r="H975" s="2" t="s">
        <v>1223</v>
      </c>
      <c r="I975" s="2" t="s">
        <v>17</v>
      </c>
      <c r="J975" s="2">
        <v>4.29</v>
      </c>
      <c r="K975" s="2" t="str">
        <f t="shared" si="41"/>
        <v>&lt; 5kg</v>
      </c>
      <c r="L975" s="2">
        <f>tdata[[#This Row],[Received_date]]-tdata[[#This Row],[Shipment_Date]]</f>
        <v>0</v>
      </c>
      <c r="M975" s="2">
        <f>VLOOKUP(tdata[[#This Row],[Service_Type]],Table2[#All],2,0)</f>
        <v>1</v>
      </c>
      <c r="N975" s="2" t="str">
        <f>IF(tdata[[#This Row],[Delivery_Days]]&lt;=tdata[[#This Row],[SLA_Days]],"On Time","Late")</f>
        <v>On Time</v>
      </c>
      <c r="O975" s="2">
        <f>VLOOKUP(tdata[[#This Row],[Service_Type]],Table2[#All],4,0)</f>
        <v>12000</v>
      </c>
      <c r="P975" s="2">
        <f>tdata[[#This Row],[price_per_kilo]]*tdata[[#This Row],[Weight_KG]]</f>
        <v>51480</v>
      </c>
      <c r="Q975" s="2" t="str">
        <f>VLOOKUP(tdata[[#This Row],[id_employee]],temployee[#All],2,0)</f>
        <v>Vania Putri</v>
      </c>
      <c r="R975" s="2" t="str">
        <f>VLOOKUP(tdata[[#This Row],[id_employee]],temployee[#All],4,0)</f>
        <v>internal</v>
      </c>
      <c r="S975" s="9" t="str">
        <f>VLOOKUP(tdata[[#This Row],[id_employee]],temployee[#All],5,0)</f>
        <v>rider</v>
      </c>
    </row>
    <row r="976" spans="2:19" x14ac:dyDescent="0.35">
      <c r="B976" s="8" t="s">
        <v>995</v>
      </c>
      <c r="C976" s="2" t="s">
        <v>1345</v>
      </c>
      <c r="D976" s="5">
        <v>45305</v>
      </c>
      <c r="E976" s="5">
        <v>45308</v>
      </c>
      <c r="F976" s="2" t="s">
        <v>20</v>
      </c>
      <c r="G976" s="2" t="s">
        <v>22</v>
      </c>
      <c r="H976" s="2" t="s">
        <v>1224</v>
      </c>
      <c r="I976" s="2" t="s">
        <v>13</v>
      </c>
      <c r="J976" s="2">
        <v>1.76</v>
      </c>
      <c r="K976" s="2" t="str">
        <f t="shared" si="41"/>
        <v>&lt; 5kg</v>
      </c>
      <c r="L976" s="2">
        <f>tdata[[#This Row],[Received_date]]-tdata[[#This Row],[Shipment_Date]]</f>
        <v>3</v>
      </c>
      <c r="M976" s="2">
        <f>VLOOKUP(tdata[[#This Row],[Service_Type]],Table2[#All],2,0)</f>
        <v>3</v>
      </c>
      <c r="N976" s="2" t="str">
        <f>IF(tdata[[#This Row],[Delivery_Days]]&lt;=tdata[[#This Row],[SLA_Days]],"On Time","Late")</f>
        <v>On Time</v>
      </c>
      <c r="O976" s="2">
        <f>VLOOKUP(tdata[[#This Row],[Service_Type]],Table2[#All],4,0)</f>
        <v>10000</v>
      </c>
      <c r="P976" s="2">
        <f>tdata[[#This Row],[price_per_kilo]]*tdata[[#This Row],[Weight_KG]]</f>
        <v>17600</v>
      </c>
      <c r="Q976" s="2" t="str">
        <f>VLOOKUP(tdata[[#This Row],[id_employee]],temployee[#All],2,0)</f>
        <v>Wira Nugraha</v>
      </c>
      <c r="R976" s="2" t="str">
        <f>VLOOKUP(tdata[[#This Row],[id_employee]],temployee[#All],4,0)</f>
        <v>internal</v>
      </c>
      <c r="S976" s="9" t="str">
        <f>VLOOKUP(tdata[[#This Row],[id_employee]],temployee[#All],5,0)</f>
        <v>driver</v>
      </c>
    </row>
    <row r="977" spans="2:19" x14ac:dyDescent="0.35">
      <c r="B977" s="8" t="s">
        <v>996</v>
      </c>
      <c r="C977" s="2" t="s">
        <v>1346</v>
      </c>
      <c r="D977" s="5">
        <v>45654</v>
      </c>
      <c r="E977" s="5">
        <v>45656</v>
      </c>
      <c r="F977" s="2" t="s">
        <v>22</v>
      </c>
      <c r="G977" s="2" t="s">
        <v>22</v>
      </c>
      <c r="H977" s="2" t="s">
        <v>1224</v>
      </c>
      <c r="I977" s="2" t="s">
        <v>17</v>
      </c>
      <c r="J977" s="2">
        <v>6.76</v>
      </c>
      <c r="K977" s="2" t="str">
        <f t="shared" si="41"/>
        <v>&gt;5kg</v>
      </c>
      <c r="L977" s="2">
        <f>tdata[[#This Row],[Received_date]]-tdata[[#This Row],[Shipment_Date]]</f>
        <v>2</v>
      </c>
      <c r="M977" s="2">
        <f>VLOOKUP(tdata[[#This Row],[Service_Type]],Table2[#All],2,0)</f>
        <v>3</v>
      </c>
      <c r="N977" s="2" t="str">
        <f>IF(tdata[[#This Row],[Delivery_Days]]&lt;=tdata[[#This Row],[SLA_Days]],"On Time","Late")</f>
        <v>On Time</v>
      </c>
      <c r="O977" s="2">
        <f>VLOOKUP(tdata[[#This Row],[Service_Type]],Table2[#All],4,0)</f>
        <v>10000</v>
      </c>
      <c r="P977" s="2">
        <f>tdata[[#This Row],[price_per_kilo]]*tdata[[#This Row],[Weight_KG]]</f>
        <v>67600</v>
      </c>
      <c r="Q977" s="2" t="str">
        <f>VLOOKUP(tdata[[#This Row],[id_employee]],temployee[#All],2,0)</f>
        <v>Xaverius Adi</v>
      </c>
      <c r="R977" s="2" t="str">
        <f>VLOOKUP(tdata[[#This Row],[id_employee]],temployee[#All],4,0)</f>
        <v>crowd source</v>
      </c>
      <c r="S977" s="9" t="str">
        <f>VLOOKUP(tdata[[#This Row],[id_employee]],temployee[#All],5,0)</f>
        <v>driver</v>
      </c>
    </row>
    <row r="978" spans="2:19" x14ac:dyDescent="0.35">
      <c r="B978" s="8" t="s">
        <v>997</v>
      </c>
      <c r="C978" s="2" t="s">
        <v>1347</v>
      </c>
      <c r="D978" s="5">
        <v>45377</v>
      </c>
      <c r="E978" s="5">
        <v>45379</v>
      </c>
      <c r="F978" s="2" t="s">
        <v>12</v>
      </c>
      <c r="G978" s="2" t="s">
        <v>20</v>
      </c>
      <c r="H978" s="2" t="s">
        <v>1224</v>
      </c>
      <c r="I978" s="2" t="s">
        <v>17</v>
      </c>
      <c r="J978" s="2">
        <v>1.7</v>
      </c>
      <c r="K978" s="2" t="str">
        <f t="shared" si="41"/>
        <v>&lt; 5kg</v>
      </c>
      <c r="L978" s="2">
        <f>tdata[[#This Row],[Received_date]]-tdata[[#This Row],[Shipment_Date]]</f>
        <v>2</v>
      </c>
      <c r="M978" s="2">
        <f>VLOOKUP(tdata[[#This Row],[Service_Type]],Table2[#All],2,0)</f>
        <v>3</v>
      </c>
      <c r="N978" s="2" t="str">
        <f>IF(tdata[[#This Row],[Delivery_Days]]&lt;=tdata[[#This Row],[SLA_Days]],"On Time","Late")</f>
        <v>On Time</v>
      </c>
      <c r="O978" s="2">
        <f>VLOOKUP(tdata[[#This Row],[Service_Type]],Table2[#All],4,0)</f>
        <v>10000</v>
      </c>
      <c r="P978" s="2">
        <f>tdata[[#This Row],[price_per_kilo]]*tdata[[#This Row],[Weight_KG]]</f>
        <v>17000</v>
      </c>
      <c r="Q978" s="2" t="str">
        <f>VLOOKUP(tdata[[#This Row],[id_employee]],temployee[#All],2,0)</f>
        <v>Yuliana Kartini</v>
      </c>
      <c r="R978" s="2" t="str">
        <f>VLOOKUP(tdata[[#This Row],[id_employee]],temployee[#All],4,0)</f>
        <v>internal</v>
      </c>
      <c r="S978" s="9" t="str">
        <f>VLOOKUP(tdata[[#This Row],[id_employee]],temployee[#All],5,0)</f>
        <v>rider</v>
      </c>
    </row>
    <row r="979" spans="2:19" x14ac:dyDescent="0.35">
      <c r="B979" s="8" t="s">
        <v>998</v>
      </c>
      <c r="C979" s="2" t="s">
        <v>1348</v>
      </c>
      <c r="D979" s="5">
        <v>45259</v>
      </c>
      <c r="E979" s="5">
        <v>45259</v>
      </c>
      <c r="F979" s="2" t="s">
        <v>30</v>
      </c>
      <c r="G979" s="2" t="s">
        <v>16</v>
      </c>
      <c r="H979" s="2" t="s">
        <v>1223</v>
      </c>
      <c r="I979" s="2" t="s">
        <v>17</v>
      </c>
      <c r="J979" s="2">
        <v>2.63</v>
      </c>
      <c r="K979" s="2" t="str">
        <f t="shared" si="41"/>
        <v>&lt; 5kg</v>
      </c>
      <c r="L979" s="2">
        <f>tdata[[#This Row],[Received_date]]-tdata[[#This Row],[Shipment_Date]]</f>
        <v>0</v>
      </c>
      <c r="M979" s="2">
        <f>VLOOKUP(tdata[[#This Row],[Service_Type]],Table2[#All],2,0)</f>
        <v>1</v>
      </c>
      <c r="N979" s="2" t="str">
        <f>IF(tdata[[#This Row],[Delivery_Days]]&lt;=tdata[[#This Row],[SLA_Days]],"On Time","Late")</f>
        <v>On Time</v>
      </c>
      <c r="O979" s="2">
        <f>VLOOKUP(tdata[[#This Row],[Service_Type]],Table2[#All],4,0)</f>
        <v>12000</v>
      </c>
      <c r="P979" s="2">
        <f>tdata[[#This Row],[price_per_kilo]]*tdata[[#This Row],[Weight_KG]]</f>
        <v>31560</v>
      </c>
      <c r="Q979" s="2" t="str">
        <f>VLOOKUP(tdata[[#This Row],[id_employee]],temployee[#All],2,0)</f>
        <v>Zaki Alamsyah</v>
      </c>
      <c r="R979" s="2" t="str">
        <f>VLOOKUP(tdata[[#This Row],[id_employee]],temployee[#All],4,0)</f>
        <v>internal</v>
      </c>
      <c r="S979" s="9" t="str">
        <f>VLOOKUP(tdata[[#This Row],[id_employee]],temployee[#All],5,0)</f>
        <v>rider</v>
      </c>
    </row>
    <row r="980" spans="2:19" x14ac:dyDescent="0.35">
      <c r="B980" s="8" t="s">
        <v>999</v>
      </c>
      <c r="C980" s="2" t="s">
        <v>1349</v>
      </c>
      <c r="D980" s="5">
        <v>45586</v>
      </c>
      <c r="E980" s="5">
        <v>45586</v>
      </c>
      <c r="F980" s="2" t="s">
        <v>32</v>
      </c>
      <c r="G980" s="2" t="s">
        <v>15</v>
      </c>
      <c r="H980" s="2" t="s">
        <v>1224</v>
      </c>
      <c r="I980" s="2" t="s">
        <v>17</v>
      </c>
      <c r="J980" s="2">
        <v>7.13</v>
      </c>
      <c r="K980" s="2" t="str">
        <f t="shared" si="41"/>
        <v>&gt;5kg</v>
      </c>
      <c r="L980" s="2">
        <f>tdata[[#This Row],[Received_date]]-tdata[[#This Row],[Shipment_Date]]</f>
        <v>0</v>
      </c>
      <c r="M980" s="2">
        <f>VLOOKUP(tdata[[#This Row],[Service_Type]],Table2[#All],2,0)</f>
        <v>3</v>
      </c>
      <c r="N980" s="2" t="str">
        <f>IF(tdata[[#This Row],[Delivery_Days]]&lt;=tdata[[#This Row],[SLA_Days]],"On Time","Late")</f>
        <v>On Time</v>
      </c>
      <c r="O980" s="2">
        <f>VLOOKUP(tdata[[#This Row],[Service_Type]],Table2[#All],4,0)</f>
        <v>10000</v>
      </c>
      <c r="P980" s="2">
        <f>tdata[[#This Row],[price_per_kilo]]*tdata[[#This Row],[Weight_KG]]</f>
        <v>71300</v>
      </c>
      <c r="Q980" s="2" t="str">
        <f>VLOOKUP(tdata[[#This Row],[id_employee]],temployee[#All],2,0)</f>
        <v>Arief Setyawan</v>
      </c>
      <c r="R980" s="2" t="str">
        <f>VLOOKUP(tdata[[#This Row],[id_employee]],temployee[#All],4,0)</f>
        <v>crowd source</v>
      </c>
      <c r="S980" s="9" t="str">
        <f>VLOOKUP(tdata[[#This Row],[id_employee]],temployee[#All],5,0)</f>
        <v>driver</v>
      </c>
    </row>
    <row r="981" spans="2:19" x14ac:dyDescent="0.35">
      <c r="B981" s="8" t="s">
        <v>1000</v>
      </c>
      <c r="C981" s="2" t="s">
        <v>1350</v>
      </c>
      <c r="D981" s="5">
        <v>45559</v>
      </c>
      <c r="E981" s="5">
        <f>D981+4</f>
        <v>45563</v>
      </c>
      <c r="F981" s="2" t="s">
        <v>16</v>
      </c>
      <c r="G981" s="2" t="s">
        <v>16</v>
      </c>
      <c r="H981" s="2" t="s">
        <v>23</v>
      </c>
      <c r="I981" s="2" t="s">
        <v>13</v>
      </c>
      <c r="J981" s="2">
        <v>9.3699999999999992</v>
      </c>
      <c r="K981" s="2" t="str">
        <f t="shared" si="41"/>
        <v>&gt;5kg</v>
      </c>
      <c r="L981" s="2">
        <f>tdata[[#This Row],[Received_date]]-tdata[[#This Row],[Shipment_Date]]</f>
        <v>4</v>
      </c>
      <c r="M981" s="2">
        <f>VLOOKUP(tdata[[#This Row],[Service_Type]],Table2[#All],2,0)</f>
        <v>5</v>
      </c>
      <c r="N981" s="2" t="str">
        <f>IF(tdata[[#This Row],[Delivery_Days]]&lt;=tdata[[#This Row],[SLA_Days]],"On Time","Late")</f>
        <v>On Time</v>
      </c>
      <c r="O981" s="2">
        <f>VLOOKUP(tdata[[#This Row],[Service_Type]],Table2[#All],4,0)</f>
        <v>9000</v>
      </c>
      <c r="P981" s="2">
        <f>tdata[[#This Row],[price_per_kilo]]*tdata[[#This Row],[Weight_KG]]</f>
        <v>84330</v>
      </c>
      <c r="Q981" s="2" t="str">
        <f>VLOOKUP(tdata[[#This Row],[id_employee]],temployee[#All],2,0)</f>
        <v>Bunga Cahyani</v>
      </c>
      <c r="R981" s="2" t="str">
        <f>VLOOKUP(tdata[[#This Row],[id_employee]],temployee[#All],4,0)</f>
        <v>internal</v>
      </c>
      <c r="S981" s="9" t="str">
        <f>VLOOKUP(tdata[[#This Row],[id_employee]],temployee[#All],5,0)</f>
        <v>rider</v>
      </c>
    </row>
    <row r="982" spans="2:19" x14ac:dyDescent="0.35">
      <c r="B982" s="8" t="s">
        <v>1001</v>
      </c>
      <c r="C982" s="2" t="s">
        <v>1351</v>
      </c>
      <c r="D982" s="5">
        <v>44955</v>
      </c>
      <c r="E982" s="5">
        <v>44958</v>
      </c>
      <c r="F982" s="2" t="s">
        <v>26</v>
      </c>
      <c r="G982" s="2" t="s">
        <v>32</v>
      </c>
      <c r="H982" s="2" t="s">
        <v>23</v>
      </c>
      <c r="I982" s="2" t="s">
        <v>13</v>
      </c>
      <c r="J982" s="2">
        <v>9.61</v>
      </c>
      <c r="K982" s="2" t="str">
        <f t="shared" si="41"/>
        <v>&gt;5kg</v>
      </c>
      <c r="L982" s="2">
        <f>tdata[[#This Row],[Received_date]]-tdata[[#This Row],[Shipment_Date]]</f>
        <v>3</v>
      </c>
      <c r="M982" s="2">
        <f>VLOOKUP(tdata[[#This Row],[Service_Type]],Table2[#All],2,0)</f>
        <v>5</v>
      </c>
      <c r="N982" s="2" t="str">
        <f>IF(tdata[[#This Row],[Delivery_Days]]&lt;=tdata[[#This Row],[SLA_Days]],"On Time","Late")</f>
        <v>On Time</v>
      </c>
      <c r="O982" s="2">
        <f>VLOOKUP(tdata[[#This Row],[Service_Type]],Table2[#All],4,0)</f>
        <v>9000</v>
      </c>
      <c r="P982" s="2">
        <f>tdata[[#This Row],[price_per_kilo]]*tdata[[#This Row],[Weight_KG]]</f>
        <v>86490</v>
      </c>
      <c r="Q982" s="2" t="str">
        <f>VLOOKUP(tdata[[#This Row],[id_employee]],temployee[#All],2,0)</f>
        <v>Cahyo Prabowo</v>
      </c>
      <c r="R982" s="2" t="str">
        <f>VLOOKUP(tdata[[#This Row],[id_employee]],temployee[#All],4,0)</f>
        <v>internal</v>
      </c>
      <c r="S982" s="9" t="str">
        <f>VLOOKUP(tdata[[#This Row],[id_employee]],temployee[#All],5,0)</f>
        <v>driver</v>
      </c>
    </row>
    <row r="983" spans="2:19" x14ac:dyDescent="0.35">
      <c r="B983" s="8" t="s">
        <v>1002</v>
      </c>
      <c r="C983" s="2" t="s">
        <v>1352</v>
      </c>
      <c r="D983" s="5">
        <v>45152</v>
      </c>
      <c r="E983" s="5">
        <v>45155</v>
      </c>
      <c r="F983" s="2" t="s">
        <v>49</v>
      </c>
      <c r="G983" s="2" t="s">
        <v>26</v>
      </c>
      <c r="H983" s="2" t="s">
        <v>23</v>
      </c>
      <c r="I983" s="2" t="s">
        <v>13</v>
      </c>
      <c r="J983" s="2">
        <v>4.71</v>
      </c>
      <c r="K983" s="2" t="str">
        <f t="shared" si="41"/>
        <v>&lt; 5kg</v>
      </c>
      <c r="L983" s="2">
        <f>tdata[[#This Row],[Received_date]]-tdata[[#This Row],[Shipment_Date]]</f>
        <v>3</v>
      </c>
      <c r="M983" s="2">
        <f>VLOOKUP(tdata[[#This Row],[Service_Type]],Table2[#All],2,0)</f>
        <v>5</v>
      </c>
      <c r="N983" s="2" t="str">
        <f>IF(tdata[[#This Row],[Delivery_Days]]&lt;=tdata[[#This Row],[SLA_Days]],"On Time","Late")</f>
        <v>On Time</v>
      </c>
      <c r="O983" s="2">
        <f>VLOOKUP(tdata[[#This Row],[Service_Type]],Table2[#All],4,0)</f>
        <v>9000</v>
      </c>
      <c r="P983" s="2">
        <f>tdata[[#This Row],[price_per_kilo]]*tdata[[#This Row],[Weight_KG]]</f>
        <v>42390</v>
      </c>
      <c r="Q983" s="2" t="str">
        <f>VLOOKUP(tdata[[#This Row],[id_employee]],temployee[#All],2,0)</f>
        <v>Diah Permata</v>
      </c>
      <c r="R983" s="2" t="str">
        <f>VLOOKUP(tdata[[#This Row],[id_employee]],temployee[#All],4,0)</f>
        <v>crowd source</v>
      </c>
      <c r="S983" s="9" t="str">
        <f>VLOOKUP(tdata[[#This Row],[id_employee]],temployee[#All],5,0)</f>
        <v>rider</v>
      </c>
    </row>
    <row r="984" spans="2:19" x14ac:dyDescent="0.35">
      <c r="B984" s="8" t="s">
        <v>1003</v>
      </c>
      <c r="C984" s="2" t="s">
        <v>1353</v>
      </c>
      <c r="D984" s="5">
        <v>45547</v>
      </c>
      <c r="E984" s="5">
        <v>45548</v>
      </c>
      <c r="F984" s="2" t="s">
        <v>11</v>
      </c>
      <c r="G984" s="2" t="s">
        <v>16</v>
      </c>
      <c r="H984" s="2" t="s">
        <v>1224</v>
      </c>
      <c r="I984" s="2" t="s">
        <v>17</v>
      </c>
      <c r="J984" s="2">
        <v>2.54</v>
      </c>
      <c r="K984" s="2" t="str">
        <f t="shared" si="41"/>
        <v>&lt; 5kg</v>
      </c>
      <c r="L984" s="2">
        <f>tdata[[#This Row],[Received_date]]-tdata[[#This Row],[Shipment_Date]]</f>
        <v>1</v>
      </c>
      <c r="M984" s="2">
        <f>VLOOKUP(tdata[[#This Row],[Service_Type]],Table2[#All],2,0)</f>
        <v>3</v>
      </c>
      <c r="N984" s="2" t="str">
        <f>IF(tdata[[#This Row],[Delivery_Days]]&lt;=tdata[[#This Row],[SLA_Days]],"On Time","Late")</f>
        <v>On Time</v>
      </c>
      <c r="O984" s="2">
        <f>VLOOKUP(tdata[[#This Row],[Service_Type]],Table2[#All],4,0)</f>
        <v>10000</v>
      </c>
      <c r="P984" s="2">
        <f>tdata[[#This Row],[price_per_kilo]]*tdata[[#This Row],[Weight_KG]]</f>
        <v>25400</v>
      </c>
      <c r="Q984" s="2" t="str">
        <f>VLOOKUP(tdata[[#This Row],[id_employee]],temployee[#All],2,0)</f>
        <v>Evania Putri</v>
      </c>
      <c r="R984" s="2" t="str">
        <f>VLOOKUP(tdata[[#This Row],[id_employee]],temployee[#All],4,0)</f>
        <v>internal</v>
      </c>
      <c r="S984" s="9" t="str">
        <f>VLOOKUP(tdata[[#This Row],[id_employee]],temployee[#All],5,0)</f>
        <v>rider</v>
      </c>
    </row>
    <row r="985" spans="2:19" x14ac:dyDescent="0.35">
      <c r="B985" s="8" t="s">
        <v>1004</v>
      </c>
      <c r="C985" s="2" t="s">
        <v>1354</v>
      </c>
      <c r="D985" s="5">
        <v>45653</v>
      </c>
      <c r="E985" s="5">
        <v>45657</v>
      </c>
      <c r="F985" s="2" t="s">
        <v>15</v>
      </c>
      <c r="G985" s="2" t="s">
        <v>30</v>
      </c>
      <c r="H985" s="2" t="s">
        <v>23</v>
      </c>
      <c r="I985" s="2" t="s">
        <v>17</v>
      </c>
      <c r="J985" s="2">
        <v>1.92</v>
      </c>
      <c r="K985" s="2" t="str">
        <f t="shared" si="41"/>
        <v>&lt; 5kg</v>
      </c>
      <c r="L985" s="2">
        <f>tdata[[#This Row],[Received_date]]-tdata[[#This Row],[Shipment_Date]]</f>
        <v>4</v>
      </c>
      <c r="M985" s="2">
        <f>VLOOKUP(tdata[[#This Row],[Service_Type]],Table2[#All],2,0)</f>
        <v>5</v>
      </c>
      <c r="N985" s="2" t="str">
        <f>IF(tdata[[#This Row],[Delivery_Days]]&lt;=tdata[[#This Row],[SLA_Days]],"On Time","Late")</f>
        <v>On Time</v>
      </c>
      <c r="O985" s="2">
        <f>VLOOKUP(tdata[[#This Row],[Service_Type]],Table2[#All],4,0)</f>
        <v>9000</v>
      </c>
      <c r="P985" s="2">
        <f>tdata[[#This Row],[price_per_kilo]]*tdata[[#This Row],[Weight_KG]]</f>
        <v>17280</v>
      </c>
      <c r="Q985" s="2" t="str">
        <f>VLOOKUP(tdata[[#This Row],[id_employee]],temployee[#All],2,0)</f>
        <v>Fikri Ramadhan</v>
      </c>
      <c r="R985" s="2" t="str">
        <f>VLOOKUP(tdata[[#This Row],[id_employee]],temployee[#All],4,0)</f>
        <v>crowd source</v>
      </c>
      <c r="S985" s="9" t="str">
        <f>VLOOKUP(tdata[[#This Row],[id_employee]],temployee[#All],5,0)</f>
        <v>driver</v>
      </c>
    </row>
    <row r="986" spans="2:19" x14ac:dyDescent="0.35">
      <c r="B986" s="8" t="s">
        <v>1005</v>
      </c>
      <c r="C986" s="2" t="s">
        <v>1355</v>
      </c>
      <c r="D986" s="5">
        <v>45223</v>
      </c>
      <c r="E986" s="5">
        <v>45224</v>
      </c>
      <c r="F986" s="2" t="s">
        <v>20</v>
      </c>
      <c r="G986" s="2" t="s">
        <v>11</v>
      </c>
      <c r="H986" s="2" t="s">
        <v>1223</v>
      </c>
      <c r="I986" s="2" t="s">
        <v>17</v>
      </c>
      <c r="J986" s="2">
        <v>2.42</v>
      </c>
      <c r="K986" s="2" t="str">
        <f t="shared" si="41"/>
        <v>&lt; 5kg</v>
      </c>
      <c r="L986" s="2">
        <f>tdata[[#This Row],[Received_date]]-tdata[[#This Row],[Shipment_Date]]</f>
        <v>1</v>
      </c>
      <c r="M986" s="2">
        <f>VLOOKUP(tdata[[#This Row],[Service_Type]],Table2[#All],2,0)</f>
        <v>1</v>
      </c>
      <c r="N986" s="2" t="str">
        <f>IF(tdata[[#This Row],[Delivery_Days]]&lt;=tdata[[#This Row],[SLA_Days]],"On Time","Late")</f>
        <v>On Time</v>
      </c>
      <c r="O986" s="2">
        <f>VLOOKUP(tdata[[#This Row],[Service_Type]],Table2[#All],4,0)</f>
        <v>12000</v>
      </c>
      <c r="P986" s="2">
        <f>tdata[[#This Row],[price_per_kilo]]*tdata[[#This Row],[Weight_KG]]</f>
        <v>29040</v>
      </c>
      <c r="Q986" s="2" t="str">
        <f>VLOOKUP(tdata[[#This Row],[id_employee]],temployee[#All],2,0)</f>
        <v>Gilang Ramli</v>
      </c>
      <c r="R986" s="2" t="str">
        <f>VLOOKUP(tdata[[#This Row],[id_employee]],temployee[#All],4,0)</f>
        <v>internal</v>
      </c>
      <c r="S986" s="9" t="str">
        <f>VLOOKUP(tdata[[#This Row],[id_employee]],temployee[#All],5,0)</f>
        <v>rider</v>
      </c>
    </row>
    <row r="987" spans="2:19" x14ac:dyDescent="0.35">
      <c r="B987" s="8" t="s">
        <v>1006</v>
      </c>
      <c r="C987" s="2" t="s">
        <v>1356</v>
      </c>
      <c r="D987" s="5">
        <v>45152</v>
      </c>
      <c r="E987" s="5">
        <f>D987+4</f>
        <v>45156</v>
      </c>
      <c r="F987" s="2" t="s">
        <v>22</v>
      </c>
      <c r="G987" s="2" t="s">
        <v>16</v>
      </c>
      <c r="H987" s="2" t="s">
        <v>1224</v>
      </c>
      <c r="I987" s="2" t="s">
        <v>13</v>
      </c>
      <c r="J987" s="2">
        <v>7.11</v>
      </c>
      <c r="K987" s="2" t="str">
        <f t="shared" si="41"/>
        <v>&gt;5kg</v>
      </c>
      <c r="L987" s="2">
        <f>tdata[[#This Row],[Received_date]]-tdata[[#This Row],[Shipment_Date]]</f>
        <v>4</v>
      </c>
      <c r="M987" s="2">
        <f>VLOOKUP(tdata[[#This Row],[Service_Type]],Table2[#All],2,0)</f>
        <v>3</v>
      </c>
      <c r="N987" s="2" t="str">
        <f>IF(tdata[[#This Row],[Delivery_Days]]&lt;=tdata[[#This Row],[SLA_Days]],"On Time","Late")</f>
        <v>Late</v>
      </c>
      <c r="O987" s="2">
        <f>VLOOKUP(tdata[[#This Row],[Service_Type]],Table2[#All],4,0)</f>
        <v>10000</v>
      </c>
      <c r="P987" s="2">
        <f>tdata[[#This Row],[price_per_kilo]]*tdata[[#This Row],[Weight_KG]]</f>
        <v>71100</v>
      </c>
      <c r="Q987" s="2" t="str">
        <f>VLOOKUP(tdata[[#This Row],[id_employee]],temployee[#All],2,0)</f>
        <v>Hana Zahra</v>
      </c>
      <c r="R987" s="2" t="str">
        <f>VLOOKUP(tdata[[#This Row],[id_employee]],temployee[#All],4,0)</f>
        <v>internal</v>
      </c>
      <c r="S987" s="9" t="str">
        <f>VLOOKUP(tdata[[#This Row],[id_employee]],temployee[#All],5,0)</f>
        <v>rider</v>
      </c>
    </row>
    <row r="988" spans="2:19" x14ac:dyDescent="0.35">
      <c r="B988" s="8" t="s">
        <v>1007</v>
      </c>
      <c r="C988" s="2" t="s">
        <v>1357</v>
      </c>
      <c r="D988" s="5">
        <v>44953</v>
      </c>
      <c r="E988" s="5">
        <v>44958</v>
      </c>
      <c r="F988" s="2" t="s">
        <v>12</v>
      </c>
      <c r="G988" s="2" t="s">
        <v>22</v>
      </c>
      <c r="H988" s="2" t="s">
        <v>1224</v>
      </c>
      <c r="I988" s="2" t="s">
        <v>17</v>
      </c>
      <c r="J988" s="2">
        <v>9.0299999999999994</v>
      </c>
      <c r="K988" s="2" t="str">
        <f t="shared" si="41"/>
        <v>&gt;5kg</v>
      </c>
      <c r="L988" s="2">
        <f>tdata[[#This Row],[Received_date]]-tdata[[#This Row],[Shipment_Date]]</f>
        <v>5</v>
      </c>
      <c r="M988" s="2">
        <f>VLOOKUP(tdata[[#This Row],[Service_Type]],Table2[#All],2,0)</f>
        <v>3</v>
      </c>
      <c r="N988" s="2" t="str">
        <f>IF(tdata[[#This Row],[Delivery_Days]]&lt;=tdata[[#This Row],[SLA_Days]],"On Time","Late")</f>
        <v>Late</v>
      </c>
      <c r="O988" s="2">
        <f>VLOOKUP(tdata[[#This Row],[Service_Type]],Table2[#All],4,0)</f>
        <v>10000</v>
      </c>
      <c r="P988" s="2">
        <f>tdata[[#This Row],[price_per_kilo]]*tdata[[#This Row],[Weight_KG]]</f>
        <v>90300</v>
      </c>
      <c r="Q988" s="2" t="str">
        <f>VLOOKUP(tdata[[#This Row],[id_employee]],temployee[#All],2,0)</f>
        <v>Irfan Maulana</v>
      </c>
      <c r="R988" s="2" t="str">
        <f>VLOOKUP(tdata[[#This Row],[id_employee]],temployee[#All],4,0)</f>
        <v>internal</v>
      </c>
      <c r="S988" s="9" t="str">
        <f>VLOOKUP(tdata[[#This Row],[id_employee]],temployee[#All],5,0)</f>
        <v>driver</v>
      </c>
    </row>
    <row r="989" spans="2:19" x14ac:dyDescent="0.35">
      <c r="B989" s="8" t="s">
        <v>1008</v>
      </c>
      <c r="C989" s="2" t="s">
        <v>1358</v>
      </c>
      <c r="D989" s="5">
        <v>45229</v>
      </c>
      <c r="E989" s="5">
        <v>45230</v>
      </c>
      <c r="F989" s="2" t="s">
        <v>30</v>
      </c>
      <c r="G989" s="2" t="s">
        <v>11</v>
      </c>
      <c r="H989" s="2" t="s">
        <v>1223</v>
      </c>
      <c r="I989" s="2" t="s">
        <v>17</v>
      </c>
      <c r="J989" s="2">
        <v>1.19</v>
      </c>
      <c r="K989" s="2" t="str">
        <f t="shared" si="41"/>
        <v>&lt; 5kg</v>
      </c>
      <c r="L989" s="2">
        <f>tdata[[#This Row],[Received_date]]-tdata[[#This Row],[Shipment_Date]]</f>
        <v>1</v>
      </c>
      <c r="M989" s="2">
        <f>VLOOKUP(tdata[[#This Row],[Service_Type]],Table2[#All],2,0)</f>
        <v>1</v>
      </c>
      <c r="N989" s="2" t="str">
        <f>IF(tdata[[#This Row],[Delivery_Days]]&lt;=tdata[[#This Row],[SLA_Days]],"On Time","Late")</f>
        <v>On Time</v>
      </c>
      <c r="O989" s="2">
        <f>VLOOKUP(tdata[[#This Row],[Service_Type]],Table2[#All],4,0)</f>
        <v>12000</v>
      </c>
      <c r="P989" s="2">
        <f>tdata[[#This Row],[price_per_kilo]]*tdata[[#This Row],[Weight_KG]]</f>
        <v>14280</v>
      </c>
      <c r="Q989" s="2" t="str">
        <f>VLOOKUP(tdata[[#This Row],[id_employee]],temployee[#All],2,0)</f>
        <v>Jihan Salsabila</v>
      </c>
      <c r="R989" s="2" t="str">
        <f>VLOOKUP(tdata[[#This Row],[id_employee]],temployee[#All],4,0)</f>
        <v>crowd source</v>
      </c>
      <c r="S989" s="9" t="str">
        <f>VLOOKUP(tdata[[#This Row],[id_employee]],temployee[#All],5,0)</f>
        <v>rider</v>
      </c>
    </row>
    <row r="990" spans="2:19" x14ac:dyDescent="0.35">
      <c r="B990" s="8" t="s">
        <v>1009</v>
      </c>
      <c r="C990" s="2" t="s">
        <v>1359</v>
      </c>
      <c r="D990" s="5">
        <v>45049</v>
      </c>
      <c r="E990" s="5">
        <v>45058</v>
      </c>
      <c r="F990" s="2" t="s">
        <v>32</v>
      </c>
      <c r="G990" s="2" t="s">
        <v>20</v>
      </c>
      <c r="H990" s="2" t="s">
        <v>1224</v>
      </c>
      <c r="I990" s="2" t="s">
        <v>13</v>
      </c>
      <c r="J990" s="2">
        <v>8.66</v>
      </c>
      <c r="K990" s="2" t="str">
        <f t="shared" si="41"/>
        <v>&gt;5kg</v>
      </c>
      <c r="L990" s="2">
        <f>tdata[[#This Row],[Received_date]]-tdata[[#This Row],[Shipment_Date]]</f>
        <v>9</v>
      </c>
      <c r="M990" s="2">
        <f>VLOOKUP(tdata[[#This Row],[Service_Type]],Table2[#All],2,0)</f>
        <v>3</v>
      </c>
      <c r="N990" s="2" t="str">
        <f>IF(tdata[[#This Row],[Delivery_Days]]&lt;=tdata[[#This Row],[SLA_Days]],"On Time","Late")</f>
        <v>Late</v>
      </c>
      <c r="O990" s="2">
        <f>VLOOKUP(tdata[[#This Row],[Service_Type]],Table2[#All],4,0)</f>
        <v>10000</v>
      </c>
      <c r="P990" s="2">
        <f>tdata[[#This Row],[price_per_kilo]]*tdata[[#This Row],[Weight_KG]]</f>
        <v>86600</v>
      </c>
      <c r="Q990" s="2" t="str">
        <f>VLOOKUP(tdata[[#This Row],[id_employee]],temployee[#All],2,0)</f>
        <v>Koko Santoso</v>
      </c>
      <c r="R990" s="2" t="str">
        <f>VLOOKUP(tdata[[#This Row],[id_employee]],temployee[#All],4,0)</f>
        <v>internal</v>
      </c>
      <c r="S990" s="9" t="str">
        <f>VLOOKUP(tdata[[#This Row],[id_employee]],temployee[#All],5,0)</f>
        <v>rider</v>
      </c>
    </row>
    <row r="991" spans="2:19" x14ac:dyDescent="0.35">
      <c r="B991" s="8" t="s">
        <v>1010</v>
      </c>
      <c r="C991" s="2" t="s">
        <v>1360</v>
      </c>
      <c r="D991" s="5">
        <v>45642</v>
      </c>
      <c r="E991" s="5">
        <v>45643</v>
      </c>
      <c r="F991" s="2" t="s">
        <v>16</v>
      </c>
      <c r="G991" s="2" t="s">
        <v>30</v>
      </c>
      <c r="H991" s="2" t="s">
        <v>23</v>
      </c>
      <c r="I991" s="2" t="s">
        <v>13</v>
      </c>
      <c r="J991" s="2">
        <v>8.3000000000000007</v>
      </c>
      <c r="K991" s="2" t="str">
        <f t="shared" si="41"/>
        <v>&gt;5kg</v>
      </c>
      <c r="L991" s="2">
        <f>tdata[[#This Row],[Received_date]]-tdata[[#This Row],[Shipment_Date]]</f>
        <v>1</v>
      </c>
      <c r="M991" s="2">
        <f>VLOOKUP(tdata[[#This Row],[Service_Type]],Table2[#All],2,0)</f>
        <v>5</v>
      </c>
      <c r="N991" s="2" t="str">
        <f>IF(tdata[[#This Row],[Delivery_Days]]&lt;=tdata[[#This Row],[SLA_Days]],"On Time","Late")</f>
        <v>On Time</v>
      </c>
      <c r="O991" s="2">
        <f>VLOOKUP(tdata[[#This Row],[Service_Type]],Table2[#All],4,0)</f>
        <v>9000</v>
      </c>
      <c r="P991" s="2">
        <f>tdata[[#This Row],[price_per_kilo]]*tdata[[#This Row],[Weight_KG]]</f>
        <v>74700</v>
      </c>
      <c r="Q991" s="2" t="str">
        <f>VLOOKUP(tdata[[#This Row],[id_employee]],temployee[#All],2,0)</f>
        <v>Luthfi Hakim</v>
      </c>
      <c r="R991" s="2" t="str">
        <f>VLOOKUP(tdata[[#This Row],[id_employee]],temployee[#All],4,0)</f>
        <v>crowd source</v>
      </c>
      <c r="S991" s="9" t="str">
        <f>VLOOKUP(tdata[[#This Row],[id_employee]],temployee[#All],5,0)</f>
        <v>driver</v>
      </c>
    </row>
    <row r="992" spans="2:19" x14ac:dyDescent="0.35">
      <c r="B992" s="8" t="s">
        <v>1011</v>
      </c>
      <c r="C992" s="2" t="s">
        <v>1361</v>
      </c>
      <c r="D992" s="5">
        <v>45137</v>
      </c>
      <c r="E992" s="5">
        <v>45147</v>
      </c>
      <c r="F992" s="2" t="s">
        <v>26</v>
      </c>
      <c r="G992" s="2" t="s">
        <v>49</v>
      </c>
      <c r="H992" s="2" t="s">
        <v>1224</v>
      </c>
      <c r="I992" s="2" t="s">
        <v>13</v>
      </c>
      <c r="J992" s="2">
        <v>7.62</v>
      </c>
      <c r="K992" s="2" t="str">
        <f t="shared" si="41"/>
        <v>&gt;5kg</v>
      </c>
      <c r="L992" s="2">
        <f>tdata[[#This Row],[Received_date]]-tdata[[#This Row],[Shipment_Date]]</f>
        <v>10</v>
      </c>
      <c r="M992" s="2">
        <f>VLOOKUP(tdata[[#This Row],[Service_Type]],Table2[#All],2,0)</f>
        <v>3</v>
      </c>
      <c r="N992" s="2" t="str">
        <f>IF(tdata[[#This Row],[Delivery_Days]]&lt;=tdata[[#This Row],[SLA_Days]],"On Time","Late")</f>
        <v>Late</v>
      </c>
      <c r="O992" s="2">
        <f>VLOOKUP(tdata[[#This Row],[Service_Type]],Table2[#All],4,0)</f>
        <v>10000</v>
      </c>
      <c r="P992" s="2">
        <f>tdata[[#This Row],[price_per_kilo]]*tdata[[#This Row],[Weight_KG]]</f>
        <v>76200</v>
      </c>
      <c r="Q992" s="2" t="str">
        <f>VLOOKUP(tdata[[#This Row],[id_employee]],temployee[#All],2,0)</f>
        <v>Melati Anggraini</v>
      </c>
      <c r="R992" s="2" t="str">
        <f>VLOOKUP(tdata[[#This Row],[id_employee]],temployee[#All],4,0)</f>
        <v>internal</v>
      </c>
      <c r="S992" s="9" t="str">
        <f>VLOOKUP(tdata[[#This Row],[id_employee]],temployee[#All],5,0)</f>
        <v>rider</v>
      </c>
    </row>
    <row r="993" spans="2:19" x14ac:dyDescent="0.35">
      <c r="B993" s="8" t="s">
        <v>1012</v>
      </c>
      <c r="C993" s="2" t="s">
        <v>1362</v>
      </c>
      <c r="D993" s="5">
        <v>45212</v>
      </c>
      <c r="E993" s="5">
        <v>45219</v>
      </c>
      <c r="F993" s="2" t="s">
        <v>49</v>
      </c>
      <c r="G993" s="2" t="s">
        <v>20</v>
      </c>
      <c r="H993" s="2" t="s">
        <v>1223</v>
      </c>
      <c r="I993" s="2" t="s">
        <v>13</v>
      </c>
      <c r="J993" s="2">
        <v>4.2699999999999996</v>
      </c>
      <c r="K993" s="2" t="str">
        <f t="shared" si="41"/>
        <v>&lt; 5kg</v>
      </c>
      <c r="L993" s="2">
        <f>tdata[[#This Row],[Received_date]]-tdata[[#This Row],[Shipment_Date]]</f>
        <v>7</v>
      </c>
      <c r="M993" s="2">
        <f>VLOOKUP(tdata[[#This Row],[Service_Type]],Table2[#All],2,0)</f>
        <v>1</v>
      </c>
      <c r="N993" s="2" t="str">
        <f>IF(tdata[[#This Row],[Delivery_Days]]&lt;=tdata[[#This Row],[SLA_Days]],"On Time","Late")</f>
        <v>Late</v>
      </c>
      <c r="O993" s="2">
        <f>VLOOKUP(tdata[[#This Row],[Service_Type]],Table2[#All],4,0)</f>
        <v>12000</v>
      </c>
      <c r="P993" s="2">
        <f>tdata[[#This Row],[price_per_kilo]]*tdata[[#This Row],[Weight_KG]]</f>
        <v>51239.999999999993</v>
      </c>
      <c r="Q993" s="2" t="str">
        <f>VLOOKUP(tdata[[#This Row],[id_employee]],temployee[#All],2,0)</f>
        <v>Naufal Rizky</v>
      </c>
      <c r="R993" s="2" t="str">
        <f>VLOOKUP(tdata[[#This Row],[id_employee]],temployee[#All],4,0)</f>
        <v>internal</v>
      </c>
      <c r="S993" s="9" t="str">
        <f>VLOOKUP(tdata[[#This Row],[id_employee]],temployee[#All],5,0)</f>
        <v>driver</v>
      </c>
    </row>
    <row r="994" spans="2:19" x14ac:dyDescent="0.35">
      <c r="B994" s="8" t="s">
        <v>1013</v>
      </c>
      <c r="C994" s="2" t="s">
        <v>1363</v>
      </c>
      <c r="D994" s="5">
        <v>45398</v>
      </c>
      <c r="E994" s="5">
        <v>45401</v>
      </c>
      <c r="F994" s="2" t="s">
        <v>11</v>
      </c>
      <c r="G994" s="2" t="s">
        <v>16</v>
      </c>
      <c r="H994" s="2" t="s">
        <v>1224</v>
      </c>
      <c r="I994" s="2" t="s">
        <v>17</v>
      </c>
      <c r="J994" s="2">
        <v>4.83</v>
      </c>
      <c r="K994" s="2" t="str">
        <f t="shared" si="41"/>
        <v>&lt; 5kg</v>
      </c>
      <c r="L994" s="2">
        <f>tdata[[#This Row],[Received_date]]-tdata[[#This Row],[Shipment_Date]]</f>
        <v>3</v>
      </c>
      <c r="M994" s="2">
        <f>VLOOKUP(tdata[[#This Row],[Service_Type]],Table2[#All],2,0)</f>
        <v>3</v>
      </c>
      <c r="N994" s="2" t="str">
        <f>IF(tdata[[#This Row],[Delivery_Days]]&lt;=tdata[[#This Row],[SLA_Days]],"On Time","Late")</f>
        <v>On Time</v>
      </c>
      <c r="O994" s="2">
        <f>VLOOKUP(tdata[[#This Row],[Service_Type]],Table2[#All],4,0)</f>
        <v>10000</v>
      </c>
      <c r="P994" s="2">
        <f>tdata[[#This Row],[price_per_kilo]]*tdata[[#This Row],[Weight_KG]]</f>
        <v>48300</v>
      </c>
      <c r="Q994" s="2" t="str">
        <f>VLOOKUP(tdata[[#This Row],[id_employee]],temployee[#All],2,0)</f>
        <v>Olin Febriani</v>
      </c>
      <c r="R994" s="2" t="str">
        <f>VLOOKUP(tdata[[#This Row],[id_employee]],temployee[#All],4,0)</f>
        <v>crowd source</v>
      </c>
      <c r="S994" s="9" t="str">
        <f>VLOOKUP(tdata[[#This Row],[id_employee]],temployee[#All],5,0)</f>
        <v>rider</v>
      </c>
    </row>
    <row r="995" spans="2:19" x14ac:dyDescent="0.35">
      <c r="B995" s="8" t="s">
        <v>1014</v>
      </c>
      <c r="C995" s="2" t="s">
        <v>1364</v>
      </c>
      <c r="D995" s="5">
        <v>45638</v>
      </c>
      <c r="E995" s="5">
        <v>45640</v>
      </c>
      <c r="F995" s="2" t="s">
        <v>15</v>
      </c>
      <c r="G995" s="2" t="s">
        <v>22</v>
      </c>
      <c r="H995" s="2" t="s">
        <v>1224</v>
      </c>
      <c r="I995" s="2" t="s">
        <v>17</v>
      </c>
      <c r="J995" s="2">
        <v>10.11</v>
      </c>
      <c r="K995" s="2" t="str">
        <f t="shared" si="41"/>
        <v>&gt;5kg</v>
      </c>
      <c r="L995" s="2">
        <f>tdata[[#This Row],[Received_date]]-tdata[[#This Row],[Shipment_Date]]</f>
        <v>2</v>
      </c>
      <c r="M995" s="2">
        <f>VLOOKUP(tdata[[#This Row],[Service_Type]],Table2[#All],2,0)</f>
        <v>3</v>
      </c>
      <c r="N995" s="2" t="str">
        <f>IF(tdata[[#This Row],[Delivery_Days]]&lt;=tdata[[#This Row],[SLA_Days]],"On Time","Late")</f>
        <v>On Time</v>
      </c>
      <c r="O995" s="2">
        <f>VLOOKUP(tdata[[#This Row],[Service_Type]],Table2[#All],4,0)</f>
        <v>10000</v>
      </c>
      <c r="P995" s="2">
        <f>tdata[[#This Row],[price_per_kilo]]*tdata[[#This Row],[Weight_KG]]</f>
        <v>101100</v>
      </c>
      <c r="Q995" s="2" t="str">
        <f>VLOOKUP(tdata[[#This Row],[id_employee]],temployee[#All],2,0)</f>
        <v>Praditya Wicaksono</v>
      </c>
      <c r="R995" s="2" t="str">
        <f>VLOOKUP(tdata[[#This Row],[id_employee]],temployee[#All],4,0)</f>
        <v>internal</v>
      </c>
      <c r="S995" s="9" t="str">
        <f>VLOOKUP(tdata[[#This Row],[id_employee]],temployee[#All],5,0)</f>
        <v>driver</v>
      </c>
    </row>
    <row r="996" spans="2:19" x14ac:dyDescent="0.35">
      <c r="B996" s="8" t="s">
        <v>1015</v>
      </c>
      <c r="C996" s="2" t="s">
        <v>1365</v>
      </c>
      <c r="D996" s="5">
        <v>44928</v>
      </c>
      <c r="E996" s="5">
        <f>D996+4</f>
        <v>44932</v>
      </c>
      <c r="F996" s="2" t="s">
        <v>20</v>
      </c>
      <c r="G996" s="2" t="s">
        <v>20</v>
      </c>
      <c r="H996" s="2" t="s">
        <v>1224</v>
      </c>
      <c r="I996" s="2" t="s">
        <v>17</v>
      </c>
      <c r="J996" s="2">
        <v>8.5299999999999994</v>
      </c>
      <c r="K996" s="2" t="str">
        <f t="shared" si="41"/>
        <v>&gt;5kg</v>
      </c>
      <c r="L996" s="2">
        <f>tdata[[#This Row],[Received_date]]-tdata[[#This Row],[Shipment_Date]]</f>
        <v>4</v>
      </c>
      <c r="M996" s="2">
        <f>VLOOKUP(tdata[[#This Row],[Service_Type]],Table2[#All],2,0)</f>
        <v>3</v>
      </c>
      <c r="N996" s="2" t="str">
        <f>IF(tdata[[#This Row],[Delivery_Days]]&lt;=tdata[[#This Row],[SLA_Days]],"On Time","Late")</f>
        <v>Late</v>
      </c>
      <c r="O996" s="2">
        <f>VLOOKUP(tdata[[#This Row],[Service_Type]],Table2[#All],4,0)</f>
        <v>10000</v>
      </c>
      <c r="P996" s="2">
        <f>tdata[[#This Row],[price_per_kilo]]*tdata[[#This Row],[Weight_KG]]</f>
        <v>85300</v>
      </c>
      <c r="Q996" s="2" t="str">
        <f>VLOOKUP(tdata[[#This Row],[id_employee]],temployee[#All],2,0)</f>
        <v>Qory Azzahra</v>
      </c>
      <c r="R996" s="2" t="str">
        <f>VLOOKUP(tdata[[#This Row],[id_employee]],temployee[#All],4,0)</f>
        <v>internal</v>
      </c>
      <c r="S996" s="9" t="str">
        <f>VLOOKUP(tdata[[#This Row],[id_employee]],temployee[#All],5,0)</f>
        <v>rider</v>
      </c>
    </row>
    <row r="997" spans="2:19" x14ac:dyDescent="0.35">
      <c r="B997" s="8" t="s">
        <v>1016</v>
      </c>
      <c r="C997" s="2" t="s">
        <v>1366</v>
      </c>
      <c r="D997" s="5">
        <v>45026</v>
      </c>
      <c r="E997" s="5">
        <v>45031</v>
      </c>
      <c r="F997" s="2" t="s">
        <v>22</v>
      </c>
      <c r="G997" s="2" t="s">
        <v>30</v>
      </c>
      <c r="H997" s="2" t="s">
        <v>23</v>
      </c>
      <c r="I997" s="2" t="s">
        <v>13</v>
      </c>
      <c r="J997" s="2">
        <v>5.39</v>
      </c>
      <c r="K997" s="2" t="str">
        <f t="shared" si="41"/>
        <v>&gt;5kg</v>
      </c>
      <c r="L997" s="2">
        <f>tdata[[#This Row],[Received_date]]-tdata[[#This Row],[Shipment_Date]]</f>
        <v>5</v>
      </c>
      <c r="M997" s="2">
        <f>VLOOKUP(tdata[[#This Row],[Service_Type]],Table2[#All],2,0)</f>
        <v>5</v>
      </c>
      <c r="N997" s="2" t="str">
        <f>IF(tdata[[#This Row],[Delivery_Days]]&lt;=tdata[[#This Row],[SLA_Days]],"On Time","Late")</f>
        <v>On Time</v>
      </c>
      <c r="O997" s="2">
        <f>VLOOKUP(tdata[[#This Row],[Service_Type]],Table2[#All],4,0)</f>
        <v>9000</v>
      </c>
      <c r="P997" s="2">
        <f>tdata[[#This Row],[price_per_kilo]]*tdata[[#This Row],[Weight_KG]]</f>
        <v>48510</v>
      </c>
      <c r="Q997" s="2" t="str">
        <f>VLOOKUP(tdata[[#This Row],[id_employee]],temployee[#All],2,0)</f>
        <v>Rendi Saputra</v>
      </c>
      <c r="R997" s="2" t="str">
        <f>VLOOKUP(tdata[[#This Row],[id_employee]],temployee[#All],4,0)</f>
        <v>crowd source</v>
      </c>
      <c r="S997" s="9" t="str">
        <f>VLOOKUP(tdata[[#This Row],[id_employee]],temployee[#All],5,0)</f>
        <v>driver</v>
      </c>
    </row>
    <row r="998" spans="2:19" x14ac:dyDescent="0.35">
      <c r="B998" s="8" t="s">
        <v>1017</v>
      </c>
      <c r="C998" s="2" t="s">
        <v>1367</v>
      </c>
      <c r="D998" s="5">
        <v>45127</v>
      </c>
      <c r="E998" s="5">
        <v>45127</v>
      </c>
      <c r="F998" s="2" t="s">
        <v>12</v>
      </c>
      <c r="G998" s="2" t="s">
        <v>16</v>
      </c>
      <c r="H998" s="2" t="s">
        <v>1224</v>
      </c>
      <c r="I998" s="2" t="s">
        <v>13</v>
      </c>
      <c r="J998" s="2">
        <v>3.7</v>
      </c>
      <c r="K998" s="2" t="str">
        <f t="shared" si="41"/>
        <v>&lt; 5kg</v>
      </c>
      <c r="L998" s="2">
        <f>tdata[[#This Row],[Received_date]]-tdata[[#This Row],[Shipment_Date]]</f>
        <v>0</v>
      </c>
      <c r="M998" s="2">
        <f>VLOOKUP(tdata[[#This Row],[Service_Type]],Table2[#All],2,0)</f>
        <v>3</v>
      </c>
      <c r="N998" s="2" t="str">
        <f>IF(tdata[[#This Row],[Delivery_Days]]&lt;=tdata[[#This Row],[SLA_Days]],"On Time","Late")</f>
        <v>On Time</v>
      </c>
      <c r="O998" s="2">
        <f>VLOOKUP(tdata[[#This Row],[Service_Type]],Table2[#All],4,0)</f>
        <v>10000</v>
      </c>
      <c r="P998" s="2">
        <f>tdata[[#This Row],[price_per_kilo]]*tdata[[#This Row],[Weight_KG]]</f>
        <v>37000</v>
      </c>
      <c r="Q998" s="2" t="str">
        <f>VLOOKUP(tdata[[#This Row],[id_employee]],temployee[#All],2,0)</f>
        <v>Salma Nuraini</v>
      </c>
      <c r="R998" s="2" t="str">
        <f>VLOOKUP(tdata[[#This Row],[id_employee]],temployee[#All],4,0)</f>
        <v>internal</v>
      </c>
      <c r="S998" s="9" t="str">
        <f>VLOOKUP(tdata[[#This Row],[id_employee]],temployee[#All],5,0)</f>
        <v>rider</v>
      </c>
    </row>
    <row r="999" spans="2:19" x14ac:dyDescent="0.35">
      <c r="B999" s="8" t="s">
        <v>1018</v>
      </c>
      <c r="C999" s="2" t="s">
        <v>1368</v>
      </c>
      <c r="D999" s="5">
        <v>45473</v>
      </c>
      <c r="E999" s="5">
        <v>45480</v>
      </c>
      <c r="F999" s="2" t="s">
        <v>30</v>
      </c>
      <c r="G999" s="2" t="s">
        <v>22</v>
      </c>
      <c r="H999" s="2" t="s">
        <v>1223</v>
      </c>
      <c r="I999" s="2" t="s">
        <v>13</v>
      </c>
      <c r="J999" s="2">
        <v>6.58</v>
      </c>
      <c r="K999" s="2" t="str">
        <f t="shared" si="41"/>
        <v>&gt;5kg</v>
      </c>
      <c r="L999" s="2">
        <f>tdata[[#This Row],[Received_date]]-tdata[[#This Row],[Shipment_Date]]</f>
        <v>7</v>
      </c>
      <c r="M999" s="2">
        <f>VLOOKUP(tdata[[#This Row],[Service_Type]],Table2[#All],2,0)</f>
        <v>1</v>
      </c>
      <c r="N999" s="2" t="str">
        <f>IF(tdata[[#This Row],[Delivery_Days]]&lt;=tdata[[#This Row],[SLA_Days]],"On Time","Late")</f>
        <v>Late</v>
      </c>
      <c r="O999" s="2">
        <f>VLOOKUP(tdata[[#This Row],[Service_Type]],Table2[#All],4,0)</f>
        <v>12000</v>
      </c>
      <c r="P999" s="2">
        <f>tdata[[#This Row],[price_per_kilo]]*tdata[[#This Row],[Weight_KG]]</f>
        <v>78960</v>
      </c>
      <c r="Q999" s="2" t="str">
        <f>VLOOKUP(tdata[[#This Row],[id_employee]],temployee[#All],2,0)</f>
        <v>Tegar Prakoso</v>
      </c>
      <c r="R999" s="2" t="str">
        <f>VLOOKUP(tdata[[#This Row],[id_employee]],temployee[#All],4,0)</f>
        <v>internal</v>
      </c>
      <c r="S999" s="9" t="str">
        <f>VLOOKUP(tdata[[#This Row],[id_employee]],temployee[#All],5,0)</f>
        <v>driver</v>
      </c>
    </row>
    <row r="1000" spans="2:19" x14ac:dyDescent="0.35">
      <c r="B1000" s="8" t="s">
        <v>1019</v>
      </c>
      <c r="C1000" s="2" t="s">
        <v>1369</v>
      </c>
      <c r="D1000" s="5">
        <v>44993</v>
      </c>
      <c r="E1000" s="5">
        <f>D1000+4</f>
        <v>44997</v>
      </c>
      <c r="F1000" s="2" t="s">
        <v>32</v>
      </c>
      <c r="G1000" s="2" t="s">
        <v>12</v>
      </c>
      <c r="H1000" s="2" t="s">
        <v>1223</v>
      </c>
      <c r="I1000" s="2" t="s">
        <v>13</v>
      </c>
      <c r="J1000" s="2">
        <v>8.24</v>
      </c>
      <c r="K1000" s="2" t="str">
        <f t="shared" si="41"/>
        <v>&gt;5kg</v>
      </c>
      <c r="L1000" s="2">
        <f>tdata[[#This Row],[Received_date]]-tdata[[#This Row],[Shipment_Date]]</f>
        <v>4</v>
      </c>
      <c r="M1000" s="2">
        <f>VLOOKUP(tdata[[#This Row],[Service_Type]],Table2[#All],2,0)</f>
        <v>1</v>
      </c>
      <c r="N1000" s="2" t="str">
        <f>IF(tdata[[#This Row],[Delivery_Days]]&lt;=tdata[[#This Row],[SLA_Days]],"On Time","Late")</f>
        <v>Late</v>
      </c>
      <c r="O1000" s="2">
        <f>VLOOKUP(tdata[[#This Row],[Service_Type]],Table2[#All],4,0)</f>
        <v>12000</v>
      </c>
      <c r="P1000" s="2">
        <f>tdata[[#This Row],[price_per_kilo]]*tdata[[#This Row],[Weight_KG]]</f>
        <v>98880</v>
      </c>
      <c r="Q1000" s="2" t="str">
        <f>VLOOKUP(tdata[[#This Row],[id_employee]],temployee[#All],2,0)</f>
        <v>Ulfa Khairunnisa</v>
      </c>
      <c r="R1000" s="2" t="str">
        <f>VLOOKUP(tdata[[#This Row],[id_employee]],temployee[#All],4,0)</f>
        <v>crowd source</v>
      </c>
      <c r="S1000" s="9" t="str">
        <f>VLOOKUP(tdata[[#This Row],[id_employee]],temployee[#All],5,0)</f>
        <v>rider</v>
      </c>
    </row>
    <row r="1001" spans="2:19" x14ac:dyDescent="0.35">
      <c r="B1001" s="8" t="s">
        <v>1020</v>
      </c>
      <c r="C1001" s="2" t="s">
        <v>1370</v>
      </c>
      <c r="D1001" s="5">
        <v>45568</v>
      </c>
      <c r="E1001" s="5">
        <v>45568</v>
      </c>
      <c r="F1001" s="2" t="s">
        <v>16</v>
      </c>
      <c r="G1001" s="2" t="s">
        <v>15</v>
      </c>
      <c r="H1001" s="2" t="s">
        <v>1223</v>
      </c>
      <c r="I1001" s="2" t="s">
        <v>17</v>
      </c>
      <c r="J1001" s="2">
        <v>3.24</v>
      </c>
      <c r="K1001" s="2" t="str">
        <f t="shared" si="41"/>
        <v>&lt; 5kg</v>
      </c>
      <c r="L1001" s="2">
        <f>tdata[[#This Row],[Received_date]]-tdata[[#This Row],[Shipment_Date]]</f>
        <v>0</v>
      </c>
      <c r="M1001" s="2">
        <f>VLOOKUP(tdata[[#This Row],[Service_Type]],Table2[#All],2,0)</f>
        <v>1</v>
      </c>
      <c r="N1001" s="2" t="str">
        <f>IF(tdata[[#This Row],[Delivery_Days]]&lt;=tdata[[#This Row],[SLA_Days]],"On Time","Late")</f>
        <v>On Time</v>
      </c>
      <c r="O1001" s="2">
        <f>VLOOKUP(tdata[[#This Row],[Service_Type]],Table2[#All],4,0)</f>
        <v>12000</v>
      </c>
      <c r="P1001" s="2">
        <f>tdata[[#This Row],[price_per_kilo]]*tdata[[#This Row],[Weight_KG]]</f>
        <v>38880</v>
      </c>
      <c r="Q1001" s="2" t="str">
        <f>VLOOKUP(tdata[[#This Row],[id_employee]],temployee[#All],2,0)</f>
        <v>Vito Mahendra</v>
      </c>
      <c r="R1001" s="2" t="str">
        <f>VLOOKUP(tdata[[#This Row],[id_employee]],temployee[#All],4,0)</f>
        <v>internal</v>
      </c>
      <c r="S1001" s="9" t="str">
        <f>VLOOKUP(tdata[[#This Row],[id_employee]],temployee[#All],5,0)</f>
        <v>rider</v>
      </c>
    </row>
    <row r="1002" spans="2:19" x14ac:dyDescent="0.35">
      <c r="B1002" s="8" t="s">
        <v>1021</v>
      </c>
      <c r="C1002" s="2" t="s">
        <v>1371</v>
      </c>
      <c r="D1002" s="5">
        <v>45130</v>
      </c>
      <c r="E1002" s="5">
        <f>D1002+4</f>
        <v>45134</v>
      </c>
      <c r="F1002" s="2" t="s">
        <v>26</v>
      </c>
      <c r="G1002" s="2" t="s">
        <v>12</v>
      </c>
      <c r="H1002" s="2" t="s">
        <v>23</v>
      </c>
      <c r="I1002" s="2" t="s">
        <v>13</v>
      </c>
      <c r="J1002" s="2">
        <v>6.52</v>
      </c>
      <c r="K1002" s="2" t="str">
        <f t="shared" si="41"/>
        <v>&gt;5kg</v>
      </c>
      <c r="L1002" s="2">
        <f>tdata[[#This Row],[Received_date]]-tdata[[#This Row],[Shipment_Date]]</f>
        <v>4</v>
      </c>
      <c r="M1002" s="2">
        <f>VLOOKUP(tdata[[#This Row],[Service_Type]],Table2[#All],2,0)</f>
        <v>5</v>
      </c>
      <c r="N1002" s="2" t="str">
        <f>IF(tdata[[#This Row],[Delivery_Days]]&lt;=tdata[[#This Row],[SLA_Days]],"On Time","Late")</f>
        <v>On Time</v>
      </c>
      <c r="O1002" s="2">
        <f>VLOOKUP(tdata[[#This Row],[Service_Type]],Table2[#All],4,0)</f>
        <v>9000</v>
      </c>
      <c r="P1002" s="2">
        <f>tdata[[#This Row],[price_per_kilo]]*tdata[[#This Row],[Weight_KG]]</f>
        <v>58679.999999999993</v>
      </c>
      <c r="Q1002" s="2" t="str">
        <f>VLOOKUP(tdata[[#This Row],[id_employee]],temployee[#All],2,0)</f>
        <v>Winda Sari</v>
      </c>
      <c r="R1002" s="2" t="str">
        <f>VLOOKUP(tdata[[#This Row],[id_employee]],temployee[#All],4,0)</f>
        <v>internal</v>
      </c>
      <c r="S1002" s="9" t="str">
        <f>VLOOKUP(tdata[[#This Row],[id_employee]],temployee[#All],5,0)</f>
        <v>rider</v>
      </c>
    </row>
    <row r="1003" spans="2:19" x14ac:dyDescent="0.35">
      <c r="B1003" s="8" t="s">
        <v>1022</v>
      </c>
      <c r="C1003" s="2" t="s">
        <v>1372</v>
      </c>
      <c r="D1003" s="5">
        <v>45313</v>
      </c>
      <c r="E1003" s="5">
        <v>45313</v>
      </c>
      <c r="F1003" s="2" t="s">
        <v>49</v>
      </c>
      <c r="G1003" s="2" t="s">
        <v>16</v>
      </c>
      <c r="H1003" s="2" t="s">
        <v>1223</v>
      </c>
      <c r="I1003" s="2" t="s">
        <v>13</v>
      </c>
      <c r="J1003" s="2">
        <v>2.12</v>
      </c>
      <c r="K1003" s="2" t="str">
        <f t="shared" si="41"/>
        <v>&lt; 5kg</v>
      </c>
      <c r="L1003" s="2">
        <f>tdata[[#This Row],[Received_date]]-tdata[[#This Row],[Shipment_Date]]</f>
        <v>0</v>
      </c>
      <c r="M1003" s="2">
        <f>VLOOKUP(tdata[[#This Row],[Service_Type]],Table2[#All],2,0)</f>
        <v>1</v>
      </c>
      <c r="N1003" s="2" t="str">
        <f>IF(tdata[[#This Row],[Delivery_Days]]&lt;=tdata[[#This Row],[SLA_Days]],"On Time","Late")</f>
        <v>On Time</v>
      </c>
      <c r="O1003" s="2">
        <f>VLOOKUP(tdata[[#This Row],[Service_Type]],Table2[#All],4,0)</f>
        <v>12000</v>
      </c>
      <c r="P1003" s="2">
        <f>tdata[[#This Row],[price_per_kilo]]*tdata[[#This Row],[Weight_KG]]</f>
        <v>25440</v>
      </c>
      <c r="Q1003" s="2" t="str">
        <f>VLOOKUP(tdata[[#This Row],[id_employee]],temployee[#All],2,0)</f>
        <v>Yusuf Al Ghazali</v>
      </c>
      <c r="R1003" s="2" t="str">
        <f>VLOOKUP(tdata[[#This Row],[id_employee]],temployee[#All],4,0)</f>
        <v>crowd source</v>
      </c>
      <c r="S1003" s="9" t="str">
        <f>VLOOKUP(tdata[[#This Row],[id_employee]],temployee[#All],5,0)</f>
        <v>driver</v>
      </c>
    </row>
    <row r="1004" spans="2:19" x14ac:dyDescent="0.35">
      <c r="B1004" s="8" t="s">
        <v>1023</v>
      </c>
      <c r="C1004" s="2" t="s">
        <v>1273</v>
      </c>
      <c r="D1004" s="5">
        <v>45004</v>
      </c>
      <c r="E1004" s="5">
        <v>45012</v>
      </c>
      <c r="F1004" s="2" t="s">
        <v>11</v>
      </c>
      <c r="G1004" s="2" t="s">
        <v>30</v>
      </c>
      <c r="H1004" s="2" t="s">
        <v>23</v>
      </c>
      <c r="I1004" s="2" t="s">
        <v>13</v>
      </c>
      <c r="J1004" s="2">
        <v>5.92</v>
      </c>
      <c r="K1004" s="2" t="str">
        <f t="shared" si="41"/>
        <v>&gt;5kg</v>
      </c>
      <c r="L1004" s="2">
        <f>tdata[[#This Row],[Received_date]]-tdata[[#This Row],[Shipment_Date]]</f>
        <v>8</v>
      </c>
      <c r="M1004" s="2">
        <f>VLOOKUP(tdata[[#This Row],[Service_Type]],Table2[#All],2,0)</f>
        <v>5</v>
      </c>
      <c r="N1004" s="2" t="str">
        <f>IF(tdata[[#This Row],[Delivery_Days]]&lt;=tdata[[#This Row],[SLA_Days]],"On Time","Late")</f>
        <v>Late</v>
      </c>
      <c r="O1004" s="2">
        <f>VLOOKUP(tdata[[#This Row],[Service_Type]],Table2[#All],4,0)</f>
        <v>9000</v>
      </c>
      <c r="P1004" s="2">
        <f>tdata[[#This Row],[price_per_kilo]]*tdata[[#This Row],[Weight_KG]]</f>
        <v>53280</v>
      </c>
      <c r="Q1004" s="2" t="str">
        <f>VLOOKUP(tdata[[#This Row],[id_employee]],temployee[#All],2,0)</f>
        <v>Andi Pratama</v>
      </c>
      <c r="R1004" s="2" t="str">
        <f>VLOOKUP(tdata[[#This Row],[id_employee]],temployee[#All],4,0)</f>
        <v>internal</v>
      </c>
      <c r="S1004" s="9" t="str">
        <f>VLOOKUP(tdata[[#This Row],[id_employee]],temployee[#All],5,0)</f>
        <v>rider</v>
      </c>
    </row>
    <row r="1005" spans="2:19" x14ac:dyDescent="0.35">
      <c r="B1005" s="8" t="s">
        <v>1024</v>
      </c>
      <c r="C1005" s="2" t="s">
        <v>1274</v>
      </c>
      <c r="D1005" s="5">
        <v>45206</v>
      </c>
      <c r="E1005" s="5">
        <v>45206</v>
      </c>
      <c r="F1005" s="2" t="s">
        <v>15</v>
      </c>
      <c r="G1005" s="2" t="s">
        <v>15</v>
      </c>
      <c r="H1005" s="2" t="s">
        <v>1224</v>
      </c>
      <c r="I1005" s="2" t="s">
        <v>17</v>
      </c>
      <c r="J1005" s="2">
        <v>6.09</v>
      </c>
      <c r="K1005" s="2" t="str">
        <f t="shared" si="41"/>
        <v>&gt;5kg</v>
      </c>
      <c r="L1005" s="2">
        <f>tdata[[#This Row],[Received_date]]-tdata[[#This Row],[Shipment_Date]]</f>
        <v>0</v>
      </c>
      <c r="M1005" s="2">
        <f>VLOOKUP(tdata[[#This Row],[Service_Type]],Table2[#All],2,0)</f>
        <v>3</v>
      </c>
      <c r="N1005" s="2" t="str">
        <f>IF(tdata[[#This Row],[Delivery_Days]]&lt;=tdata[[#This Row],[SLA_Days]],"On Time","Late")</f>
        <v>On Time</v>
      </c>
      <c r="O1005" s="2">
        <f>VLOOKUP(tdata[[#This Row],[Service_Type]],Table2[#All],4,0)</f>
        <v>10000</v>
      </c>
      <c r="P1005" s="2">
        <f>tdata[[#This Row],[price_per_kilo]]*tdata[[#This Row],[Weight_KG]]</f>
        <v>60900</v>
      </c>
      <c r="Q1005" s="2" t="str">
        <f>VLOOKUP(tdata[[#This Row],[id_employee]],temployee[#All],2,0)</f>
        <v>Budi Santoso</v>
      </c>
      <c r="R1005" s="2" t="str">
        <f>VLOOKUP(tdata[[#This Row],[id_employee]],temployee[#All],4,0)</f>
        <v>internal</v>
      </c>
      <c r="S1005" s="9" t="str">
        <f>VLOOKUP(tdata[[#This Row],[id_employee]],temployee[#All],5,0)</f>
        <v>driver</v>
      </c>
    </row>
    <row r="1006" spans="2:19" x14ac:dyDescent="0.35">
      <c r="B1006" s="8" t="s">
        <v>1025</v>
      </c>
      <c r="C1006" s="2" t="s">
        <v>1275</v>
      </c>
      <c r="D1006" s="5">
        <v>45395</v>
      </c>
      <c r="E1006" s="5">
        <f>D1006+4</f>
        <v>45399</v>
      </c>
      <c r="F1006" s="2" t="s">
        <v>20</v>
      </c>
      <c r="G1006" s="2" t="s">
        <v>15</v>
      </c>
      <c r="H1006" s="2" t="s">
        <v>23</v>
      </c>
      <c r="I1006" s="2" t="s">
        <v>17</v>
      </c>
      <c r="J1006" s="2">
        <v>5.6</v>
      </c>
      <c r="K1006" s="2" t="str">
        <f t="shared" si="41"/>
        <v>&gt;5kg</v>
      </c>
      <c r="L1006" s="2">
        <f>tdata[[#This Row],[Received_date]]-tdata[[#This Row],[Shipment_Date]]</f>
        <v>4</v>
      </c>
      <c r="M1006" s="2">
        <f>VLOOKUP(tdata[[#This Row],[Service_Type]],Table2[#All],2,0)</f>
        <v>5</v>
      </c>
      <c r="N1006" s="2" t="str">
        <f>IF(tdata[[#This Row],[Delivery_Days]]&lt;=tdata[[#This Row],[SLA_Days]],"On Time","Late")</f>
        <v>On Time</v>
      </c>
      <c r="O1006" s="2">
        <f>VLOOKUP(tdata[[#This Row],[Service_Type]],Table2[#All],4,0)</f>
        <v>9000</v>
      </c>
      <c r="P1006" s="2">
        <f>tdata[[#This Row],[price_per_kilo]]*tdata[[#This Row],[Weight_KG]]</f>
        <v>50400</v>
      </c>
      <c r="Q1006" s="2" t="str">
        <f>VLOOKUP(tdata[[#This Row],[id_employee]],temployee[#All],2,0)</f>
        <v>Citra Lestari</v>
      </c>
      <c r="R1006" s="2" t="str">
        <f>VLOOKUP(tdata[[#This Row],[id_employee]],temployee[#All],4,0)</f>
        <v>crowd source</v>
      </c>
      <c r="S1006" s="9" t="str">
        <f>VLOOKUP(tdata[[#This Row],[id_employee]],temployee[#All],5,0)</f>
        <v>rider</v>
      </c>
    </row>
    <row r="1007" spans="2:19" x14ac:dyDescent="0.35">
      <c r="B1007" s="8" t="s">
        <v>1026</v>
      </c>
      <c r="C1007" s="2" t="s">
        <v>1276</v>
      </c>
      <c r="D1007" s="5">
        <v>45329</v>
      </c>
      <c r="E1007" s="5">
        <v>45331</v>
      </c>
      <c r="F1007" s="2" t="s">
        <v>22</v>
      </c>
      <c r="G1007" s="2" t="s">
        <v>26</v>
      </c>
      <c r="H1007" s="2" t="s">
        <v>23</v>
      </c>
      <c r="I1007" s="2" t="s">
        <v>13</v>
      </c>
      <c r="J1007" s="2">
        <v>6.73</v>
      </c>
      <c r="K1007" s="2" t="str">
        <f t="shared" si="41"/>
        <v>&gt;5kg</v>
      </c>
      <c r="L1007" s="2">
        <f>tdata[[#This Row],[Received_date]]-tdata[[#This Row],[Shipment_Date]]</f>
        <v>2</v>
      </c>
      <c r="M1007" s="2">
        <f>VLOOKUP(tdata[[#This Row],[Service_Type]],Table2[#All],2,0)</f>
        <v>5</v>
      </c>
      <c r="N1007" s="2" t="str">
        <f>IF(tdata[[#This Row],[Delivery_Days]]&lt;=tdata[[#This Row],[SLA_Days]],"On Time","Late")</f>
        <v>On Time</v>
      </c>
      <c r="O1007" s="2">
        <f>VLOOKUP(tdata[[#This Row],[Service_Type]],Table2[#All],4,0)</f>
        <v>9000</v>
      </c>
      <c r="P1007" s="2">
        <f>tdata[[#This Row],[price_per_kilo]]*tdata[[#This Row],[Weight_KG]]</f>
        <v>60570.000000000007</v>
      </c>
      <c r="Q1007" s="2" t="str">
        <f>VLOOKUP(tdata[[#This Row],[id_employee]],temployee[#All],2,0)</f>
        <v>Dedi Saputra</v>
      </c>
      <c r="R1007" s="2" t="str">
        <f>VLOOKUP(tdata[[#This Row],[id_employee]],temployee[#All],4,0)</f>
        <v>crowd source</v>
      </c>
      <c r="S1007" s="9" t="str">
        <f>VLOOKUP(tdata[[#This Row],[id_employee]],temployee[#All],5,0)</f>
        <v>driver</v>
      </c>
    </row>
    <row r="1008" spans="2:19" x14ac:dyDescent="0.35">
      <c r="B1008" s="8" t="s">
        <v>1027</v>
      </c>
      <c r="C1008" s="2" t="s">
        <v>1277</v>
      </c>
      <c r="D1008" s="5">
        <v>45622</v>
      </c>
      <c r="E1008" s="5">
        <v>45626</v>
      </c>
      <c r="F1008" s="2" t="s">
        <v>12</v>
      </c>
      <c r="G1008" s="2" t="s">
        <v>32</v>
      </c>
      <c r="H1008" s="2" t="s">
        <v>23</v>
      </c>
      <c r="I1008" s="2" t="s">
        <v>17</v>
      </c>
      <c r="J1008" s="2">
        <v>4.53</v>
      </c>
      <c r="K1008" s="2" t="str">
        <f t="shared" si="41"/>
        <v>&lt; 5kg</v>
      </c>
      <c r="L1008" s="2">
        <f>tdata[[#This Row],[Received_date]]-tdata[[#This Row],[Shipment_Date]]</f>
        <v>4</v>
      </c>
      <c r="M1008" s="2">
        <f>VLOOKUP(tdata[[#This Row],[Service_Type]],Table2[#All],2,0)</f>
        <v>5</v>
      </c>
      <c r="N1008" s="2" t="str">
        <f>IF(tdata[[#This Row],[Delivery_Days]]&lt;=tdata[[#This Row],[SLA_Days]],"On Time","Late")</f>
        <v>On Time</v>
      </c>
      <c r="O1008" s="2">
        <f>VLOOKUP(tdata[[#This Row],[Service_Type]],Table2[#All],4,0)</f>
        <v>9000</v>
      </c>
      <c r="P1008" s="2">
        <f>tdata[[#This Row],[price_per_kilo]]*tdata[[#This Row],[Weight_KG]]</f>
        <v>40770</v>
      </c>
      <c r="Q1008" s="2" t="str">
        <f>VLOOKUP(tdata[[#This Row],[id_employee]],temployee[#All],2,0)</f>
        <v>Eko Nugroho</v>
      </c>
      <c r="R1008" s="2" t="str">
        <f>VLOOKUP(tdata[[#This Row],[id_employee]],temployee[#All],4,0)</f>
        <v>internal</v>
      </c>
      <c r="S1008" s="9" t="str">
        <f>VLOOKUP(tdata[[#This Row],[id_employee]],temployee[#All],5,0)</f>
        <v>rider</v>
      </c>
    </row>
    <row r="1009" spans="2:19" x14ac:dyDescent="0.35">
      <c r="B1009" s="8" t="s">
        <v>1028</v>
      </c>
      <c r="C1009" s="2" t="s">
        <v>1278</v>
      </c>
      <c r="D1009" s="5">
        <v>44990</v>
      </c>
      <c r="E1009" s="5">
        <v>44999</v>
      </c>
      <c r="F1009" s="2" t="s">
        <v>30</v>
      </c>
      <c r="G1009" s="2" t="s">
        <v>22</v>
      </c>
      <c r="H1009" s="2" t="s">
        <v>1224</v>
      </c>
      <c r="I1009" s="2" t="s">
        <v>13</v>
      </c>
      <c r="J1009" s="2">
        <v>10.37</v>
      </c>
      <c r="K1009" s="2" t="str">
        <f t="shared" si="41"/>
        <v>&gt;5kg</v>
      </c>
      <c r="L1009" s="2">
        <f>tdata[[#This Row],[Received_date]]-tdata[[#This Row],[Shipment_Date]]</f>
        <v>9</v>
      </c>
      <c r="M1009" s="2">
        <f>VLOOKUP(tdata[[#This Row],[Service_Type]],Table2[#All],2,0)</f>
        <v>3</v>
      </c>
      <c r="N1009" s="2" t="str">
        <f>IF(tdata[[#This Row],[Delivery_Days]]&lt;=tdata[[#This Row],[SLA_Days]],"On Time","Late")</f>
        <v>Late</v>
      </c>
      <c r="O1009" s="2">
        <f>VLOOKUP(tdata[[#This Row],[Service_Type]],Table2[#All],4,0)</f>
        <v>10000</v>
      </c>
      <c r="P1009" s="2">
        <f>tdata[[#This Row],[price_per_kilo]]*tdata[[#This Row],[Weight_KG]]</f>
        <v>103699.99999999999</v>
      </c>
      <c r="Q1009" s="2" t="str">
        <f>VLOOKUP(tdata[[#This Row],[id_employee]],temployee[#All],2,0)</f>
        <v>Fajar Hidayat</v>
      </c>
      <c r="R1009" s="2" t="str">
        <f>VLOOKUP(tdata[[#This Row],[id_employee]],temployee[#All],4,0)</f>
        <v>internal</v>
      </c>
      <c r="S1009" s="9" t="str">
        <f>VLOOKUP(tdata[[#This Row],[id_employee]],temployee[#All],5,0)</f>
        <v>driver</v>
      </c>
    </row>
    <row r="1010" spans="2:19" x14ac:dyDescent="0.35">
      <c r="B1010" s="8" t="s">
        <v>1029</v>
      </c>
      <c r="C1010" s="2" t="s">
        <v>1279</v>
      </c>
      <c r="D1010" s="5">
        <v>44993</v>
      </c>
      <c r="E1010" s="5">
        <f>D1010+4</f>
        <v>44997</v>
      </c>
      <c r="F1010" s="2" t="s">
        <v>32</v>
      </c>
      <c r="G1010" s="2" t="s">
        <v>15</v>
      </c>
      <c r="H1010" s="2" t="s">
        <v>1224</v>
      </c>
      <c r="I1010" s="2" t="s">
        <v>17</v>
      </c>
      <c r="J1010" s="2">
        <v>5.08</v>
      </c>
      <c r="K1010" s="2" t="str">
        <f t="shared" si="41"/>
        <v>&gt;5kg</v>
      </c>
      <c r="L1010" s="2">
        <f>tdata[[#This Row],[Received_date]]-tdata[[#This Row],[Shipment_Date]]</f>
        <v>4</v>
      </c>
      <c r="M1010" s="2">
        <f>VLOOKUP(tdata[[#This Row],[Service_Type]],Table2[#All],2,0)</f>
        <v>3</v>
      </c>
      <c r="N1010" s="2" t="str">
        <f>IF(tdata[[#This Row],[Delivery_Days]]&lt;=tdata[[#This Row],[SLA_Days]],"On Time","Late")</f>
        <v>Late</v>
      </c>
      <c r="O1010" s="2">
        <f>VLOOKUP(tdata[[#This Row],[Service_Type]],Table2[#All],4,0)</f>
        <v>10000</v>
      </c>
      <c r="P1010" s="2">
        <f>tdata[[#This Row],[price_per_kilo]]*tdata[[#This Row],[Weight_KG]]</f>
        <v>50800</v>
      </c>
      <c r="Q1010" s="2" t="str">
        <f>VLOOKUP(tdata[[#This Row],[id_employee]],temployee[#All],2,0)</f>
        <v>Gita Rahmawati</v>
      </c>
      <c r="R1010" s="2" t="str">
        <f>VLOOKUP(tdata[[#This Row],[id_employee]],temployee[#All],4,0)</f>
        <v>crowd source</v>
      </c>
      <c r="S1010" s="9" t="str">
        <f>VLOOKUP(tdata[[#This Row],[id_employee]],temployee[#All],5,0)</f>
        <v>rider</v>
      </c>
    </row>
    <row r="1011" spans="2:19" x14ac:dyDescent="0.35">
      <c r="B1011" s="8" t="s">
        <v>1030</v>
      </c>
      <c r="C1011" s="2" t="s">
        <v>1280</v>
      </c>
      <c r="D1011" s="5">
        <v>45498</v>
      </c>
      <c r="E1011" s="5">
        <v>45498</v>
      </c>
      <c r="F1011" s="2" t="s">
        <v>16</v>
      </c>
      <c r="G1011" s="2" t="s">
        <v>15</v>
      </c>
      <c r="H1011" s="2" t="s">
        <v>1224</v>
      </c>
      <c r="I1011" s="2" t="s">
        <v>17</v>
      </c>
      <c r="J1011" s="2">
        <v>10.27</v>
      </c>
      <c r="K1011" s="2" t="str">
        <f t="shared" si="41"/>
        <v>&gt;5kg</v>
      </c>
      <c r="L1011" s="2">
        <f>tdata[[#This Row],[Received_date]]-tdata[[#This Row],[Shipment_Date]]</f>
        <v>0</v>
      </c>
      <c r="M1011" s="2">
        <f>VLOOKUP(tdata[[#This Row],[Service_Type]],Table2[#All],2,0)</f>
        <v>3</v>
      </c>
      <c r="N1011" s="2" t="str">
        <f>IF(tdata[[#This Row],[Delivery_Days]]&lt;=tdata[[#This Row],[SLA_Days]],"On Time","Late")</f>
        <v>On Time</v>
      </c>
      <c r="O1011" s="2">
        <f>VLOOKUP(tdata[[#This Row],[Service_Type]],Table2[#All],4,0)</f>
        <v>10000</v>
      </c>
      <c r="P1011" s="2">
        <f>tdata[[#This Row],[price_per_kilo]]*tdata[[#This Row],[Weight_KG]]</f>
        <v>102700</v>
      </c>
      <c r="Q1011" s="2" t="str">
        <f>VLOOKUP(tdata[[#This Row],[id_employee]],temployee[#All],2,0)</f>
        <v>Hendra Wijaya</v>
      </c>
      <c r="R1011" s="2" t="str">
        <f>VLOOKUP(tdata[[#This Row],[id_employee]],temployee[#All],4,0)</f>
        <v>internal</v>
      </c>
      <c r="S1011" s="9" t="str">
        <f>VLOOKUP(tdata[[#This Row],[id_employee]],temployee[#All],5,0)</f>
        <v>driver</v>
      </c>
    </row>
    <row r="1012" spans="2:19" x14ac:dyDescent="0.35">
      <c r="B1012" s="8" t="s">
        <v>1031</v>
      </c>
      <c r="C1012" s="2" t="s">
        <v>1281</v>
      </c>
      <c r="D1012" s="5">
        <v>44978</v>
      </c>
      <c r="E1012" s="5">
        <v>44980</v>
      </c>
      <c r="F1012" s="2" t="s">
        <v>26</v>
      </c>
      <c r="G1012" s="2" t="s">
        <v>32</v>
      </c>
      <c r="H1012" s="2" t="s">
        <v>1223</v>
      </c>
      <c r="I1012" s="2" t="s">
        <v>17</v>
      </c>
      <c r="J1012" s="2">
        <v>1.44</v>
      </c>
      <c r="K1012" s="2" t="str">
        <f t="shared" si="41"/>
        <v>&lt; 5kg</v>
      </c>
      <c r="L1012" s="2">
        <f>tdata[[#This Row],[Received_date]]-tdata[[#This Row],[Shipment_Date]]</f>
        <v>2</v>
      </c>
      <c r="M1012" s="2">
        <f>VLOOKUP(tdata[[#This Row],[Service_Type]],Table2[#All],2,0)</f>
        <v>1</v>
      </c>
      <c r="N1012" s="2" t="str">
        <f>IF(tdata[[#This Row],[Delivery_Days]]&lt;=tdata[[#This Row],[SLA_Days]],"On Time","Late")</f>
        <v>Late</v>
      </c>
      <c r="O1012" s="2">
        <f>VLOOKUP(tdata[[#This Row],[Service_Type]],Table2[#All],4,0)</f>
        <v>12000</v>
      </c>
      <c r="P1012" s="2">
        <f>tdata[[#This Row],[price_per_kilo]]*tdata[[#This Row],[Weight_KG]]</f>
        <v>17280</v>
      </c>
      <c r="Q1012" s="2" t="str">
        <f>VLOOKUP(tdata[[#This Row],[id_employee]],temployee[#All],2,0)</f>
        <v>Indah Permata</v>
      </c>
      <c r="R1012" s="2" t="str">
        <f>VLOOKUP(tdata[[#This Row],[id_employee]],temployee[#All],4,0)</f>
        <v>crowd source</v>
      </c>
      <c r="S1012" s="9" t="str">
        <f>VLOOKUP(tdata[[#This Row],[id_employee]],temployee[#All],5,0)</f>
        <v>rider</v>
      </c>
    </row>
    <row r="1013" spans="2:19" x14ac:dyDescent="0.35">
      <c r="B1013" s="8" t="s">
        <v>1032</v>
      </c>
      <c r="C1013" s="2" t="s">
        <v>1282</v>
      </c>
      <c r="D1013" s="5">
        <v>45194</v>
      </c>
      <c r="E1013" s="5">
        <v>45197</v>
      </c>
      <c r="F1013" s="2" t="s">
        <v>49</v>
      </c>
      <c r="G1013" s="2" t="s">
        <v>20</v>
      </c>
      <c r="H1013" s="2" t="s">
        <v>1224</v>
      </c>
      <c r="I1013" s="2" t="s">
        <v>17</v>
      </c>
      <c r="J1013" s="2">
        <v>8.24</v>
      </c>
      <c r="K1013" s="2" t="str">
        <f t="shared" si="41"/>
        <v>&gt;5kg</v>
      </c>
      <c r="L1013" s="2">
        <f>tdata[[#This Row],[Received_date]]-tdata[[#This Row],[Shipment_Date]]</f>
        <v>3</v>
      </c>
      <c r="M1013" s="2">
        <f>VLOOKUP(tdata[[#This Row],[Service_Type]],Table2[#All],2,0)</f>
        <v>3</v>
      </c>
      <c r="N1013" s="2" t="str">
        <f>IF(tdata[[#This Row],[Delivery_Days]]&lt;=tdata[[#This Row],[SLA_Days]],"On Time","Late")</f>
        <v>On Time</v>
      </c>
      <c r="O1013" s="2">
        <f>VLOOKUP(tdata[[#This Row],[Service_Type]],Table2[#All],4,0)</f>
        <v>10000</v>
      </c>
      <c r="P1013" s="2">
        <f>tdata[[#This Row],[price_per_kilo]]*tdata[[#This Row],[Weight_KG]]</f>
        <v>82400</v>
      </c>
      <c r="Q1013" s="2" t="str">
        <f>VLOOKUP(tdata[[#This Row],[id_employee]],temployee[#All],2,0)</f>
        <v>Joko Susilo</v>
      </c>
      <c r="R1013" s="2" t="str">
        <f>VLOOKUP(tdata[[#This Row],[id_employee]],temployee[#All],4,0)</f>
        <v>internal</v>
      </c>
      <c r="S1013" s="9" t="str">
        <f>VLOOKUP(tdata[[#This Row],[id_employee]],temployee[#All],5,0)</f>
        <v>driver</v>
      </c>
    </row>
    <row r="1014" spans="2:19" x14ac:dyDescent="0.35">
      <c r="B1014" s="8" t="s">
        <v>1033</v>
      </c>
      <c r="C1014" s="2" t="s">
        <v>1283</v>
      </c>
      <c r="D1014" s="5">
        <v>45190</v>
      </c>
      <c r="E1014" s="5">
        <v>45194</v>
      </c>
      <c r="F1014" s="2" t="s">
        <v>11</v>
      </c>
      <c r="G1014" s="2" t="s">
        <v>20</v>
      </c>
      <c r="H1014" s="2" t="s">
        <v>23</v>
      </c>
      <c r="I1014" s="2" t="s">
        <v>13</v>
      </c>
      <c r="J1014" s="2">
        <v>3.68</v>
      </c>
      <c r="K1014" s="2" t="str">
        <f t="shared" si="41"/>
        <v>&lt; 5kg</v>
      </c>
      <c r="L1014" s="2">
        <f>tdata[[#This Row],[Received_date]]-tdata[[#This Row],[Shipment_Date]]</f>
        <v>4</v>
      </c>
      <c r="M1014" s="2">
        <f>VLOOKUP(tdata[[#This Row],[Service_Type]],Table2[#All],2,0)</f>
        <v>5</v>
      </c>
      <c r="N1014" s="2" t="str">
        <f>IF(tdata[[#This Row],[Delivery_Days]]&lt;=tdata[[#This Row],[SLA_Days]],"On Time","Late")</f>
        <v>On Time</v>
      </c>
      <c r="O1014" s="2">
        <f>VLOOKUP(tdata[[#This Row],[Service_Type]],Table2[#All],4,0)</f>
        <v>9000</v>
      </c>
      <c r="P1014" s="2">
        <f>tdata[[#This Row],[price_per_kilo]]*tdata[[#This Row],[Weight_KG]]</f>
        <v>33120</v>
      </c>
      <c r="Q1014" s="2" t="str">
        <f>VLOOKUP(tdata[[#This Row],[id_employee]],temployee[#All],2,0)</f>
        <v>Kurniawan Putra</v>
      </c>
      <c r="R1014" s="2" t="str">
        <f>VLOOKUP(tdata[[#This Row],[id_employee]],temployee[#All],4,0)</f>
        <v>crowd source</v>
      </c>
      <c r="S1014" s="9" t="str">
        <f>VLOOKUP(tdata[[#This Row],[id_employee]],temployee[#All],5,0)</f>
        <v>driver</v>
      </c>
    </row>
    <row r="1015" spans="2:19" x14ac:dyDescent="0.35">
      <c r="B1015" s="8" t="s">
        <v>1034</v>
      </c>
      <c r="C1015" s="2" t="s">
        <v>1284</v>
      </c>
      <c r="D1015" s="5">
        <v>45403</v>
      </c>
      <c r="E1015" s="5">
        <f>D1015+4</f>
        <v>45407</v>
      </c>
      <c r="F1015" s="2" t="s">
        <v>15</v>
      </c>
      <c r="G1015" s="2" t="s">
        <v>11</v>
      </c>
      <c r="H1015" s="2" t="s">
        <v>1224</v>
      </c>
      <c r="I1015" s="2" t="s">
        <v>13</v>
      </c>
      <c r="J1015" s="2">
        <v>8.25</v>
      </c>
      <c r="K1015" s="2" t="str">
        <f t="shared" si="41"/>
        <v>&gt;5kg</v>
      </c>
      <c r="L1015" s="2">
        <f>tdata[[#This Row],[Received_date]]-tdata[[#This Row],[Shipment_Date]]</f>
        <v>4</v>
      </c>
      <c r="M1015" s="2">
        <f>VLOOKUP(tdata[[#This Row],[Service_Type]],Table2[#All],2,0)</f>
        <v>3</v>
      </c>
      <c r="N1015" s="2" t="str">
        <f>IF(tdata[[#This Row],[Delivery_Days]]&lt;=tdata[[#This Row],[SLA_Days]],"On Time","Late")</f>
        <v>Late</v>
      </c>
      <c r="O1015" s="2">
        <f>VLOOKUP(tdata[[#This Row],[Service_Type]],Table2[#All],4,0)</f>
        <v>10000</v>
      </c>
      <c r="P1015" s="2">
        <f>tdata[[#This Row],[price_per_kilo]]*tdata[[#This Row],[Weight_KG]]</f>
        <v>82500</v>
      </c>
      <c r="Q1015" s="2" t="str">
        <f>VLOOKUP(tdata[[#This Row],[id_employee]],temployee[#All],2,0)</f>
        <v>Lina Marlina</v>
      </c>
      <c r="R1015" s="2" t="str">
        <f>VLOOKUP(tdata[[#This Row],[id_employee]],temployee[#All],4,0)</f>
        <v>internal</v>
      </c>
      <c r="S1015" s="9" t="str">
        <f>VLOOKUP(tdata[[#This Row],[id_employee]],temployee[#All],5,0)</f>
        <v>rider</v>
      </c>
    </row>
    <row r="1016" spans="2:19" x14ac:dyDescent="0.35">
      <c r="B1016" s="8" t="s">
        <v>1035</v>
      </c>
      <c r="C1016" s="2" t="s">
        <v>1285</v>
      </c>
      <c r="D1016" s="5">
        <v>45496</v>
      </c>
      <c r="E1016" s="5">
        <v>45499</v>
      </c>
      <c r="F1016" s="2" t="s">
        <v>20</v>
      </c>
      <c r="G1016" s="2" t="s">
        <v>20</v>
      </c>
      <c r="H1016" s="2" t="s">
        <v>1223</v>
      </c>
      <c r="I1016" s="2" t="s">
        <v>17</v>
      </c>
      <c r="J1016" s="2">
        <v>10.06</v>
      </c>
      <c r="K1016" s="2" t="str">
        <f t="shared" si="41"/>
        <v>&gt;5kg</v>
      </c>
      <c r="L1016" s="2">
        <f>tdata[[#This Row],[Received_date]]-tdata[[#This Row],[Shipment_Date]]</f>
        <v>3</v>
      </c>
      <c r="M1016" s="2">
        <f>VLOOKUP(tdata[[#This Row],[Service_Type]],Table2[#All],2,0)</f>
        <v>1</v>
      </c>
      <c r="N1016" s="2" t="str">
        <f>IF(tdata[[#This Row],[Delivery_Days]]&lt;=tdata[[#This Row],[SLA_Days]],"On Time","Late")</f>
        <v>Late</v>
      </c>
      <c r="O1016" s="2">
        <f>VLOOKUP(tdata[[#This Row],[Service_Type]],Table2[#All],4,0)</f>
        <v>12000</v>
      </c>
      <c r="P1016" s="2">
        <f>tdata[[#This Row],[price_per_kilo]]*tdata[[#This Row],[Weight_KG]]</f>
        <v>120720</v>
      </c>
      <c r="Q1016" s="2" t="str">
        <f>VLOOKUP(tdata[[#This Row],[id_employee]],temployee[#All],2,0)</f>
        <v>Rizky Ananda</v>
      </c>
      <c r="R1016" s="2" t="str">
        <f>VLOOKUP(tdata[[#This Row],[id_employee]],temployee[#All],4,0)</f>
        <v>crowd source</v>
      </c>
      <c r="S1016" s="9" t="str">
        <f>VLOOKUP(tdata[[#This Row],[id_employee]],temployee[#All],5,0)</f>
        <v>rider</v>
      </c>
    </row>
    <row r="1017" spans="2:19" x14ac:dyDescent="0.35">
      <c r="B1017" s="8" t="s">
        <v>1036</v>
      </c>
      <c r="C1017" s="2" t="s">
        <v>1286</v>
      </c>
      <c r="D1017" s="5">
        <v>45117</v>
      </c>
      <c r="E1017" s="5">
        <v>45119</v>
      </c>
      <c r="F1017" s="2" t="s">
        <v>22</v>
      </c>
      <c r="G1017" s="2" t="s">
        <v>26</v>
      </c>
      <c r="H1017" s="2" t="s">
        <v>1224</v>
      </c>
      <c r="I1017" s="2" t="s">
        <v>13</v>
      </c>
      <c r="J1017" s="2">
        <v>6.69</v>
      </c>
      <c r="K1017" s="2" t="str">
        <f t="shared" si="41"/>
        <v>&gt;5kg</v>
      </c>
      <c r="L1017" s="2">
        <f>tdata[[#This Row],[Received_date]]-tdata[[#This Row],[Shipment_Date]]</f>
        <v>2</v>
      </c>
      <c r="M1017" s="2">
        <f>VLOOKUP(tdata[[#This Row],[Service_Type]],Table2[#All],2,0)</f>
        <v>3</v>
      </c>
      <c r="N1017" s="2" t="str">
        <f>IF(tdata[[#This Row],[Delivery_Days]]&lt;=tdata[[#This Row],[SLA_Days]],"On Time","Late")</f>
        <v>On Time</v>
      </c>
      <c r="O1017" s="2">
        <f>VLOOKUP(tdata[[#This Row],[Service_Type]],Table2[#All],4,0)</f>
        <v>10000</v>
      </c>
      <c r="P1017" s="2">
        <f>tdata[[#This Row],[price_per_kilo]]*tdata[[#This Row],[Weight_KG]]</f>
        <v>66900</v>
      </c>
      <c r="Q1017" s="2" t="str">
        <f>VLOOKUP(tdata[[#This Row],[id_employee]],temployee[#All],2,0)</f>
        <v>Nanda Prakoso</v>
      </c>
      <c r="R1017" s="2" t="str">
        <f>VLOOKUP(tdata[[#This Row],[id_employee]],temployee[#All],4,0)</f>
        <v>internal</v>
      </c>
      <c r="S1017" s="9" t="str">
        <f>VLOOKUP(tdata[[#This Row],[id_employee]],temployee[#All],5,0)</f>
        <v>driver</v>
      </c>
    </row>
    <row r="1018" spans="2:19" x14ac:dyDescent="0.35">
      <c r="B1018" s="8" t="s">
        <v>1037</v>
      </c>
      <c r="C1018" s="2" t="s">
        <v>1287</v>
      </c>
      <c r="D1018" s="5">
        <v>44939</v>
      </c>
      <c r="E1018" s="5">
        <v>44947</v>
      </c>
      <c r="F1018" s="2" t="s">
        <v>12</v>
      </c>
      <c r="G1018" s="2" t="s">
        <v>30</v>
      </c>
      <c r="H1018" s="2" t="s">
        <v>23</v>
      </c>
      <c r="I1018" s="2" t="s">
        <v>17</v>
      </c>
      <c r="J1018" s="2">
        <v>3.68</v>
      </c>
      <c r="K1018" s="2" t="str">
        <f t="shared" si="41"/>
        <v>&lt; 5kg</v>
      </c>
      <c r="L1018" s="2">
        <f>tdata[[#This Row],[Received_date]]-tdata[[#This Row],[Shipment_Date]]</f>
        <v>8</v>
      </c>
      <c r="M1018" s="2">
        <f>VLOOKUP(tdata[[#This Row],[Service_Type]],Table2[#All],2,0)</f>
        <v>5</v>
      </c>
      <c r="N1018" s="2" t="str">
        <f>IF(tdata[[#This Row],[Delivery_Days]]&lt;=tdata[[#This Row],[SLA_Days]],"On Time","Late")</f>
        <v>Late</v>
      </c>
      <c r="O1018" s="2">
        <f>VLOOKUP(tdata[[#This Row],[Service_Type]],Table2[#All],4,0)</f>
        <v>9000</v>
      </c>
      <c r="P1018" s="2">
        <f>tdata[[#This Row],[price_per_kilo]]*tdata[[#This Row],[Weight_KG]]</f>
        <v>33120</v>
      </c>
      <c r="Q1018" s="2" t="str">
        <f>VLOOKUP(tdata[[#This Row],[id_employee]],temployee[#All],2,0)</f>
        <v>Oktavian Yusuf</v>
      </c>
      <c r="R1018" s="2" t="str">
        <f>VLOOKUP(tdata[[#This Row],[id_employee]],temployee[#All],4,0)</f>
        <v>crowd source</v>
      </c>
      <c r="S1018" s="9" t="str">
        <f>VLOOKUP(tdata[[#This Row],[id_employee]],temployee[#All],5,0)</f>
        <v>driver</v>
      </c>
    </row>
    <row r="1019" spans="2:19" x14ac:dyDescent="0.35">
      <c r="B1019" s="8" t="s">
        <v>1038</v>
      </c>
      <c r="C1019" s="2" t="s">
        <v>1288</v>
      </c>
      <c r="D1019" s="5">
        <v>44938</v>
      </c>
      <c r="E1019" s="5">
        <v>44938</v>
      </c>
      <c r="F1019" s="2" t="s">
        <v>30</v>
      </c>
      <c r="G1019" s="2" t="s">
        <v>11</v>
      </c>
      <c r="H1019" s="2" t="s">
        <v>1224</v>
      </c>
      <c r="I1019" s="2" t="s">
        <v>17</v>
      </c>
      <c r="J1019" s="2">
        <v>0.66</v>
      </c>
      <c r="K1019" s="2" t="str">
        <f t="shared" si="41"/>
        <v>&lt; 5kg</v>
      </c>
      <c r="L1019" s="2">
        <f>tdata[[#This Row],[Received_date]]-tdata[[#This Row],[Shipment_Date]]</f>
        <v>0</v>
      </c>
      <c r="M1019" s="2">
        <f>VLOOKUP(tdata[[#This Row],[Service_Type]],Table2[#All],2,0)</f>
        <v>3</v>
      </c>
      <c r="N1019" s="2" t="str">
        <f>IF(tdata[[#This Row],[Delivery_Days]]&lt;=tdata[[#This Row],[SLA_Days]],"On Time","Late")</f>
        <v>On Time</v>
      </c>
      <c r="O1019" s="2">
        <f>VLOOKUP(tdata[[#This Row],[Service_Type]],Table2[#All],4,0)</f>
        <v>10000</v>
      </c>
      <c r="P1019" s="2">
        <f>tdata[[#This Row],[price_per_kilo]]*tdata[[#This Row],[Weight_KG]]</f>
        <v>6600</v>
      </c>
      <c r="Q1019" s="2" t="str">
        <f>VLOOKUP(tdata[[#This Row],[id_employee]],temployee[#All],2,0)</f>
        <v>Putri Ayu Lestari</v>
      </c>
      <c r="R1019" s="2" t="str">
        <f>VLOOKUP(tdata[[#This Row],[id_employee]],temployee[#All],4,0)</f>
        <v>internal</v>
      </c>
      <c r="S1019" s="9" t="str">
        <f>VLOOKUP(tdata[[#This Row],[id_employee]],temployee[#All],5,0)</f>
        <v>rider</v>
      </c>
    </row>
    <row r="1020" spans="2:19" x14ac:dyDescent="0.35">
      <c r="B1020" s="8" t="s">
        <v>1039</v>
      </c>
      <c r="C1020" s="2" t="s">
        <v>1289</v>
      </c>
      <c r="D1020" s="5">
        <v>45197</v>
      </c>
      <c r="E1020" s="5">
        <v>45202</v>
      </c>
      <c r="F1020" s="2" t="s">
        <v>32</v>
      </c>
      <c r="G1020" s="2" t="s">
        <v>30</v>
      </c>
      <c r="H1020" s="2" t="s">
        <v>1223</v>
      </c>
      <c r="I1020" s="2" t="s">
        <v>17</v>
      </c>
      <c r="J1020" s="2">
        <v>9.98</v>
      </c>
      <c r="K1020" s="2" t="str">
        <f t="shared" si="41"/>
        <v>&gt;5kg</v>
      </c>
      <c r="L1020" s="2">
        <f>tdata[[#This Row],[Received_date]]-tdata[[#This Row],[Shipment_Date]]</f>
        <v>5</v>
      </c>
      <c r="M1020" s="2">
        <f>VLOOKUP(tdata[[#This Row],[Service_Type]],Table2[#All],2,0)</f>
        <v>1</v>
      </c>
      <c r="N1020" s="2" t="str">
        <f>IF(tdata[[#This Row],[Delivery_Days]]&lt;=tdata[[#This Row],[SLA_Days]],"On Time","Late")</f>
        <v>Late</v>
      </c>
      <c r="O1020" s="2">
        <f>VLOOKUP(tdata[[#This Row],[Service_Type]],Table2[#All],4,0)</f>
        <v>12000</v>
      </c>
      <c r="P1020" s="2">
        <f>tdata[[#This Row],[price_per_kilo]]*tdata[[#This Row],[Weight_KG]]</f>
        <v>119760</v>
      </c>
      <c r="Q1020" s="2" t="str">
        <f>VLOOKUP(tdata[[#This Row],[id_employee]],temployee[#All],2,0)</f>
        <v>Rafi Maulana</v>
      </c>
      <c r="R1020" s="2" t="str">
        <f>VLOOKUP(tdata[[#This Row],[id_employee]],temployee[#All],4,0)</f>
        <v>internal</v>
      </c>
      <c r="S1020" s="9" t="str">
        <f>VLOOKUP(tdata[[#This Row],[id_employee]],temployee[#All],5,0)</f>
        <v>rider</v>
      </c>
    </row>
    <row r="1021" spans="2:19" x14ac:dyDescent="0.35">
      <c r="B1021" s="8" t="s">
        <v>1040</v>
      </c>
      <c r="C1021" s="2" t="s">
        <v>1290</v>
      </c>
      <c r="D1021" s="5">
        <v>45438</v>
      </c>
      <c r="E1021" s="5">
        <f>D1021+4</f>
        <v>45442</v>
      </c>
      <c r="F1021" s="2" t="s">
        <v>16</v>
      </c>
      <c r="G1021" s="2" t="s">
        <v>20</v>
      </c>
      <c r="H1021" s="2" t="s">
        <v>1224</v>
      </c>
      <c r="I1021" s="2" t="s">
        <v>17</v>
      </c>
      <c r="J1021" s="2">
        <v>5.48</v>
      </c>
      <c r="K1021" s="2" t="str">
        <f t="shared" si="41"/>
        <v>&gt;5kg</v>
      </c>
      <c r="L1021" s="2">
        <f>tdata[[#This Row],[Received_date]]-tdata[[#This Row],[Shipment_Date]]</f>
        <v>4</v>
      </c>
      <c r="M1021" s="2">
        <f>VLOOKUP(tdata[[#This Row],[Service_Type]],Table2[#All],2,0)</f>
        <v>3</v>
      </c>
      <c r="N1021" s="2" t="str">
        <f>IF(tdata[[#This Row],[Delivery_Days]]&lt;=tdata[[#This Row],[SLA_Days]],"On Time","Late")</f>
        <v>Late</v>
      </c>
      <c r="O1021" s="2">
        <f>VLOOKUP(tdata[[#This Row],[Service_Type]],Table2[#All],4,0)</f>
        <v>10000</v>
      </c>
      <c r="P1021" s="2">
        <f>tdata[[#This Row],[price_per_kilo]]*tdata[[#This Row],[Weight_KG]]</f>
        <v>54800.000000000007</v>
      </c>
      <c r="Q1021" s="2" t="str">
        <f>VLOOKUP(tdata[[#This Row],[id_employee]],temployee[#All],2,0)</f>
        <v>Sari Puspita</v>
      </c>
      <c r="R1021" s="2" t="str">
        <f>VLOOKUP(tdata[[#This Row],[id_employee]],temployee[#All],4,0)</f>
        <v>crowd source</v>
      </c>
      <c r="S1021" s="9" t="str">
        <f>VLOOKUP(tdata[[#This Row],[id_employee]],temployee[#All],5,0)</f>
        <v>rider</v>
      </c>
    </row>
    <row r="1022" spans="2:19" x14ac:dyDescent="0.35">
      <c r="B1022" s="8" t="s">
        <v>1041</v>
      </c>
      <c r="C1022" s="2" t="s">
        <v>1291</v>
      </c>
      <c r="D1022" s="5">
        <v>45363</v>
      </c>
      <c r="E1022" s="5">
        <v>45364</v>
      </c>
      <c r="F1022" s="2" t="s">
        <v>26</v>
      </c>
      <c r="G1022" s="2" t="s">
        <v>11</v>
      </c>
      <c r="H1022" s="2" t="s">
        <v>1223</v>
      </c>
      <c r="I1022" s="2" t="s">
        <v>17</v>
      </c>
      <c r="J1022" s="2">
        <v>10.41</v>
      </c>
      <c r="K1022" s="2" t="str">
        <f t="shared" si="41"/>
        <v>&gt;5kg</v>
      </c>
      <c r="L1022" s="2">
        <f>tdata[[#This Row],[Received_date]]-tdata[[#This Row],[Shipment_Date]]</f>
        <v>1</v>
      </c>
      <c r="M1022" s="2">
        <f>VLOOKUP(tdata[[#This Row],[Service_Type]],Table2[#All],2,0)</f>
        <v>1</v>
      </c>
      <c r="N1022" s="2" t="str">
        <f>IF(tdata[[#This Row],[Delivery_Days]]&lt;=tdata[[#This Row],[SLA_Days]],"On Time","Late")</f>
        <v>On Time</v>
      </c>
      <c r="O1022" s="2">
        <f>VLOOKUP(tdata[[#This Row],[Service_Type]],Table2[#All],4,0)</f>
        <v>12000</v>
      </c>
      <c r="P1022" s="2">
        <f>tdata[[#This Row],[price_per_kilo]]*tdata[[#This Row],[Weight_KG]]</f>
        <v>124920</v>
      </c>
      <c r="Q1022" s="2" t="str">
        <f>VLOOKUP(tdata[[#This Row],[id_employee]],temployee[#All],2,0)</f>
        <v>Teguh Wibowo</v>
      </c>
      <c r="R1022" s="2" t="str">
        <f>VLOOKUP(tdata[[#This Row],[id_employee]],temployee[#All],4,0)</f>
        <v>internal</v>
      </c>
      <c r="S1022" s="9" t="str">
        <f>VLOOKUP(tdata[[#This Row],[id_employee]],temployee[#All],5,0)</f>
        <v>driver</v>
      </c>
    </row>
    <row r="1023" spans="2:19" x14ac:dyDescent="0.35">
      <c r="B1023" s="8" t="s">
        <v>1042</v>
      </c>
      <c r="C1023" s="2" t="s">
        <v>1292</v>
      </c>
      <c r="D1023" s="5">
        <v>45409</v>
      </c>
      <c r="E1023" s="5">
        <f t="shared" ref="E1023:E1024" si="42">D1023+4</f>
        <v>45413</v>
      </c>
      <c r="F1023" s="2" t="s">
        <v>49</v>
      </c>
      <c r="G1023" s="2" t="s">
        <v>16</v>
      </c>
      <c r="H1023" s="2" t="s">
        <v>1224</v>
      </c>
      <c r="I1023" s="2" t="s">
        <v>13</v>
      </c>
      <c r="J1023" s="2">
        <v>10.039999999999999</v>
      </c>
      <c r="K1023" s="2" t="str">
        <f t="shared" si="41"/>
        <v>&gt;5kg</v>
      </c>
      <c r="L1023" s="2">
        <f>tdata[[#This Row],[Received_date]]-tdata[[#This Row],[Shipment_Date]]</f>
        <v>4</v>
      </c>
      <c r="M1023" s="2">
        <f>VLOOKUP(tdata[[#This Row],[Service_Type]],Table2[#All],2,0)</f>
        <v>3</v>
      </c>
      <c r="N1023" s="2" t="str">
        <f>IF(tdata[[#This Row],[Delivery_Days]]&lt;=tdata[[#This Row],[SLA_Days]],"On Time","Late")</f>
        <v>Late</v>
      </c>
      <c r="O1023" s="2">
        <f>VLOOKUP(tdata[[#This Row],[Service_Type]],Table2[#All],4,0)</f>
        <v>10000</v>
      </c>
      <c r="P1023" s="2">
        <f>tdata[[#This Row],[price_per_kilo]]*tdata[[#This Row],[Weight_KG]]</f>
        <v>100399.99999999999</v>
      </c>
      <c r="Q1023" s="2" t="str">
        <f>VLOOKUP(tdata[[#This Row],[id_employee]],temployee[#All],2,0)</f>
        <v>Umi Kalsum</v>
      </c>
      <c r="R1023" s="2" t="str">
        <f>VLOOKUP(tdata[[#This Row],[id_employee]],temployee[#All],4,0)</f>
        <v>crowd source</v>
      </c>
      <c r="S1023" s="9" t="str">
        <f>VLOOKUP(tdata[[#This Row],[id_employee]],temployee[#All],5,0)</f>
        <v>rider</v>
      </c>
    </row>
    <row r="1024" spans="2:19" x14ac:dyDescent="0.35">
      <c r="B1024" s="8" t="s">
        <v>1043</v>
      </c>
      <c r="C1024" s="2" t="s">
        <v>1293</v>
      </c>
      <c r="D1024" s="5">
        <v>45174</v>
      </c>
      <c r="E1024" s="5">
        <f t="shared" si="42"/>
        <v>45178</v>
      </c>
      <c r="F1024" s="2" t="s">
        <v>11</v>
      </c>
      <c r="G1024" s="2" t="s">
        <v>20</v>
      </c>
      <c r="H1024" s="2" t="s">
        <v>1224</v>
      </c>
      <c r="I1024" s="2" t="s">
        <v>13</v>
      </c>
      <c r="J1024" s="2">
        <v>5.37</v>
      </c>
      <c r="K1024" s="2" t="str">
        <f t="shared" si="41"/>
        <v>&gt;5kg</v>
      </c>
      <c r="L1024" s="2">
        <f>tdata[[#This Row],[Received_date]]-tdata[[#This Row],[Shipment_Date]]</f>
        <v>4</v>
      </c>
      <c r="M1024" s="2">
        <f>VLOOKUP(tdata[[#This Row],[Service_Type]],Table2[#All],2,0)</f>
        <v>3</v>
      </c>
      <c r="N1024" s="2" t="str">
        <f>IF(tdata[[#This Row],[Delivery_Days]]&lt;=tdata[[#This Row],[SLA_Days]],"On Time","Late")</f>
        <v>Late</v>
      </c>
      <c r="O1024" s="2">
        <f>VLOOKUP(tdata[[#This Row],[Service_Type]],Table2[#All],4,0)</f>
        <v>10000</v>
      </c>
      <c r="P1024" s="2">
        <f>tdata[[#This Row],[price_per_kilo]]*tdata[[#This Row],[Weight_KG]]</f>
        <v>53700</v>
      </c>
      <c r="Q1024" s="2" t="str">
        <f>VLOOKUP(tdata[[#This Row],[id_employee]],temployee[#All],2,0)</f>
        <v>Vina Oktaviani</v>
      </c>
      <c r="R1024" s="2" t="str">
        <f>VLOOKUP(tdata[[#This Row],[id_employee]],temployee[#All],4,0)</f>
        <v>internal</v>
      </c>
      <c r="S1024" s="9" t="str">
        <f>VLOOKUP(tdata[[#This Row],[id_employee]],temployee[#All],5,0)</f>
        <v>rider</v>
      </c>
    </row>
    <row r="1025" spans="2:19" x14ac:dyDescent="0.35">
      <c r="B1025" s="8" t="s">
        <v>1044</v>
      </c>
      <c r="C1025" s="2" t="s">
        <v>1294</v>
      </c>
      <c r="D1025" s="5">
        <v>45012</v>
      </c>
      <c r="E1025" s="5">
        <v>45013</v>
      </c>
      <c r="F1025" s="2" t="s">
        <v>15</v>
      </c>
      <c r="G1025" s="2" t="s">
        <v>16</v>
      </c>
      <c r="H1025" s="2" t="s">
        <v>1223</v>
      </c>
      <c r="I1025" s="2" t="s">
        <v>13</v>
      </c>
      <c r="J1025" s="2">
        <v>8.34</v>
      </c>
      <c r="K1025" s="2" t="str">
        <f t="shared" si="41"/>
        <v>&gt;5kg</v>
      </c>
      <c r="L1025" s="2">
        <f>tdata[[#This Row],[Received_date]]-tdata[[#This Row],[Shipment_Date]]</f>
        <v>1</v>
      </c>
      <c r="M1025" s="2">
        <f>VLOOKUP(tdata[[#This Row],[Service_Type]],Table2[#All],2,0)</f>
        <v>1</v>
      </c>
      <c r="N1025" s="2" t="str">
        <f>IF(tdata[[#This Row],[Delivery_Days]]&lt;=tdata[[#This Row],[SLA_Days]],"On Time","Late")</f>
        <v>On Time</v>
      </c>
      <c r="O1025" s="2">
        <f>VLOOKUP(tdata[[#This Row],[Service_Type]],Table2[#All],4,0)</f>
        <v>12000</v>
      </c>
      <c r="P1025" s="2">
        <f>tdata[[#This Row],[price_per_kilo]]*tdata[[#This Row],[Weight_KG]]</f>
        <v>100080</v>
      </c>
      <c r="Q1025" s="2" t="str">
        <f>VLOOKUP(tdata[[#This Row],[id_employee]],temployee[#All],2,0)</f>
        <v>Wahyu Setiawan</v>
      </c>
      <c r="R1025" s="2" t="str">
        <f>VLOOKUP(tdata[[#This Row],[id_employee]],temployee[#All],4,0)</f>
        <v>crowd source</v>
      </c>
      <c r="S1025" s="9" t="str">
        <f>VLOOKUP(tdata[[#This Row],[id_employee]],temployee[#All],5,0)</f>
        <v>driver</v>
      </c>
    </row>
    <row r="1026" spans="2:19" x14ac:dyDescent="0.35">
      <c r="B1026" s="8" t="s">
        <v>1045</v>
      </c>
      <c r="C1026" s="2" t="s">
        <v>1295</v>
      </c>
      <c r="D1026" s="5">
        <v>45388</v>
      </c>
      <c r="E1026" s="5">
        <v>45392</v>
      </c>
      <c r="F1026" s="2" t="s">
        <v>20</v>
      </c>
      <c r="G1026" s="2" t="s">
        <v>12</v>
      </c>
      <c r="H1026" s="2" t="s">
        <v>23</v>
      </c>
      <c r="I1026" s="2" t="s">
        <v>13</v>
      </c>
      <c r="J1026" s="2">
        <v>2.62</v>
      </c>
      <c r="K1026" s="2" t="str">
        <f t="shared" si="41"/>
        <v>&lt; 5kg</v>
      </c>
      <c r="L1026" s="2">
        <f>tdata[[#This Row],[Received_date]]-tdata[[#This Row],[Shipment_Date]]</f>
        <v>4</v>
      </c>
      <c r="M1026" s="2">
        <f>VLOOKUP(tdata[[#This Row],[Service_Type]],Table2[#All],2,0)</f>
        <v>5</v>
      </c>
      <c r="N1026" s="2" t="str">
        <f>IF(tdata[[#This Row],[Delivery_Days]]&lt;=tdata[[#This Row],[SLA_Days]],"On Time","Late")</f>
        <v>On Time</v>
      </c>
      <c r="O1026" s="2">
        <f>VLOOKUP(tdata[[#This Row],[Service_Type]],Table2[#All],4,0)</f>
        <v>9000</v>
      </c>
      <c r="P1026" s="2">
        <f>tdata[[#This Row],[price_per_kilo]]*tdata[[#This Row],[Weight_KG]]</f>
        <v>23580</v>
      </c>
      <c r="Q1026" s="2" t="str">
        <f>VLOOKUP(tdata[[#This Row],[id_employee]],temployee[#All],2,0)</f>
        <v>Yogi Firmansyah</v>
      </c>
      <c r="R1026" s="2" t="str">
        <f>VLOOKUP(tdata[[#This Row],[id_employee]],temployee[#All],4,0)</f>
        <v>internal</v>
      </c>
      <c r="S1026" s="9" t="str">
        <f>VLOOKUP(tdata[[#This Row],[id_employee]],temployee[#All],5,0)</f>
        <v>driver</v>
      </c>
    </row>
    <row r="1027" spans="2:19" x14ac:dyDescent="0.35">
      <c r="B1027" s="8" t="s">
        <v>1046</v>
      </c>
      <c r="C1027" s="2" t="s">
        <v>1296</v>
      </c>
      <c r="D1027" s="5">
        <v>45104</v>
      </c>
      <c r="E1027" s="5">
        <v>45114</v>
      </c>
      <c r="F1027" s="2" t="s">
        <v>22</v>
      </c>
      <c r="G1027" s="2" t="s">
        <v>49</v>
      </c>
      <c r="H1027" s="2" t="s">
        <v>1224</v>
      </c>
      <c r="I1027" s="2" t="s">
        <v>17</v>
      </c>
      <c r="J1027" s="2">
        <v>7.19</v>
      </c>
      <c r="K1027" s="2" t="str">
        <f t="shared" si="41"/>
        <v>&gt;5kg</v>
      </c>
      <c r="L1027" s="2">
        <f>tdata[[#This Row],[Received_date]]-tdata[[#This Row],[Shipment_Date]]</f>
        <v>10</v>
      </c>
      <c r="M1027" s="2">
        <f>VLOOKUP(tdata[[#This Row],[Service_Type]],Table2[#All],2,0)</f>
        <v>3</v>
      </c>
      <c r="N1027" s="2" t="str">
        <f>IF(tdata[[#This Row],[Delivery_Days]]&lt;=tdata[[#This Row],[SLA_Days]],"On Time","Late")</f>
        <v>Late</v>
      </c>
      <c r="O1027" s="2">
        <f>VLOOKUP(tdata[[#This Row],[Service_Type]],Table2[#All],4,0)</f>
        <v>10000</v>
      </c>
      <c r="P1027" s="2">
        <f>tdata[[#This Row],[price_per_kilo]]*tdata[[#This Row],[Weight_KG]]</f>
        <v>71900</v>
      </c>
      <c r="Q1027" s="2" t="str">
        <f>VLOOKUP(tdata[[#This Row],[id_employee]],temployee[#All],2,0)</f>
        <v>Zainal Abidin</v>
      </c>
      <c r="R1027" s="2" t="str">
        <f>VLOOKUP(tdata[[#This Row],[id_employee]],temployee[#All],4,0)</f>
        <v>crowd source</v>
      </c>
      <c r="S1027" s="9" t="str">
        <f>VLOOKUP(tdata[[#This Row],[id_employee]],temployee[#All],5,0)</f>
        <v>driver</v>
      </c>
    </row>
    <row r="1028" spans="2:19" x14ac:dyDescent="0.35">
      <c r="B1028" s="8" t="s">
        <v>1047</v>
      </c>
      <c r="C1028" s="2" t="s">
        <v>1297</v>
      </c>
      <c r="D1028" s="5">
        <v>45441</v>
      </c>
      <c r="E1028" s="5">
        <v>45451</v>
      </c>
      <c r="F1028" s="2" t="s">
        <v>12</v>
      </c>
      <c r="G1028" s="2" t="s">
        <v>32</v>
      </c>
      <c r="H1028" s="2" t="s">
        <v>1223</v>
      </c>
      <c r="I1028" s="2" t="s">
        <v>13</v>
      </c>
      <c r="J1028" s="2">
        <v>6.37</v>
      </c>
      <c r="K1028" s="2" t="str">
        <f t="shared" si="41"/>
        <v>&gt;5kg</v>
      </c>
      <c r="L1028" s="2">
        <f>tdata[[#This Row],[Received_date]]-tdata[[#This Row],[Shipment_Date]]</f>
        <v>10</v>
      </c>
      <c r="M1028" s="2">
        <f>VLOOKUP(tdata[[#This Row],[Service_Type]],Table2[#All],2,0)</f>
        <v>1</v>
      </c>
      <c r="N1028" s="2" t="str">
        <f>IF(tdata[[#This Row],[Delivery_Days]]&lt;=tdata[[#This Row],[SLA_Days]],"On Time","Late")</f>
        <v>Late</v>
      </c>
      <c r="O1028" s="2">
        <f>VLOOKUP(tdata[[#This Row],[Service_Type]],Table2[#All],4,0)</f>
        <v>12000</v>
      </c>
      <c r="P1028" s="2">
        <f>tdata[[#This Row],[price_per_kilo]]*tdata[[#This Row],[Weight_KG]]</f>
        <v>76440</v>
      </c>
      <c r="Q1028" s="2" t="str">
        <f>VLOOKUP(tdata[[#This Row],[id_employee]],temployee[#All],2,0)</f>
        <v>Ahmad Fauzi</v>
      </c>
      <c r="R1028" s="2" t="str">
        <f>VLOOKUP(tdata[[#This Row],[id_employee]],temployee[#All],4,0)</f>
        <v>internal</v>
      </c>
      <c r="S1028" s="9" t="str">
        <f>VLOOKUP(tdata[[#This Row],[id_employee]],temployee[#All],5,0)</f>
        <v>rider</v>
      </c>
    </row>
    <row r="1029" spans="2:19" x14ac:dyDescent="0.35">
      <c r="B1029" s="8" t="s">
        <v>1048</v>
      </c>
      <c r="C1029" s="2" t="s">
        <v>1298</v>
      </c>
      <c r="D1029" s="5">
        <v>45022</v>
      </c>
      <c r="E1029" s="5">
        <v>45023</v>
      </c>
      <c r="F1029" s="2" t="s">
        <v>30</v>
      </c>
      <c r="G1029" s="2" t="s">
        <v>49</v>
      </c>
      <c r="H1029" s="2" t="s">
        <v>23</v>
      </c>
      <c r="I1029" s="2" t="s">
        <v>17</v>
      </c>
      <c r="J1029" s="2">
        <v>4.83</v>
      </c>
      <c r="K1029" s="2" t="str">
        <f t="shared" ref="K1029:K1092" si="43">IF(J1029&lt;5,"&lt; 5kg", "&gt;5kg")</f>
        <v>&lt; 5kg</v>
      </c>
      <c r="L1029" s="2">
        <f>tdata[[#This Row],[Received_date]]-tdata[[#This Row],[Shipment_Date]]</f>
        <v>1</v>
      </c>
      <c r="M1029" s="2">
        <f>VLOOKUP(tdata[[#This Row],[Service_Type]],Table2[#All],2,0)</f>
        <v>5</v>
      </c>
      <c r="N1029" s="2" t="str">
        <f>IF(tdata[[#This Row],[Delivery_Days]]&lt;=tdata[[#This Row],[SLA_Days]],"On Time","Late")</f>
        <v>On Time</v>
      </c>
      <c r="O1029" s="2">
        <f>VLOOKUP(tdata[[#This Row],[Service_Type]],Table2[#All],4,0)</f>
        <v>9000</v>
      </c>
      <c r="P1029" s="2">
        <f>tdata[[#This Row],[price_per_kilo]]*tdata[[#This Row],[Weight_KG]]</f>
        <v>43470</v>
      </c>
      <c r="Q1029" s="2" t="str">
        <f>VLOOKUP(tdata[[#This Row],[id_employee]],temployee[#All],2,0)</f>
        <v>Bayu Ramadhan</v>
      </c>
      <c r="R1029" s="2" t="str">
        <f>VLOOKUP(tdata[[#This Row],[id_employee]],temployee[#All],4,0)</f>
        <v>crowd source</v>
      </c>
      <c r="S1029" s="9" t="str">
        <f>VLOOKUP(tdata[[#This Row],[id_employee]],temployee[#All],5,0)</f>
        <v>rider</v>
      </c>
    </row>
    <row r="1030" spans="2:19" x14ac:dyDescent="0.35">
      <c r="B1030" s="8" t="s">
        <v>1049</v>
      </c>
      <c r="C1030" s="2" t="s">
        <v>1299</v>
      </c>
      <c r="D1030" s="5">
        <v>45479</v>
      </c>
      <c r="E1030" s="5">
        <f>D1030+4</f>
        <v>45483</v>
      </c>
      <c r="F1030" s="2" t="s">
        <v>32</v>
      </c>
      <c r="G1030" s="2" t="s">
        <v>11</v>
      </c>
      <c r="H1030" s="2" t="s">
        <v>1223</v>
      </c>
      <c r="I1030" s="2" t="s">
        <v>17</v>
      </c>
      <c r="J1030" s="2">
        <v>10.17</v>
      </c>
      <c r="K1030" s="2" t="str">
        <f t="shared" si="43"/>
        <v>&gt;5kg</v>
      </c>
      <c r="L1030" s="2">
        <f>tdata[[#This Row],[Received_date]]-tdata[[#This Row],[Shipment_Date]]</f>
        <v>4</v>
      </c>
      <c r="M1030" s="2">
        <f>VLOOKUP(tdata[[#This Row],[Service_Type]],Table2[#All],2,0)</f>
        <v>1</v>
      </c>
      <c r="N1030" s="2" t="str">
        <f>IF(tdata[[#This Row],[Delivery_Days]]&lt;=tdata[[#This Row],[SLA_Days]],"On Time","Late")</f>
        <v>Late</v>
      </c>
      <c r="O1030" s="2">
        <f>VLOOKUP(tdata[[#This Row],[Service_Type]],Table2[#All],4,0)</f>
        <v>12000</v>
      </c>
      <c r="P1030" s="2">
        <f>tdata[[#This Row],[price_per_kilo]]*tdata[[#This Row],[Weight_KG]]</f>
        <v>122040</v>
      </c>
      <c r="Q1030" s="2" t="str">
        <f>VLOOKUP(tdata[[#This Row],[id_employee]],temployee[#All],2,0)</f>
        <v>Cindy Oktavia</v>
      </c>
      <c r="R1030" s="2" t="str">
        <f>VLOOKUP(tdata[[#This Row],[id_employee]],temployee[#All],4,0)</f>
        <v>internal</v>
      </c>
      <c r="S1030" s="9" t="str">
        <f>VLOOKUP(tdata[[#This Row],[id_employee]],temployee[#All],5,0)</f>
        <v>rider</v>
      </c>
    </row>
    <row r="1031" spans="2:19" x14ac:dyDescent="0.35">
      <c r="B1031" s="8" t="s">
        <v>1050</v>
      </c>
      <c r="C1031" s="2" t="s">
        <v>1300</v>
      </c>
      <c r="D1031" s="5">
        <v>45461</v>
      </c>
      <c r="E1031" s="5">
        <v>45468</v>
      </c>
      <c r="F1031" s="2" t="s">
        <v>16</v>
      </c>
      <c r="G1031" s="2" t="s">
        <v>32</v>
      </c>
      <c r="H1031" s="2" t="s">
        <v>1224</v>
      </c>
      <c r="I1031" s="2" t="s">
        <v>17</v>
      </c>
      <c r="J1031" s="2">
        <v>6.61</v>
      </c>
      <c r="K1031" s="2" t="str">
        <f t="shared" si="43"/>
        <v>&gt;5kg</v>
      </c>
      <c r="L1031" s="2">
        <f>tdata[[#This Row],[Received_date]]-tdata[[#This Row],[Shipment_Date]]</f>
        <v>7</v>
      </c>
      <c r="M1031" s="2">
        <f>VLOOKUP(tdata[[#This Row],[Service_Type]],Table2[#All],2,0)</f>
        <v>3</v>
      </c>
      <c r="N1031" s="2" t="str">
        <f>IF(tdata[[#This Row],[Delivery_Days]]&lt;=tdata[[#This Row],[SLA_Days]],"On Time","Late")</f>
        <v>Late</v>
      </c>
      <c r="O1031" s="2">
        <f>VLOOKUP(tdata[[#This Row],[Service_Type]],Table2[#All],4,0)</f>
        <v>10000</v>
      </c>
      <c r="P1031" s="2">
        <f>tdata[[#This Row],[price_per_kilo]]*tdata[[#This Row],[Weight_KG]]</f>
        <v>66100</v>
      </c>
      <c r="Q1031" s="2" t="str">
        <f>VLOOKUP(tdata[[#This Row],[id_employee]],temployee[#All],2,0)</f>
        <v>Dian Pramudya</v>
      </c>
      <c r="R1031" s="2" t="str">
        <f>VLOOKUP(tdata[[#This Row],[id_employee]],temployee[#All],4,0)</f>
        <v>crowd source</v>
      </c>
      <c r="S1031" s="9" t="str">
        <f>VLOOKUP(tdata[[#This Row],[id_employee]],temployee[#All],5,0)</f>
        <v>driver</v>
      </c>
    </row>
    <row r="1032" spans="2:19" x14ac:dyDescent="0.35">
      <c r="B1032" s="8" t="s">
        <v>1051</v>
      </c>
      <c r="C1032" s="2" t="s">
        <v>1301</v>
      </c>
      <c r="D1032" s="5">
        <v>45100</v>
      </c>
      <c r="E1032" s="5">
        <v>45101</v>
      </c>
      <c r="F1032" s="2" t="s">
        <v>26</v>
      </c>
      <c r="G1032" s="2" t="s">
        <v>16</v>
      </c>
      <c r="H1032" s="2" t="s">
        <v>1223</v>
      </c>
      <c r="I1032" s="2" t="s">
        <v>13</v>
      </c>
      <c r="J1032" s="2">
        <v>4.1399999999999997</v>
      </c>
      <c r="K1032" s="2" t="str">
        <f t="shared" si="43"/>
        <v>&lt; 5kg</v>
      </c>
      <c r="L1032" s="2">
        <f>tdata[[#This Row],[Received_date]]-tdata[[#This Row],[Shipment_Date]]</f>
        <v>1</v>
      </c>
      <c r="M1032" s="2">
        <f>VLOOKUP(tdata[[#This Row],[Service_Type]],Table2[#All],2,0)</f>
        <v>1</v>
      </c>
      <c r="N1032" s="2" t="str">
        <f>IF(tdata[[#This Row],[Delivery_Days]]&lt;=tdata[[#This Row],[SLA_Days]],"On Time","Late")</f>
        <v>On Time</v>
      </c>
      <c r="O1032" s="2">
        <f>VLOOKUP(tdata[[#This Row],[Service_Type]],Table2[#All],4,0)</f>
        <v>12000</v>
      </c>
      <c r="P1032" s="2">
        <f>tdata[[#This Row],[price_per_kilo]]*tdata[[#This Row],[Weight_KG]]</f>
        <v>49679.999999999993</v>
      </c>
      <c r="Q1032" s="2" t="str">
        <f>VLOOKUP(tdata[[#This Row],[id_employee]],temployee[#All],2,0)</f>
        <v>Erwin Kurniawan</v>
      </c>
      <c r="R1032" s="2" t="str">
        <f>VLOOKUP(tdata[[#This Row],[id_employee]],temployee[#All],4,0)</f>
        <v>internal</v>
      </c>
      <c r="S1032" s="9" t="str">
        <f>VLOOKUP(tdata[[#This Row],[id_employee]],temployee[#All],5,0)</f>
        <v>driver</v>
      </c>
    </row>
    <row r="1033" spans="2:19" x14ac:dyDescent="0.35">
      <c r="B1033" s="8" t="s">
        <v>1052</v>
      </c>
      <c r="C1033" s="2" t="s">
        <v>1302</v>
      </c>
      <c r="D1033" s="5">
        <v>45061</v>
      </c>
      <c r="E1033" s="5">
        <v>45064</v>
      </c>
      <c r="F1033" s="2" t="s">
        <v>49</v>
      </c>
      <c r="G1033" s="2" t="s">
        <v>49</v>
      </c>
      <c r="H1033" s="2" t="s">
        <v>1224</v>
      </c>
      <c r="I1033" s="2" t="s">
        <v>17</v>
      </c>
      <c r="J1033" s="2">
        <v>2.79</v>
      </c>
      <c r="K1033" s="2" t="str">
        <f t="shared" si="43"/>
        <v>&lt; 5kg</v>
      </c>
      <c r="L1033" s="2">
        <f>tdata[[#This Row],[Received_date]]-tdata[[#This Row],[Shipment_Date]]</f>
        <v>3</v>
      </c>
      <c r="M1033" s="2">
        <f>VLOOKUP(tdata[[#This Row],[Service_Type]],Table2[#All],2,0)</f>
        <v>3</v>
      </c>
      <c r="N1033" s="2" t="str">
        <f>IF(tdata[[#This Row],[Delivery_Days]]&lt;=tdata[[#This Row],[SLA_Days]],"On Time","Late")</f>
        <v>On Time</v>
      </c>
      <c r="O1033" s="2">
        <f>VLOOKUP(tdata[[#This Row],[Service_Type]],Table2[#All],4,0)</f>
        <v>10000</v>
      </c>
      <c r="P1033" s="2">
        <f>tdata[[#This Row],[price_per_kilo]]*tdata[[#This Row],[Weight_KG]]</f>
        <v>27900</v>
      </c>
      <c r="Q1033" s="2" t="str">
        <f>VLOOKUP(tdata[[#This Row],[id_employee]],temployee[#All],2,0)</f>
        <v>Fitri Handayani</v>
      </c>
      <c r="R1033" s="2" t="str">
        <f>VLOOKUP(tdata[[#This Row],[id_employee]],temployee[#All],4,0)</f>
        <v>crowd source</v>
      </c>
      <c r="S1033" s="9" t="str">
        <f>VLOOKUP(tdata[[#This Row],[id_employee]],temployee[#All],5,0)</f>
        <v>rider</v>
      </c>
    </row>
    <row r="1034" spans="2:19" x14ac:dyDescent="0.35">
      <c r="B1034" s="8" t="s">
        <v>1053</v>
      </c>
      <c r="C1034" s="2" t="s">
        <v>1303</v>
      </c>
      <c r="D1034" s="5">
        <v>45022</v>
      </c>
      <c r="E1034" s="5">
        <v>45033</v>
      </c>
      <c r="F1034" s="2" t="s">
        <v>11</v>
      </c>
      <c r="G1034" s="2" t="s">
        <v>20</v>
      </c>
      <c r="H1034" s="2" t="s">
        <v>23</v>
      </c>
      <c r="I1034" s="2" t="s">
        <v>17</v>
      </c>
      <c r="J1034" s="2">
        <v>2.95</v>
      </c>
      <c r="K1034" s="2" t="str">
        <f t="shared" si="43"/>
        <v>&lt; 5kg</v>
      </c>
      <c r="L1034" s="2">
        <f>tdata[[#This Row],[Received_date]]-tdata[[#This Row],[Shipment_Date]]</f>
        <v>11</v>
      </c>
      <c r="M1034" s="2">
        <f>VLOOKUP(tdata[[#This Row],[Service_Type]],Table2[#All],2,0)</f>
        <v>5</v>
      </c>
      <c r="N1034" s="2" t="str">
        <f>IF(tdata[[#This Row],[Delivery_Days]]&lt;=tdata[[#This Row],[SLA_Days]],"On Time","Late")</f>
        <v>Late</v>
      </c>
      <c r="O1034" s="2">
        <f>VLOOKUP(tdata[[#This Row],[Service_Type]],Table2[#All],4,0)</f>
        <v>9000</v>
      </c>
      <c r="P1034" s="2">
        <f>tdata[[#This Row],[price_per_kilo]]*tdata[[#This Row],[Weight_KG]]</f>
        <v>26550</v>
      </c>
      <c r="Q1034" s="2" t="str">
        <f>VLOOKUP(tdata[[#This Row],[id_employee]],temployee[#All],2,0)</f>
        <v>Gilang Saputra</v>
      </c>
      <c r="R1034" s="2" t="str">
        <f>VLOOKUP(tdata[[#This Row],[id_employee]],temployee[#All],4,0)</f>
        <v>internal</v>
      </c>
      <c r="S1034" s="9" t="str">
        <f>VLOOKUP(tdata[[#This Row],[id_employee]],temployee[#All],5,0)</f>
        <v>rider</v>
      </c>
    </row>
    <row r="1035" spans="2:19" x14ac:dyDescent="0.35">
      <c r="B1035" s="8" t="s">
        <v>1054</v>
      </c>
      <c r="C1035" s="2" t="s">
        <v>1304</v>
      </c>
      <c r="D1035" s="5">
        <v>45341</v>
      </c>
      <c r="E1035" s="5">
        <v>45342</v>
      </c>
      <c r="F1035" s="2" t="s">
        <v>15</v>
      </c>
      <c r="G1035" s="2" t="s">
        <v>16</v>
      </c>
      <c r="H1035" s="2" t="s">
        <v>1224</v>
      </c>
      <c r="I1035" s="2" t="s">
        <v>13</v>
      </c>
      <c r="J1035" s="2">
        <v>0.74</v>
      </c>
      <c r="K1035" s="2" t="str">
        <f t="shared" si="43"/>
        <v>&lt; 5kg</v>
      </c>
      <c r="L1035" s="2">
        <f>tdata[[#This Row],[Received_date]]-tdata[[#This Row],[Shipment_Date]]</f>
        <v>1</v>
      </c>
      <c r="M1035" s="2">
        <f>VLOOKUP(tdata[[#This Row],[Service_Type]],Table2[#All],2,0)</f>
        <v>3</v>
      </c>
      <c r="N1035" s="2" t="str">
        <f>IF(tdata[[#This Row],[Delivery_Days]]&lt;=tdata[[#This Row],[SLA_Days]],"On Time","Late")</f>
        <v>On Time</v>
      </c>
      <c r="O1035" s="2">
        <f>VLOOKUP(tdata[[#This Row],[Service_Type]],Table2[#All],4,0)</f>
        <v>10000</v>
      </c>
      <c r="P1035" s="2">
        <f>tdata[[#This Row],[price_per_kilo]]*tdata[[#This Row],[Weight_KG]]</f>
        <v>7400</v>
      </c>
      <c r="Q1035" s="2" t="str">
        <f>VLOOKUP(tdata[[#This Row],[id_employee]],temployee[#All],2,0)</f>
        <v>Hariyanto</v>
      </c>
      <c r="R1035" s="2" t="str">
        <f>VLOOKUP(tdata[[#This Row],[id_employee]],temployee[#All],4,0)</f>
        <v>crowd source</v>
      </c>
      <c r="S1035" s="9" t="str">
        <f>VLOOKUP(tdata[[#This Row],[id_employee]],temployee[#All],5,0)</f>
        <v>driver</v>
      </c>
    </row>
    <row r="1036" spans="2:19" x14ac:dyDescent="0.35">
      <c r="B1036" s="8" t="s">
        <v>1055</v>
      </c>
      <c r="C1036" s="2" t="s">
        <v>1305</v>
      </c>
      <c r="D1036" s="5">
        <v>45042</v>
      </c>
      <c r="E1036" s="5">
        <v>45042</v>
      </c>
      <c r="F1036" s="2" t="s">
        <v>20</v>
      </c>
      <c r="G1036" s="2" t="s">
        <v>15</v>
      </c>
      <c r="H1036" s="2" t="s">
        <v>1223</v>
      </c>
      <c r="I1036" s="2" t="s">
        <v>13</v>
      </c>
      <c r="J1036" s="2">
        <v>0.79</v>
      </c>
      <c r="K1036" s="2" t="str">
        <f t="shared" si="43"/>
        <v>&lt; 5kg</v>
      </c>
      <c r="L1036" s="2">
        <f>tdata[[#This Row],[Received_date]]-tdata[[#This Row],[Shipment_Date]]</f>
        <v>0</v>
      </c>
      <c r="M1036" s="2">
        <f>VLOOKUP(tdata[[#This Row],[Service_Type]],Table2[#All],2,0)</f>
        <v>1</v>
      </c>
      <c r="N1036" s="2" t="str">
        <f>IF(tdata[[#This Row],[Delivery_Days]]&lt;=tdata[[#This Row],[SLA_Days]],"On Time","Late")</f>
        <v>On Time</v>
      </c>
      <c r="O1036" s="2">
        <f>VLOOKUP(tdata[[#This Row],[Service_Type]],Table2[#All],4,0)</f>
        <v>12000</v>
      </c>
      <c r="P1036" s="2">
        <f>tdata[[#This Row],[price_per_kilo]]*tdata[[#This Row],[Weight_KG]]</f>
        <v>9480</v>
      </c>
      <c r="Q1036" s="2" t="str">
        <f>VLOOKUP(tdata[[#This Row],[id_employee]],temployee[#All],2,0)</f>
        <v>Intan Maharani</v>
      </c>
      <c r="R1036" s="2" t="str">
        <f>VLOOKUP(tdata[[#This Row],[id_employee]],temployee[#All],4,0)</f>
        <v>internal</v>
      </c>
      <c r="S1036" s="9" t="str">
        <f>VLOOKUP(tdata[[#This Row],[id_employee]],temployee[#All],5,0)</f>
        <v>rider</v>
      </c>
    </row>
    <row r="1037" spans="2:19" x14ac:dyDescent="0.35">
      <c r="B1037" s="8" t="s">
        <v>1056</v>
      </c>
      <c r="C1037" s="2" t="s">
        <v>1306</v>
      </c>
      <c r="D1037" s="5">
        <v>45360</v>
      </c>
      <c r="E1037" s="5">
        <v>45369</v>
      </c>
      <c r="F1037" s="2" t="s">
        <v>22</v>
      </c>
      <c r="G1037" s="2" t="s">
        <v>49</v>
      </c>
      <c r="H1037" s="2" t="s">
        <v>1224</v>
      </c>
      <c r="I1037" s="2" t="s">
        <v>17</v>
      </c>
      <c r="J1037" s="2">
        <v>8.01</v>
      </c>
      <c r="K1037" s="2" t="str">
        <f t="shared" si="43"/>
        <v>&gt;5kg</v>
      </c>
      <c r="L1037" s="2">
        <f>tdata[[#This Row],[Received_date]]-tdata[[#This Row],[Shipment_Date]]</f>
        <v>9</v>
      </c>
      <c r="M1037" s="2">
        <f>VLOOKUP(tdata[[#This Row],[Service_Type]],Table2[#All],2,0)</f>
        <v>3</v>
      </c>
      <c r="N1037" s="2" t="str">
        <f>IF(tdata[[#This Row],[Delivery_Days]]&lt;=tdata[[#This Row],[SLA_Days]],"On Time","Late")</f>
        <v>Late</v>
      </c>
      <c r="O1037" s="2">
        <f>VLOOKUP(tdata[[#This Row],[Service_Type]],Table2[#All],4,0)</f>
        <v>10000</v>
      </c>
      <c r="P1037" s="2">
        <f>tdata[[#This Row],[price_per_kilo]]*tdata[[#This Row],[Weight_KG]]</f>
        <v>80100</v>
      </c>
      <c r="Q1037" s="2" t="str">
        <f>VLOOKUP(tdata[[#This Row],[id_employee]],temployee[#All],2,0)</f>
        <v>Jefri Alamsyah</v>
      </c>
      <c r="R1037" s="2" t="str">
        <f>VLOOKUP(tdata[[#This Row],[id_employee]],temployee[#All],4,0)</f>
        <v>internal</v>
      </c>
      <c r="S1037" s="9" t="str">
        <f>VLOOKUP(tdata[[#This Row],[id_employee]],temployee[#All],5,0)</f>
        <v>driver</v>
      </c>
    </row>
    <row r="1038" spans="2:19" x14ac:dyDescent="0.35">
      <c r="B1038" s="8" t="s">
        <v>1057</v>
      </c>
      <c r="C1038" s="2" t="s">
        <v>1307</v>
      </c>
      <c r="D1038" s="5">
        <v>45338</v>
      </c>
      <c r="E1038" s="5">
        <v>45348</v>
      </c>
      <c r="F1038" s="2" t="s">
        <v>12</v>
      </c>
      <c r="G1038" s="2" t="s">
        <v>49</v>
      </c>
      <c r="H1038" s="2" t="s">
        <v>1224</v>
      </c>
      <c r="I1038" s="2" t="s">
        <v>13</v>
      </c>
      <c r="J1038" s="2">
        <v>1.85</v>
      </c>
      <c r="K1038" s="2" t="str">
        <f t="shared" si="43"/>
        <v>&lt; 5kg</v>
      </c>
      <c r="L1038" s="2">
        <f>tdata[[#This Row],[Received_date]]-tdata[[#This Row],[Shipment_Date]]</f>
        <v>10</v>
      </c>
      <c r="M1038" s="2">
        <f>VLOOKUP(tdata[[#This Row],[Service_Type]],Table2[#All],2,0)</f>
        <v>3</v>
      </c>
      <c r="N1038" s="2" t="str">
        <f>IF(tdata[[#This Row],[Delivery_Days]]&lt;=tdata[[#This Row],[SLA_Days]],"On Time","Late")</f>
        <v>Late</v>
      </c>
      <c r="O1038" s="2">
        <f>VLOOKUP(tdata[[#This Row],[Service_Type]],Table2[#All],4,0)</f>
        <v>10000</v>
      </c>
      <c r="P1038" s="2">
        <f>tdata[[#This Row],[price_per_kilo]]*tdata[[#This Row],[Weight_KG]]</f>
        <v>18500</v>
      </c>
      <c r="Q1038" s="2" t="str">
        <f>VLOOKUP(tdata[[#This Row],[id_employee]],temployee[#All],2,0)</f>
        <v>Kartika Sari</v>
      </c>
      <c r="R1038" s="2" t="str">
        <f>VLOOKUP(tdata[[#This Row],[id_employee]],temployee[#All],4,0)</f>
        <v>crowd source</v>
      </c>
      <c r="S1038" s="9" t="str">
        <f>VLOOKUP(tdata[[#This Row],[id_employee]],temployee[#All],5,0)</f>
        <v>rider</v>
      </c>
    </row>
    <row r="1039" spans="2:19" x14ac:dyDescent="0.35">
      <c r="B1039" s="8" t="s">
        <v>1058</v>
      </c>
      <c r="C1039" s="2" t="s">
        <v>1308</v>
      </c>
      <c r="D1039" s="5">
        <v>45082</v>
      </c>
      <c r="E1039" s="5">
        <v>45088</v>
      </c>
      <c r="F1039" s="2" t="s">
        <v>30</v>
      </c>
      <c r="G1039" s="2" t="s">
        <v>49</v>
      </c>
      <c r="H1039" s="2" t="s">
        <v>1224</v>
      </c>
      <c r="I1039" s="2" t="s">
        <v>17</v>
      </c>
      <c r="J1039" s="2">
        <v>6.59</v>
      </c>
      <c r="K1039" s="2" t="str">
        <f t="shared" si="43"/>
        <v>&gt;5kg</v>
      </c>
      <c r="L1039" s="2">
        <f>tdata[[#This Row],[Received_date]]-tdata[[#This Row],[Shipment_Date]]</f>
        <v>6</v>
      </c>
      <c r="M1039" s="2">
        <f>VLOOKUP(tdata[[#This Row],[Service_Type]],Table2[#All],2,0)</f>
        <v>3</v>
      </c>
      <c r="N1039" s="2" t="str">
        <f>IF(tdata[[#This Row],[Delivery_Days]]&lt;=tdata[[#This Row],[SLA_Days]],"On Time","Late")</f>
        <v>Late</v>
      </c>
      <c r="O1039" s="2">
        <f>VLOOKUP(tdata[[#This Row],[Service_Type]],Table2[#All],4,0)</f>
        <v>10000</v>
      </c>
      <c r="P1039" s="2">
        <f>tdata[[#This Row],[price_per_kilo]]*tdata[[#This Row],[Weight_KG]]</f>
        <v>65900</v>
      </c>
      <c r="Q1039" s="2" t="str">
        <f>VLOOKUP(tdata[[#This Row],[id_employee]],temployee[#All],2,0)</f>
        <v>Lukman Hakim</v>
      </c>
      <c r="R1039" s="2" t="str">
        <f>VLOOKUP(tdata[[#This Row],[id_employee]],temployee[#All],4,0)</f>
        <v>internal</v>
      </c>
      <c r="S1039" s="9" t="str">
        <f>VLOOKUP(tdata[[#This Row],[id_employee]],temployee[#All],5,0)</f>
        <v>driver</v>
      </c>
    </row>
    <row r="1040" spans="2:19" x14ac:dyDescent="0.35">
      <c r="B1040" s="8" t="s">
        <v>1059</v>
      </c>
      <c r="C1040" s="2" t="s">
        <v>1309</v>
      </c>
      <c r="D1040" s="5">
        <v>45433</v>
      </c>
      <c r="E1040" s="5">
        <v>45441</v>
      </c>
      <c r="F1040" s="2" t="s">
        <v>32</v>
      </c>
      <c r="G1040" s="2" t="s">
        <v>20</v>
      </c>
      <c r="H1040" s="2" t="s">
        <v>1224</v>
      </c>
      <c r="I1040" s="2" t="s">
        <v>13</v>
      </c>
      <c r="J1040" s="2">
        <v>7.24</v>
      </c>
      <c r="K1040" s="2" t="str">
        <f t="shared" si="43"/>
        <v>&gt;5kg</v>
      </c>
      <c r="L1040" s="2">
        <f>tdata[[#This Row],[Received_date]]-tdata[[#This Row],[Shipment_Date]]</f>
        <v>8</v>
      </c>
      <c r="M1040" s="2">
        <f>VLOOKUP(tdata[[#This Row],[Service_Type]],Table2[#All],2,0)</f>
        <v>3</v>
      </c>
      <c r="N1040" s="2" t="str">
        <f>IF(tdata[[#This Row],[Delivery_Days]]&lt;=tdata[[#This Row],[SLA_Days]],"On Time","Late")</f>
        <v>Late</v>
      </c>
      <c r="O1040" s="2">
        <f>VLOOKUP(tdata[[#This Row],[Service_Type]],Table2[#All],4,0)</f>
        <v>10000</v>
      </c>
      <c r="P1040" s="2">
        <f>tdata[[#This Row],[price_per_kilo]]*tdata[[#This Row],[Weight_KG]]</f>
        <v>72400</v>
      </c>
      <c r="Q1040" s="2" t="str">
        <f>VLOOKUP(tdata[[#This Row],[id_employee]],temployee[#All],2,0)</f>
        <v>Mega Puspitasari</v>
      </c>
      <c r="R1040" s="2" t="str">
        <f>VLOOKUP(tdata[[#This Row],[id_employee]],temployee[#All],4,0)</f>
        <v>internal</v>
      </c>
      <c r="S1040" s="9" t="str">
        <f>VLOOKUP(tdata[[#This Row],[id_employee]],temployee[#All],5,0)</f>
        <v>rider</v>
      </c>
    </row>
    <row r="1041" spans="2:19" x14ac:dyDescent="0.35">
      <c r="B1041" s="8" t="s">
        <v>1060</v>
      </c>
      <c r="C1041" s="2" t="s">
        <v>1310</v>
      </c>
      <c r="D1041" s="5">
        <v>45216</v>
      </c>
      <c r="E1041" s="5">
        <v>45220</v>
      </c>
      <c r="F1041" s="2" t="s">
        <v>16</v>
      </c>
      <c r="G1041" s="2" t="s">
        <v>12</v>
      </c>
      <c r="H1041" s="2" t="s">
        <v>23</v>
      </c>
      <c r="I1041" s="2" t="s">
        <v>13</v>
      </c>
      <c r="J1041" s="2">
        <v>8.49</v>
      </c>
      <c r="K1041" s="2" t="str">
        <f t="shared" si="43"/>
        <v>&gt;5kg</v>
      </c>
      <c r="L1041" s="2">
        <f>tdata[[#This Row],[Received_date]]-tdata[[#This Row],[Shipment_Date]]</f>
        <v>4</v>
      </c>
      <c r="M1041" s="2">
        <f>VLOOKUP(tdata[[#This Row],[Service_Type]],Table2[#All],2,0)</f>
        <v>5</v>
      </c>
      <c r="N1041" s="2" t="str">
        <f>IF(tdata[[#This Row],[Delivery_Days]]&lt;=tdata[[#This Row],[SLA_Days]],"On Time","Late")</f>
        <v>On Time</v>
      </c>
      <c r="O1041" s="2">
        <f>VLOOKUP(tdata[[#This Row],[Service_Type]],Table2[#All],4,0)</f>
        <v>9000</v>
      </c>
      <c r="P1041" s="2">
        <f>tdata[[#This Row],[price_per_kilo]]*tdata[[#This Row],[Weight_KG]]</f>
        <v>76410</v>
      </c>
      <c r="Q1041" s="2" t="str">
        <f>VLOOKUP(tdata[[#This Row],[id_employee]],temployee[#All],2,0)</f>
        <v>Niko Prasetyo</v>
      </c>
      <c r="R1041" s="2" t="str">
        <f>VLOOKUP(tdata[[#This Row],[id_employee]],temployee[#All],4,0)</f>
        <v>crowd source</v>
      </c>
      <c r="S1041" s="9" t="str">
        <f>VLOOKUP(tdata[[#This Row],[id_employee]],temployee[#All],5,0)</f>
        <v>driver</v>
      </c>
    </row>
    <row r="1042" spans="2:19" x14ac:dyDescent="0.35">
      <c r="B1042" s="8" t="s">
        <v>1061</v>
      </c>
      <c r="C1042" s="2" t="s">
        <v>1311</v>
      </c>
      <c r="D1042" s="5">
        <v>45634</v>
      </c>
      <c r="E1042" s="5">
        <f>D1042+4</f>
        <v>45638</v>
      </c>
      <c r="F1042" s="2" t="s">
        <v>26</v>
      </c>
      <c r="G1042" s="2" t="s">
        <v>22</v>
      </c>
      <c r="H1042" s="2" t="s">
        <v>1223</v>
      </c>
      <c r="I1042" s="2" t="s">
        <v>13</v>
      </c>
      <c r="J1042" s="2">
        <v>8.5500000000000007</v>
      </c>
      <c r="K1042" s="2" t="str">
        <f t="shared" si="43"/>
        <v>&gt;5kg</v>
      </c>
      <c r="L1042" s="2">
        <f>tdata[[#This Row],[Received_date]]-tdata[[#This Row],[Shipment_Date]]</f>
        <v>4</v>
      </c>
      <c r="M1042" s="2">
        <f>VLOOKUP(tdata[[#This Row],[Service_Type]],Table2[#All],2,0)</f>
        <v>1</v>
      </c>
      <c r="N1042" s="2" t="str">
        <f>IF(tdata[[#This Row],[Delivery_Days]]&lt;=tdata[[#This Row],[SLA_Days]],"On Time","Late")</f>
        <v>Late</v>
      </c>
      <c r="O1042" s="2">
        <f>VLOOKUP(tdata[[#This Row],[Service_Type]],Table2[#All],4,0)</f>
        <v>12000</v>
      </c>
      <c r="P1042" s="2">
        <f>tdata[[#This Row],[price_per_kilo]]*tdata[[#This Row],[Weight_KG]]</f>
        <v>102600.00000000001</v>
      </c>
      <c r="Q1042" s="2" t="str">
        <f>VLOOKUP(tdata[[#This Row],[id_employee]],temployee[#All],2,0)</f>
        <v>Olivia Putri</v>
      </c>
      <c r="R1042" s="2" t="str">
        <f>VLOOKUP(tdata[[#This Row],[id_employee]],temployee[#All],4,0)</f>
        <v>internal</v>
      </c>
      <c r="S1042" s="9" t="str">
        <f>VLOOKUP(tdata[[#This Row],[id_employee]],temployee[#All],5,0)</f>
        <v>rider</v>
      </c>
    </row>
    <row r="1043" spans="2:19" x14ac:dyDescent="0.35">
      <c r="B1043" s="8" t="s">
        <v>1062</v>
      </c>
      <c r="C1043" s="2" t="s">
        <v>1312</v>
      </c>
      <c r="D1043" s="5">
        <v>45222</v>
      </c>
      <c r="E1043" s="5">
        <v>45223</v>
      </c>
      <c r="F1043" s="2" t="s">
        <v>49</v>
      </c>
      <c r="G1043" s="2" t="s">
        <v>15</v>
      </c>
      <c r="H1043" s="2" t="s">
        <v>1223</v>
      </c>
      <c r="I1043" s="2" t="s">
        <v>13</v>
      </c>
      <c r="J1043" s="2">
        <v>8.82</v>
      </c>
      <c r="K1043" s="2" t="str">
        <f t="shared" si="43"/>
        <v>&gt;5kg</v>
      </c>
      <c r="L1043" s="2">
        <f>tdata[[#This Row],[Received_date]]-tdata[[#This Row],[Shipment_Date]]</f>
        <v>1</v>
      </c>
      <c r="M1043" s="2">
        <f>VLOOKUP(tdata[[#This Row],[Service_Type]],Table2[#All],2,0)</f>
        <v>1</v>
      </c>
      <c r="N1043" s="2" t="str">
        <f>IF(tdata[[#This Row],[Delivery_Days]]&lt;=tdata[[#This Row],[SLA_Days]],"On Time","Late")</f>
        <v>On Time</v>
      </c>
      <c r="O1043" s="2">
        <f>VLOOKUP(tdata[[#This Row],[Service_Type]],Table2[#All],4,0)</f>
        <v>12000</v>
      </c>
      <c r="P1043" s="2">
        <f>tdata[[#This Row],[price_per_kilo]]*tdata[[#This Row],[Weight_KG]]</f>
        <v>105840</v>
      </c>
      <c r="Q1043" s="2" t="str">
        <f>VLOOKUP(tdata[[#This Row],[id_employee]],temployee[#All],2,0)</f>
        <v>Prasetyo Utomo</v>
      </c>
      <c r="R1043" s="2" t="str">
        <f>VLOOKUP(tdata[[#This Row],[id_employee]],temployee[#All],4,0)</f>
        <v>internal</v>
      </c>
      <c r="S1043" s="9" t="str">
        <f>VLOOKUP(tdata[[#This Row],[id_employee]],temployee[#All],5,0)</f>
        <v>driver</v>
      </c>
    </row>
    <row r="1044" spans="2:19" x14ac:dyDescent="0.35">
      <c r="B1044" s="8" t="s">
        <v>1063</v>
      </c>
      <c r="C1044" s="2" t="s">
        <v>1313</v>
      </c>
      <c r="D1044" s="5">
        <v>45139</v>
      </c>
      <c r="E1044" s="5">
        <f>D1044+4</f>
        <v>45143</v>
      </c>
      <c r="F1044" s="2" t="s">
        <v>11</v>
      </c>
      <c r="G1044" s="2" t="s">
        <v>11</v>
      </c>
      <c r="H1044" s="2" t="s">
        <v>1223</v>
      </c>
      <c r="I1044" s="2" t="s">
        <v>17</v>
      </c>
      <c r="J1044" s="2">
        <v>8.6199999999999992</v>
      </c>
      <c r="K1044" s="2" t="str">
        <f t="shared" si="43"/>
        <v>&gt;5kg</v>
      </c>
      <c r="L1044" s="2">
        <f>tdata[[#This Row],[Received_date]]-tdata[[#This Row],[Shipment_Date]]</f>
        <v>4</v>
      </c>
      <c r="M1044" s="2">
        <f>VLOOKUP(tdata[[#This Row],[Service_Type]],Table2[#All],2,0)</f>
        <v>1</v>
      </c>
      <c r="N1044" s="2" t="str">
        <f>IF(tdata[[#This Row],[Delivery_Days]]&lt;=tdata[[#This Row],[SLA_Days]],"On Time","Late")</f>
        <v>Late</v>
      </c>
      <c r="O1044" s="2">
        <f>VLOOKUP(tdata[[#This Row],[Service_Type]],Table2[#All],4,0)</f>
        <v>12000</v>
      </c>
      <c r="P1044" s="2">
        <f>tdata[[#This Row],[price_per_kilo]]*tdata[[#This Row],[Weight_KG]]</f>
        <v>103439.99999999999</v>
      </c>
      <c r="Q1044" s="2" t="str">
        <f>VLOOKUP(tdata[[#This Row],[id_employee]],temployee[#All],2,0)</f>
        <v>Qori Annisa</v>
      </c>
      <c r="R1044" s="2" t="str">
        <f>VLOOKUP(tdata[[#This Row],[id_employee]],temployee[#All],4,0)</f>
        <v>crowd source</v>
      </c>
      <c r="S1044" s="9" t="str">
        <f>VLOOKUP(tdata[[#This Row],[id_employee]],temployee[#All],5,0)</f>
        <v>rider</v>
      </c>
    </row>
    <row r="1045" spans="2:19" x14ac:dyDescent="0.35">
      <c r="B1045" s="8" t="s">
        <v>1064</v>
      </c>
      <c r="C1045" s="2" t="s">
        <v>1314</v>
      </c>
      <c r="D1045" s="5">
        <v>45140</v>
      </c>
      <c r="E1045" s="5">
        <v>45141</v>
      </c>
      <c r="F1045" s="2" t="s">
        <v>15</v>
      </c>
      <c r="G1045" s="2" t="s">
        <v>11</v>
      </c>
      <c r="H1045" s="2" t="s">
        <v>1224</v>
      </c>
      <c r="I1045" s="2" t="s">
        <v>13</v>
      </c>
      <c r="J1045" s="2">
        <v>7.3</v>
      </c>
      <c r="K1045" s="2" t="str">
        <f t="shared" si="43"/>
        <v>&gt;5kg</v>
      </c>
      <c r="L1045" s="2">
        <f>tdata[[#This Row],[Received_date]]-tdata[[#This Row],[Shipment_Date]]</f>
        <v>1</v>
      </c>
      <c r="M1045" s="2">
        <f>VLOOKUP(tdata[[#This Row],[Service_Type]],Table2[#All],2,0)</f>
        <v>3</v>
      </c>
      <c r="N1045" s="2" t="str">
        <f>IF(tdata[[#This Row],[Delivery_Days]]&lt;=tdata[[#This Row],[SLA_Days]],"On Time","Late")</f>
        <v>On Time</v>
      </c>
      <c r="O1045" s="2">
        <f>VLOOKUP(tdata[[#This Row],[Service_Type]],Table2[#All],4,0)</f>
        <v>10000</v>
      </c>
      <c r="P1045" s="2">
        <f>tdata[[#This Row],[price_per_kilo]]*tdata[[#This Row],[Weight_KG]]</f>
        <v>73000</v>
      </c>
      <c r="Q1045" s="2" t="str">
        <f>VLOOKUP(tdata[[#This Row],[id_employee]],temployee[#All],2,0)</f>
        <v>Rangga Saptonugroho</v>
      </c>
      <c r="R1045" s="2" t="str">
        <f>VLOOKUP(tdata[[#This Row],[id_employee]],temployee[#All],4,0)</f>
        <v>crowd source</v>
      </c>
      <c r="S1045" s="9" t="str">
        <f>VLOOKUP(tdata[[#This Row],[id_employee]],temployee[#All],5,0)</f>
        <v>driver</v>
      </c>
    </row>
    <row r="1046" spans="2:19" x14ac:dyDescent="0.35">
      <c r="B1046" s="8" t="s">
        <v>1065</v>
      </c>
      <c r="C1046" s="2" t="s">
        <v>1315</v>
      </c>
      <c r="D1046" s="5">
        <v>44954</v>
      </c>
      <c r="E1046" s="5">
        <v>44959</v>
      </c>
      <c r="F1046" s="2" t="s">
        <v>20</v>
      </c>
      <c r="G1046" s="2" t="s">
        <v>30</v>
      </c>
      <c r="H1046" s="2" t="s">
        <v>1224</v>
      </c>
      <c r="I1046" s="2" t="s">
        <v>13</v>
      </c>
      <c r="J1046" s="2">
        <v>4.3899999999999997</v>
      </c>
      <c r="K1046" s="2" t="str">
        <f t="shared" si="43"/>
        <v>&lt; 5kg</v>
      </c>
      <c r="L1046" s="2">
        <f>tdata[[#This Row],[Received_date]]-tdata[[#This Row],[Shipment_Date]]</f>
        <v>5</v>
      </c>
      <c r="M1046" s="2">
        <f>VLOOKUP(tdata[[#This Row],[Service_Type]],Table2[#All],2,0)</f>
        <v>3</v>
      </c>
      <c r="N1046" s="2" t="str">
        <f>IF(tdata[[#This Row],[Delivery_Days]]&lt;=tdata[[#This Row],[SLA_Days]],"On Time","Late")</f>
        <v>Late</v>
      </c>
      <c r="O1046" s="2">
        <f>VLOOKUP(tdata[[#This Row],[Service_Type]],Table2[#All],4,0)</f>
        <v>10000</v>
      </c>
      <c r="P1046" s="2">
        <f>tdata[[#This Row],[price_per_kilo]]*tdata[[#This Row],[Weight_KG]]</f>
        <v>43900</v>
      </c>
      <c r="Q1046" s="2" t="str">
        <f>VLOOKUP(tdata[[#This Row],[id_employee]],temployee[#All],2,0)</f>
        <v>Sinta Dewi</v>
      </c>
      <c r="R1046" s="2" t="str">
        <f>VLOOKUP(tdata[[#This Row],[id_employee]],temployee[#All],4,0)</f>
        <v>internal</v>
      </c>
      <c r="S1046" s="9" t="str">
        <f>VLOOKUP(tdata[[#This Row],[id_employee]],temployee[#All],5,0)</f>
        <v>rider</v>
      </c>
    </row>
    <row r="1047" spans="2:19" x14ac:dyDescent="0.35">
      <c r="B1047" s="8" t="s">
        <v>1066</v>
      </c>
      <c r="C1047" s="2" t="s">
        <v>1316</v>
      </c>
      <c r="D1047" s="5">
        <v>45007</v>
      </c>
      <c r="E1047" s="5">
        <v>45018</v>
      </c>
      <c r="F1047" s="2" t="s">
        <v>22</v>
      </c>
      <c r="G1047" s="2" t="s">
        <v>26</v>
      </c>
      <c r="H1047" s="2" t="s">
        <v>1224</v>
      </c>
      <c r="I1047" s="2" t="s">
        <v>13</v>
      </c>
      <c r="J1047" s="2">
        <v>6.14</v>
      </c>
      <c r="K1047" s="2" t="str">
        <f t="shared" si="43"/>
        <v>&gt;5kg</v>
      </c>
      <c r="L1047" s="2">
        <f>tdata[[#This Row],[Received_date]]-tdata[[#This Row],[Shipment_Date]]</f>
        <v>11</v>
      </c>
      <c r="M1047" s="2">
        <f>VLOOKUP(tdata[[#This Row],[Service_Type]],Table2[#All],2,0)</f>
        <v>3</v>
      </c>
      <c r="N1047" s="2" t="str">
        <f>IF(tdata[[#This Row],[Delivery_Days]]&lt;=tdata[[#This Row],[SLA_Days]],"On Time","Late")</f>
        <v>Late</v>
      </c>
      <c r="O1047" s="2">
        <f>VLOOKUP(tdata[[#This Row],[Service_Type]],Table2[#All],4,0)</f>
        <v>10000</v>
      </c>
      <c r="P1047" s="2">
        <f>tdata[[#This Row],[price_per_kilo]]*tdata[[#This Row],[Weight_KG]]</f>
        <v>61400</v>
      </c>
      <c r="Q1047" s="2" t="str">
        <f>VLOOKUP(tdata[[#This Row],[id_employee]],temployee[#All],2,0)</f>
        <v>Taufik Hidayat</v>
      </c>
      <c r="R1047" s="2" t="str">
        <f>VLOOKUP(tdata[[#This Row],[id_employee]],temployee[#All],4,0)</f>
        <v>internal</v>
      </c>
      <c r="S1047" s="9" t="str">
        <f>VLOOKUP(tdata[[#This Row],[id_employee]],temployee[#All],5,0)</f>
        <v>driver</v>
      </c>
    </row>
    <row r="1048" spans="2:19" x14ac:dyDescent="0.35">
      <c r="B1048" s="8" t="s">
        <v>1067</v>
      </c>
      <c r="C1048" s="2" t="s">
        <v>1317</v>
      </c>
      <c r="D1048" s="5">
        <v>45149</v>
      </c>
      <c r="E1048" s="5">
        <v>45150</v>
      </c>
      <c r="F1048" s="2" t="s">
        <v>12</v>
      </c>
      <c r="G1048" s="2" t="s">
        <v>16</v>
      </c>
      <c r="H1048" s="2" t="s">
        <v>1224</v>
      </c>
      <c r="I1048" s="2" t="s">
        <v>17</v>
      </c>
      <c r="J1048" s="2">
        <v>4.04</v>
      </c>
      <c r="K1048" s="2" t="str">
        <f t="shared" si="43"/>
        <v>&lt; 5kg</v>
      </c>
      <c r="L1048" s="2">
        <f>tdata[[#This Row],[Received_date]]-tdata[[#This Row],[Shipment_Date]]</f>
        <v>1</v>
      </c>
      <c r="M1048" s="2">
        <f>VLOOKUP(tdata[[#This Row],[Service_Type]],Table2[#All],2,0)</f>
        <v>3</v>
      </c>
      <c r="N1048" s="2" t="str">
        <f>IF(tdata[[#This Row],[Delivery_Days]]&lt;=tdata[[#This Row],[SLA_Days]],"On Time","Late")</f>
        <v>On Time</v>
      </c>
      <c r="O1048" s="2">
        <f>VLOOKUP(tdata[[#This Row],[Service_Type]],Table2[#All],4,0)</f>
        <v>10000</v>
      </c>
      <c r="P1048" s="2">
        <f>tdata[[#This Row],[price_per_kilo]]*tdata[[#This Row],[Weight_KG]]</f>
        <v>40400</v>
      </c>
      <c r="Q1048" s="2" t="str">
        <f>VLOOKUP(tdata[[#This Row],[id_employee]],temployee[#All],2,0)</f>
        <v>Usman Ali</v>
      </c>
      <c r="R1048" s="2" t="str">
        <f>VLOOKUP(tdata[[#This Row],[id_employee]],temployee[#All],4,0)</f>
        <v>crowd source</v>
      </c>
      <c r="S1048" s="9" t="str">
        <f>VLOOKUP(tdata[[#This Row],[id_employee]],temployee[#All],5,0)</f>
        <v>rider</v>
      </c>
    </row>
    <row r="1049" spans="2:19" x14ac:dyDescent="0.35">
      <c r="B1049" s="8" t="s">
        <v>1068</v>
      </c>
      <c r="C1049" s="2" t="s">
        <v>1318</v>
      </c>
      <c r="D1049" s="5">
        <v>45555</v>
      </c>
      <c r="E1049" s="5">
        <v>45562</v>
      </c>
      <c r="F1049" s="2" t="s">
        <v>30</v>
      </c>
      <c r="G1049" s="2" t="s">
        <v>32</v>
      </c>
      <c r="H1049" s="2" t="s">
        <v>1223</v>
      </c>
      <c r="I1049" s="2" t="s">
        <v>13</v>
      </c>
      <c r="J1049" s="2">
        <v>4.25</v>
      </c>
      <c r="K1049" s="2" t="str">
        <f t="shared" si="43"/>
        <v>&lt; 5kg</v>
      </c>
      <c r="L1049" s="2">
        <f>tdata[[#This Row],[Received_date]]-tdata[[#This Row],[Shipment_Date]]</f>
        <v>7</v>
      </c>
      <c r="M1049" s="2">
        <f>VLOOKUP(tdata[[#This Row],[Service_Type]],Table2[#All],2,0)</f>
        <v>1</v>
      </c>
      <c r="N1049" s="2" t="str">
        <f>IF(tdata[[#This Row],[Delivery_Days]]&lt;=tdata[[#This Row],[SLA_Days]],"On Time","Late")</f>
        <v>Late</v>
      </c>
      <c r="O1049" s="2">
        <f>VLOOKUP(tdata[[#This Row],[Service_Type]],Table2[#All],4,0)</f>
        <v>12000</v>
      </c>
      <c r="P1049" s="2">
        <f>tdata[[#This Row],[price_per_kilo]]*tdata[[#This Row],[Weight_KG]]</f>
        <v>51000</v>
      </c>
      <c r="Q1049" s="2" t="str">
        <f>VLOOKUP(tdata[[#This Row],[id_employee]],temployee[#All],2,0)</f>
        <v>Vivi Lestari</v>
      </c>
      <c r="R1049" s="2" t="str">
        <f>VLOOKUP(tdata[[#This Row],[id_employee]],temployee[#All],4,0)</f>
        <v>internal</v>
      </c>
      <c r="S1049" s="9" t="str">
        <f>VLOOKUP(tdata[[#This Row],[id_employee]],temployee[#All],5,0)</f>
        <v>rider</v>
      </c>
    </row>
    <row r="1050" spans="2:19" x14ac:dyDescent="0.35">
      <c r="B1050" s="8" t="s">
        <v>1069</v>
      </c>
      <c r="C1050" s="2" t="s">
        <v>1319</v>
      </c>
      <c r="D1050" s="5">
        <v>45289</v>
      </c>
      <c r="E1050" s="5">
        <v>45297</v>
      </c>
      <c r="F1050" s="2" t="s">
        <v>32</v>
      </c>
      <c r="G1050" s="2" t="s">
        <v>26</v>
      </c>
      <c r="H1050" s="2" t="s">
        <v>23</v>
      </c>
      <c r="I1050" s="2" t="s">
        <v>13</v>
      </c>
      <c r="J1050" s="2">
        <v>9.3699999999999992</v>
      </c>
      <c r="K1050" s="2" t="str">
        <f t="shared" si="43"/>
        <v>&gt;5kg</v>
      </c>
      <c r="L1050" s="2">
        <f>tdata[[#This Row],[Received_date]]-tdata[[#This Row],[Shipment_Date]]</f>
        <v>8</v>
      </c>
      <c r="M1050" s="2">
        <f>VLOOKUP(tdata[[#This Row],[Service_Type]],Table2[#All],2,0)</f>
        <v>5</v>
      </c>
      <c r="N1050" s="2" t="str">
        <f>IF(tdata[[#This Row],[Delivery_Days]]&lt;=tdata[[#This Row],[SLA_Days]],"On Time","Late")</f>
        <v>Late</v>
      </c>
      <c r="O1050" s="2">
        <f>VLOOKUP(tdata[[#This Row],[Service_Type]],Table2[#All],4,0)</f>
        <v>9000</v>
      </c>
      <c r="P1050" s="2">
        <f>tdata[[#This Row],[price_per_kilo]]*tdata[[#This Row],[Weight_KG]]</f>
        <v>84330</v>
      </c>
      <c r="Q1050" s="2" t="str">
        <f>VLOOKUP(tdata[[#This Row],[id_employee]],temployee[#All],2,0)</f>
        <v>Wawan Setiabudi</v>
      </c>
      <c r="R1050" s="2" t="str">
        <f>VLOOKUP(tdata[[#This Row],[id_employee]],temployee[#All],4,0)</f>
        <v>internal</v>
      </c>
      <c r="S1050" s="9" t="str">
        <f>VLOOKUP(tdata[[#This Row],[id_employee]],temployee[#All],5,0)</f>
        <v>driver</v>
      </c>
    </row>
    <row r="1051" spans="2:19" x14ac:dyDescent="0.35">
      <c r="B1051" s="8" t="s">
        <v>1070</v>
      </c>
      <c r="C1051" s="2" t="s">
        <v>1320</v>
      </c>
      <c r="D1051" s="5">
        <v>45493</v>
      </c>
      <c r="E1051" s="5">
        <v>45497</v>
      </c>
      <c r="F1051" s="2" t="s">
        <v>16</v>
      </c>
      <c r="G1051" s="2" t="s">
        <v>12</v>
      </c>
      <c r="H1051" s="2" t="s">
        <v>1224</v>
      </c>
      <c r="I1051" s="2" t="s">
        <v>13</v>
      </c>
      <c r="J1051" s="2">
        <v>1.71</v>
      </c>
      <c r="K1051" s="2" t="str">
        <f t="shared" si="43"/>
        <v>&lt; 5kg</v>
      </c>
      <c r="L1051" s="2">
        <f>tdata[[#This Row],[Received_date]]-tdata[[#This Row],[Shipment_Date]]</f>
        <v>4</v>
      </c>
      <c r="M1051" s="2">
        <f>VLOOKUP(tdata[[#This Row],[Service_Type]],Table2[#All],2,0)</f>
        <v>3</v>
      </c>
      <c r="N1051" s="2" t="str">
        <f>IF(tdata[[#This Row],[Delivery_Days]]&lt;=tdata[[#This Row],[SLA_Days]],"On Time","Late")</f>
        <v>Late</v>
      </c>
      <c r="O1051" s="2">
        <f>VLOOKUP(tdata[[#This Row],[Service_Type]],Table2[#All],4,0)</f>
        <v>10000</v>
      </c>
      <c r="P1051" s="2">
        <f>tdata[[#This Row],[price_per_kilo]]*tdata[[#This Row],[Weight_KG]]</f>
        <v>17100</v>
      </c>
      <c r="Q1051" s="2" t="str">
        <f>VLOOKUP(tdata[[#This Row],[id_employee]],temployee[#All],2,0)</f>
        <v>Xenia Maharani</v>
      </c>
      <c r="R1051" s="2" t="str">
        <f>VLOOKUP(tdata[[#This Row],[id_employee]],temployee[#All],4,0)</f>
        <v>crowd source</v>
      </c>
      <c r="S1051" s="9" t="str">
        <f>VLOOKUP(tdata[[#This Row],[id_employee]],temployee[#All],5,0)</f>
        <v>rider</v>
      </c>
    </row>
    <row r="1052" spans="2:19" x14ac:dyDescent="0.35">
      <c r="B1052" s="8" t="s">
        <v>1071</v>
      </c>
      <c r="C1052" s="2" t="s">
        <v>1321</v>
      </c>
      <c r="D1052" s="5">
        <v>45426</v>
      </c>
      <c r="E1052" s="5">
        <v>45431</v>
      </c>
      <c r="F1052" s="2" t="s">
        <v>26</v>
      </c>
      <c r="G1052" s="2" t="s">
        <v>22</v>
      </c>
      <c r="H1052" s="2" t="s">
        <v>1224</v>
      </c>
      <c r="I1052" s="2" t="s">
        <v>13</v>
      </c>
      <c r="J1052" s="2">
        <v>6.27</v>
      </c>
      <c r="K1052" s="2" t="str">
        <f t="shared" si="43"/>
        <v>&gt;5kg</v>
      </c>
      <c r="L1052" s="2">
        <f>tdata[[#This Row],[Received_date]]-tdata[[#This Row],[Shipment_Date]]</f>
        <v>5</v>
      </c>
      <c r="M1052" s="2">
        <f>VLOOKUP(tdata[[#This Row],[Service_Type]],Table2[#All],2,0)</f>
        <v>3</v>
      </c>
      <c r="N1052" s="2" t="str">
        <f>IF(tdata[[#This Row],[Delivery_Days]]&lt;=tdata[[#This Row],[SLA_Days]],"On Time","Late")</f>
        <v>Late</v>
      </c>
      <c r="O1052" s="2">
        <f>VLOOKUP(tdata[[#This Row],[Service_Type]],Table2[#All],4,0)</f>
        <v>10000</v>
      </c>
      <c r="P1052" s="2">
        <f>tdata[[#This Row],[price_per_kilo]]*tdata[[#This Row],[Weight_KG]]</f>
        <v>62699.999999999993</v>
      </c>
      <c r="Q1052" s="2" t="str">
        <f>VLOOKUP(tdata[[#This Row],[id_employee]],temployee[#All],2,0)</f>
        <v>Yoga Pradana</v>
      </c>
      <c r="R1052" s="2" t="str">
        <f>VLOOKUP(tdata[[#This Row],[id_employee]],temployee[#All],4,0)</f>
        <v>internal</v>
      </c>
      <c r="S1052" s="9" t="str">
        <f>VLOOKUP(tdata[[#This Row],[id_employee]],temployee[#All],5,0)</f>
        <v>rider</v>
      </c>
    </row>
    <row r="1053" spans="2:19" x14ac:dyDescent="0.35">
      <c r="B1053" s="8" t="s">
        <v>1072</v>
      </c>
      <c r="C1053" s="2" t="s">
        <v>1322</v>
      </c>
      <c r="D1053" s="5">
        <v>45046</v>
      </c>
      <c r="E1053" s="5">
        <v>45048</v>
      </c>
      <c r="F1053" s="2" t="s">
        <v>49</v>
      </c>
      <c r="G1053" s="2" t="s">
        <v>22</v>
      </c>
      <c r="H1053" s="2" t="s">
        <v>1224</v>
      </c>
      <c r="I1053" s="2" t="s">
        <v>13</v>
      </c>
      <c r="J1053" s="2">
        <v>6.09</v>
      </c>
      <c r="K1053" s="2" t="str">
        <f t="shared" si="43"/>
        <v>&gt;5kg</v>
      </c>
      <c r="L1053" s="2">
        <f>tdata[[#This Row],[Received_date]]-tdata[[#This Row],[Shipment_Date]]</f>
        <v>2</v>
      </c>
      <c r="M1053" s="2">
        <f>VLOOKUP(tdata[[#This Row],[Service_Type]],Table2[#All],2,0)</f>
        <v>3</v>
      </c>
      <c r="N1053" s="2" t="str">
        <f>IF(tdata[[#This Row],[Delivery_Days]]&lt;=tdata[[#This Row],[SLA_Days]],"On Time","Late")</f>
        <v>On Time</v>
      </c>
      <c r="O1053" s="2">
        <f>VLOOKUP(tdata[[#This Row],[Service_Type]],Table2[#All],4,0)</f>
        <v>10000</v>
      </c>
      <c r="P1053" s="2">
        <f>tdata[[#This Row],[price_per_kilo]]*tdata[[#This Row],[Weight_KG]]</f>
        <v>60900</v>
      </c>
      <c r="Q1053" s="2" t="str">
        <f>VLOOKUP(tdata[[#This Row],[id_employee]],temployee[#All],2,0)</f>
        <v>Zulfikar Ramadhan</v>
      </c>
      <c r="R1053" s="2" t="str">
        <f>VLOOKUP(tdata[[#This Row],[id_employee]],temployee[#All],4,0)</f>
        <v>crowd source</v>
      </c>
      <c r="S1053" s="9" t="str">
        <f>VLOOKUP(tdata[[#This Row],[id_employee]],temployee[#All],5,0)</f>
        <v>driver</v>
      </c>
    </row>
    <row r="1054" spans="2:19" x14ac:dyDescent="0.35">
      <c r="B1054" s="8" t="s">
        <v>1073</v>
      </c>
      <c r="C1054" s="2" t="s">
        <v>1323</v>
      </c>
      <c r="D1054" s="5">
        <v>44939</v>
      </c>
      <c r="E1054" s="5">
        <f>D1054+4</f>
        <v>44943</v>
      </c>
      <c r="F1054" s="2" t="s">
        <v>11</v>
      </c>
      <c r="G1054" s="2" t="s">
        <v>15</v>
      </c>
      <c r="H1054" s="2" t="s">
        <v>1224</v>
      </c>
      <c r="I1054" s="2" t="s">
        <v>17</v>
      </c>
      <c r="J1054" s="2">
        <v>9.8800000000000008</v>
      </c>
      <c r="K1054" s="2" t="str">
        <f t="shared" si="43"/>
        <v>&gt;5kg</v>
      </c>
      <c r="L1054" s="2">
        <f>tdata[[#This Row],[Received_date]]-tdata[[#This Row],[Shipment_Date]]</f>
        <v>4</v>
      </c>
      <c r="M1054" s="2">
        <f>VLOOKUP(tdata[[#This Row],[Service_Type]],Table2[#All],2,0)</f>
        <v>3</v>
      </c>
      <c r="N1054" s="2" t="str">
        <f>IF(tdata[[#This Row],[Delivery_Days]]&lt;=tdata[[#This Row],[SLA_Days]],"On Time","Late")</f>
        <v>Late</v>
      </c>
      <c r="O1054" s="2">
        <f>VLOOKUP(tdata[[#This Row],[Service_Type]],Table2[#All],4,0)</f>
        <v>10000</v>
      </c>
      <c r="P1054" s="2">
        <f>tdata[[#This Row],[price_per_kilo]]*tdata[[#This Row],[Weight_KG]]</f>
        <v>98800.000000000015</v>
      </c>
      <c r="Q1054" s="2" t="str">
        <f>VLOOKUP(tdata[[#This Row],[id_employee]],temployee[#All],2,0)</f>
        <v>Aditya Saputra</v>
      </c>
      <c r="R1054" s="2" t="str">
        <f>VLOOKUP(tdata[[#This Row],[id_employee]],temployee[#All],4,0)</f>
        <v>internal</v>
      </c>
      <c r="S1054" s="9" t="str">
        <f>VLOOKUP(tdata[[#This Row],[id_employee]],temployee[#All],5,0)</f>
        <v>rider</v>
      </c>
    </row>
    <row r="1055" spans="2:19" x14ac:dyDescent="0.35">
      <c r="B1055" s="8" t="s">
        <v>1074</v>
      </c>
      <c r="C1055" s="2" t="s">
        <v>1324</v>
      </c>
      <c r="D1055" s="5">
        <v>45573</v>
      </c>
      <c r="E1055" s="5">
        <v>45574</v>
      </c>
      <c r="F1055" s="2" t="s">
        <v>15</v>
      </c>
      <c r="G1055" s="2" t="s">
        <v>16</v>
      </c>
      <c r="H1055" s="2" t="s">
        <v>1223</v>
      </c>
      <c r="I1055" s="2" t="s">
        <v>13</v>
      </c>
      <c r="J1055" s="2">
        <v>4.24</v>
      </c>
      <c r="K1055" s="2" t="str">
        <f t="shared" si="43"/>
        <v>&lt; 5kg</v>
      </c>
      <c r="L1055" s="2">
        <f>tdata[[#This Row],[Received_date]]-tdata[[#This Row],[Shipment_Date]]</f>
        <v>1</v>
      </c>
      <c r="M1055" s="2">
        <f>VLOOKUP(tdata[[#This Row],[Service_Type]],Table2[#All],2,0)</f>
        <v>1</v>
      </c>
      <c r="N1055" s="2" t="str">
        <f>IF(tdata[[#This Row],[Delivery_Days]]&lt;=tdata[[#This Row],[SLA_Days]],"On Time","Late")</f>
        <v>On Time</v>
      </c>
      <c r="O1055" s="2">
        <f>VLOOKUP(tdata[[#This Row],[Service_Type]],Table2[#All],4,0)</f>
        <v>12000</v>
      </c>
      <c r="P1055" s="2">
        <f>tdata[[#This Row],[price_per_kilo]]*tdata[[#This Row],[Weight_KG]]</f>
        <v>50880</v>
      </c>
      <c r="Q1055" s="2" t="str">
        <f>VLOOKUP(tdata[[#This Row],[id_employee]],temployee[#All],2,0)</f>
        <v>Bella Oktaviani</v>
      </c>
      <c r="R1055" s="2" t="str">
        <f>VLOOKUP(tdata[[#This Row],[id_employee]],temployee[#All],4,0)</f>
        <v>internal</v>
      </c>
      <c r="S1055" s="9" t="str">
        <f>VLOOKUP(tdata[[#This Row],[id_employee]],temployee[#All],5,0)</f>
        <v>rider</v>
      </c>
    </row>
    <row r="1056" spans="2:19" x14ac:dyDescent="0.35">
      <c r="B1056" s="8" t="s">
        <v>1075</v>
      </c>
      <c r="C1056" s="2" t="s">
        <v>1325</v>
      </c>
      <c r="D1056" s="5">
        <v>44928</v>
      </c>
      <c r="E1056" s="5">
        <v>44929</v>
      </c>
      <c r="F1056" s="2" t="s">
        <v>20</v>
      </c>
      <c r="G1056" s="2" t="s">
        <v>20</v>
      </c>
      <c r="H1056" s="2" t="s">
        <v>23</v>
      </c>
      <c r="I1056" s="2" t="s">
        <v>13</v>
      </c>
      <c r="J1056" s="2">
        <v>10.44</v>
      </c>
      <c r="K1056" s="2" t="str">
        <f t="shared" si="43"/>
        <v>&gt;5kg</v>
      </c>
      <c r="L1056" s="2">
        <f>tdata[[#This Row],[Received_date]]-tdata[[#This Row],[Shipment_Date]]</f>
        <v>1</v>
      </c>
      <c r="M1056" s="2">
        <f>VLOOKUP(tdata[[#This Row],[Service_Type]],Table2[#All],2,0)</f>
        <v>5</v>
      </c>
      <c r="N1056" s="2" t="str">
        <f>IF(tdata[[#This Row],[Delivery_Days]]&lt;=tdata[[#This Row],[SLA_Days]],"On Time","Late")</f>
        <v>On Time</v>
      </c>
      <c r="O1056" s="2">
        <f>VLOOKUP(tdata[[#This Row],[Service_Type]],Table2[#All],4,0)</f>
        <v>9000</v>
      </c>
      <c r="P1056" s="2">
        <f>tdata[[#This Row],[price_per_kilo]]*tdata[[#This Row],[Weight_KG]]</f>
        <v>93960</v>
      </c>
      <c r="Q1056" s="2" t="str">
        <f>VLOOKUP(tdata[[#This Row],[id_employee]],temployee[#All],2,0)</f>
        <v>Chandra Wijaya</v>
      </c>
      <c r="R1056" s="2" t="str">
        <f>VLOOKUP(tdata[[#This Row],[id_employee]],temployee[#All],4,0)</f>
        <v>crowd source</v>
      </c>
      <c r="S1056" s="9" t="str">
        <f>VLOOKUP(tdata[[#This Row],[id_employee]],temployee[#All],5,0)</f>
        <v>driver</v>
      </c>
    </row>
    <row r="1057" spans="2:19" x14ac:dyDescent="0.35">
      <c r="B1057" s="8" t="s">
        <v>1076</v>
      </c>
      <c r="C1057" s="2" t="s">
        <v>1326</v>
      </c>
      <c r="D1057" s="5">
        <v>45322</v>
      </c>
      <c r="E1057" s="5">
        <f>D1057+4</f>
        <v>45326</v>
      </c>
      <c r="F1057" s="2" t="s">
        <v>22</v>
      </c>
      <c r="G1057" s="2" t="s">
        <v>11</v>
      </c>
      <c r="H1057" s="2" t="s">
        <v>1224</v>
      </c>
      <c r="I1057" s="2" t="s">
        <v>17</v>
      </c>
      <c r="J1057" s="2">
        <v>9.34</v>
      </c>
      <c r="K1057" s="2" t="str">
        <f t="shared" si="43"/>
        <v>&gt;5kg</v>
      </c>
      <c r="L1057" s="2">
        <f>tdata[[#This Row],[Received_date]]-tdata[[#This Row],[Shipment_Date]]</f>
        <v>4</v>
      </c>
      <c r="M1057" s="2">
        <f>VLOOKUP(tdata[[#This Row],[Service_Type]],Table2[#All],2,0)</f>
        <v>3</v>
      </c>
      <c r="N1057" s="2" t="str">
        <f>IF(tdata[[#This Row],[Delivery_Days]]&lt;=tdata[[#This Row],[SLA_Days]],"On Time","Late")</f>
        <v>Late</v>
      </c>
      <c r="O1057" s="2">
        <f>VLOOKUP(tdata[[#This Row],[Service_Type]],Table2[#All],4,0)</f>
        <v>10000</v>
      </c>
      <c r="P1057" s="2">
        <f>tdata[[#This Row],[price_per_kilo]]*tdata[[#This Row],[Weight_KG]]</f>
        <v>93400</v>
      </c>
      <c r="Q1057" s="2" t="str">
        <f>VLOOKUP(tdata[[#This Row],[id_employee]],temployee[#All],2,0)</f>
        <v>Dewi Sartika</v>
      </c>
      <c r="R1057" s="2" t="str">
        <f>VLOOKUP(tdata[[#This Row],[id_employee]],temployee[#All],4,0)</f>
        <v>internal</v>
      </c>
      <c r="S1057" s="9" t="str">
        <f>VLOOKUP(tdata[[#This Row],[id_employee]],temployee[#All],5,0)</f>
        <v>rider</v>
      </c>
    </row>
    <row r="1058" spans="2:19" x14ac:dyDescent="0.35">
      <c r="B1058" s="8" t="s">
        <v>1077</v>
      </c>
      <c r="C1058" s="2" t="s">
        <v>1327</v>
      </c>
      <c r="D1058" s="5">
        <v>45509</v>
      </c>
      <c r="E1058" s="5">
        <v>45509</v>
      </c>
      <c r="F1058" s="2" t="s">
        <v>12</v>
      </c>
      <c r="G1058" s="2" t="s">
        <v>15</v>
      </c>
      <c r="H1058" s="2" t="s">
        <v>1223</v>
      </c>
      <c r="I1058" s="2" t="s">
        <v>13</v>
      </c>
      <c r="J1058" s="2">
        <v>6.88</v>
      </c>
      <c r="K1058" s="2" t="str">
        <f t="shared" si="43"/>
        <v>&gt;5kg</v>
      </c>
      <c r="L1058" s="2">
        <f>tdata[[#This Row],[Received_date]]-tdata[[#This Row],[Shipment_Date]]</f>
        <v>0</v>
      </c>
      <c r="M1058" s="2">
        <f>VLOOKUP(tdata[[#This Row],[Service_Type]],Table2[#All],2,0)</f>
        <v>1</v>
      </c>
      <c r="N1058" s="2" t="str">
        <f>IF(tdata[[#This Row],[Delivery_Days]]&lt;=tdata[[#This Row],[SLA_Days]],"On Time","Late")</f>
        <v>On Time</v>
      </c>
      <c r="O1058" s="2">
        <f>VLOOKUP(tdata[[#This Row],[Service_Type]],Table2[#All],4,0)</f>
        <v>12000</v>
      </c>
      <c r="P1058" s="2">
        <f>tdata[[#This Row],[price_per_kilo]]*tdata[[#This Row],[Weight_KG]]</f>
        <v>82560</v>
      </c>
      <c r="Q1058" s="2" t="str">
        <f>VLOOKUP(tdata[[#This Row],[id_employee]],temployee[#All],2,0)</f>
        <v>Edi Kurniawan</v>
      </c>
      <c r="R1058" s="2" t="str">
        <f>VLOOKUP(tdata[[#This Row],[id_employee]],temployee[#All],4,0)</f>
        <v>internal</v>
      </c>
      <c r="S1058" s="9" t="str">
        <f>VLOOKUP(tdata[[#This Row],[id_employee]],temployee[#All],5,0)</f>
        <v>driver</v>
      </c>
    </row>
    <row r="1059" spans="2:19" x14ac:dyDescent="0.35">
      <c r="B1059" s="8" t="s">
        <v>1078</v>
      </c>
      <c r="C1059" s="2" t="s">
        <v>1328</v>
      </c>
      <c r="D1059" s="5">
        <v>45373</v>
      </c>
      <c r="E1059" s="5">
        <v>45374</v>
      </c>
      <c r="F1059" s="2" t="s">
        <v>30</v>
      </c>
      <c r="G1059" s="2" t="s">
        <v>11</v>
      </c>
      <c r="H1059" s="2" t="s">
        <v>1224</v>
      </c>
      <c r="I1059" s="2" t="s">
        <v>13</v>
      </c>
      <c r="J1059" s="2">
        <v>2.93</v>
      </c>
      <c r="K1059" s="2" t="str">
        <f t="shared" si="43"/>
        <v>&lt; 5kg</v>
      </c>
      <c r="L1059" s="2">
        <f>tdata[[#This Row],[Received_date]]-tdata[[#This Row],[Shipment_Date]]</f>
        <v>1</v>
      </c>
      <c r="M1059" s="2">
        <f>VLOOKUP(tdata[[#This Row],[Service_Type]],Table2[#All],2,0)</f>
        <v>3</v>
      </c>
      <c r="N1059" s="2" t="str">
        <f>IF(tdata[[#This Row],[Delivery_Days]]&lt;=tdata[[#This Row],[SLA_Days]],"On Time","Late")</f>
        <v>On Time</v>
      </c>
      <c r="O1059" s="2">
        <f>VLOOKUP(tdata[[#This Row],[Service_Type]],Table2[#All],4,0)</f>
        <v>10000</v>
      </c>
      <c r="P1059" s="2">
        <f>tdata[[#This Row],[price_per_kilo]]*tdata[[#This Row],[Weight_KG]]</f>
        <v>29300</v>
      </c>
      <c r="Q1059" s="2" t="str">
        <f>VLOOKUP(tdata[[#This Row],[id_employee]],temployee[#All],2,0)</f>
        <v>Farah Nabila</v>
      </c>
      <c r="R1059" s="2" t="str">
        <f>VLOOKUP(tdata[[#This Row],[id_employee]],temployee[#All],4,0)</f>
        <v>crowd source</v>
      </c>
      <c r="S1059" s="9" t="str">
        <f>VLOOKUP(tdata[[#This Row],[id_employee]],temployee[#All],5,0)</f>
        <v>rider</v>
      </c>
    </row>
    <row r="1060" spans="2:19" x14ac:dyDescent="0.35">
      <c r="B1060" s="8" t="s">
        <v>1079</v>
      </c>
      <c r="C1060" s="2" t="s">
        <v>1329</v>
      </c>
      <c r="D1060" s="5">
        <v>45118</v>
      </c>
      <c r="E1060" s="5">
        <v>45120</v>
      </c>
      <c r="F1060" s="2" t="s">
        <v>32</v>
      </c>
      <c r="G1060" s="2" t="s">
        <v>11</v>
      </c>
      <c r="H1060" s="2" t="s">
        <v>23</v>
      </c>
      <c r="I1060" s="2" t="s">
        <v>17</v>
      </c>
      <c r="J1060" s="2">
        <v>0.71</v>
      </c>
      <c r="K1060" s="2" t="str">
        <f t="shared" si="43"/>
        <v>&lt; 5kg</v>
      </c>
      <c r="L1060" s="2">
        <f>tdata[[#This Row],[Received_date]]-tdata[[#This Row],[Shipment_Date]]</f>
        <v>2</v>
      </c>
      <c r="M1060" s="2">
        <f>VLOOKUP(tdata[[#This Row],[Service_Type]],Table2[#All],2,0)</f>
        <v>5</v>
      </c>
      <c r="N1060" s="2" t="str">
        <f>IF(tdata[[#This Row],[Delivery_Days]]&lt;=tdata[[#This Row],[SLA_Days]],"On Time","Late")</f>
        <v>On Time</v>
      </c>
      <c r="O1060" s="2">
        <f>VLOOKUP(tdata[[#This Row],[Service_Type]],Table2[#All],4,0)</f>
        <v>9000</v>
      </c>
      <c r="P1060" s="2">
        <f>tdata[[#This Row],[price_per_kilo]]*tdata[[#This Row],[Weight_KG]]</f>
        <v>6390</v>
      </c>
      <c r="Q1060" s="2" t="str">
        <f>VLOOKUP(tdata[[#This Row],[id_employee]],temployee[#All],2,0)</f>
        <v>Galih Pratomo</v>
      </c>
      <c r="R1060" s="2" t="str">
        <f>VLOOKUP(tdata[[#This Row],[id_employee]],temployee[#All],4,0)</f>
        <v>internal</v>
      </c>
      <c r="S1060" s="9" t="str">
        <f>VLOOKUP(tdata[[#This Row],[id_employee]],temployee[#All],5,0)</f>
        <v>rider</v>
      </c>
    </row>
    <row r="1061" spans="2:19" x14ac:dyDescent="0.35">
      <c r="B1061" s="8" t="s">
        <v>1080</v>
      </c>
      <c r="C1061" s="2" t="s">
        <v>1330</v>
      </c>
      <c r="D1061" s="5">
        <v>45328</v>
      </c>
      <c r="E1061" s="5">
        <v>45329</v>
      </c>
      <c r="F1061" s="2" t="s">
        <v>16</v>
      </c>
      <c r="G1061" s="2" t="s">
        <v>11</v>
      </c>
      <c r="H1061" s="2" t="s">
        <v>1223</v>
      </c>
      <c r="I1061" s="2" t="s">
        <v>13</v>
      </c>
      <c r="J1061" s="2">
        <v>6.49</v>
      </c>
      <c r="K1061" s="2" t="str">
        <f t="shared" si="43"/>
        <v>&gt;5kg</v>
      </c>
      <c r="L1061" s="2">
        <f>tdata[[#This Row],[Received_date]]-tdata[[#This Row],[Shipment_Date]]</f>
        <v>1</v>
      </c>
      <c r="M1061" s="2">
        <f>VLOOKUP(tdata[[#This Row],[Service_Type]],Table2[#All],2,0)</f>
        <v>1</v>
      </c>
      <c r="N1061" s="2" t="str">
        <f>IF(tdata[[#This Row],[Delivery_Days]]&lt;=tdata[[#This Row],[SLA_Days]],"On Time","Late")</f>
        <v>On Time</v>
      </c>
      <c r="O1061" s="2">
        <f>VLOOKUP(tdata[[#This Row],[Service_Type]],Table2[#All],4,0)</f>
        <v>12000</v>
      </c>
      <c r="P1061" s="2">
        <f>tdata[[#This Row],[price_per_kilo]]*tdata[[#This Row],[Weight_KG]]</f>
        <v>77880</v>
      </c>
      <c r="Q1061" s="2" t="str">
        <f>VLOOKUP(tdata[[#This Row],[id_employee]],temployee[#All],2,0)</f>
        <v>Hadi Purnomo</v>
      </c>
      <c r="R1061" s="2" t="str">
        <f>VLOOKUP(tdata[[#This Row],[id_employee]],temployee[#All],4,0)</f>
        <v>crowd source</v>
      </c>
      <c r="S1061" s="9" t="str">
        <f>VLOOKUP(tdata[[#This Row],[id_employee]],temployee[#All],5,0)</f>
        <v>driver</v>
      </c>
    </row>
    <row r="1062" spans="2:19" x14ac:dyDescent="0.35">
      <c r="B1062" s="8" t="s">
        <v>1081</v>
      </c>
      <c r="C1062" s="2" t="s">
        <v>1331</v>
      </c>
      <c r="D1062" s="5">
        <v>45268</v>
      </c>
      <c r="E1062" s="5">
        <v>45276</v>
      </c>
      <c r="F1062" s="2" t="s">
        <v>26</v>
      </c>
      <c r="G1062" s="2" t="s">
        <v>30</v>
      </c>
      <c r="H1062" s="2" t="s">
        <v>1223</v>
      </c>
      <c r="I1062" s="2" t="s">
        <v>13</v>
      </c>
      <c r="J1062" s="2">
        <v>8.56</v>
      </c>
      <c r="K1062" s="2" t="str">
        <f t="shared" si="43"/>
        <v>&gt;5kg</v>
      </c>
      <c r="L1062" s="2">
        <f>tdata[[#This Row],[Received_date]]-tdata[[#This Row],[Shipment_Date]]</f>
        <v>8</v>
      </c>
      <c r="M1062" s="2">
        <f>VLOOKUP(tdata[[#This Row],[Service_Type]],Table2[#All],2,0)</f>
        <v>1</v>
      </c>
      <c r="N1062" s="2" t="str">
        <f>IF(tdata[[#This Row],[Delivery_Days]]&lt;=tdata[[#This Row],[SLA_Days]],"On Time","Late")</f>
        <v>Late</v>
      </c>
      <c r="O1062" s="2">
        <f>VLOOKUP(tdata[[#This Row],[Service_Type]],Table2[#All],4,0)</f>
        <v>12000</v>
      </c>
      <c r="P1062" s="2">
        <f>tdata[[#This Row],[price_per_kilo]]*tdata[[#This Row],[Weight_KG]]</f>
        <v>102720</v>
      </c>
      <c r="Q1062" s="2" t="str">
        <f>VLOOKUP(tdata[[#This Row],[id_employee]],temployee[#All],2,0)</f>
        <v>Ika Lestari</v>
      </c>
      <c r="R1062" s="2" t="str">
        <f>VLOOKUP(tdata[[#This Row],[id_employee]],temployee[#All],4,0)</f>
        <v>internal</v>
      </c>
      <c r="S1062" s="9" t="str">
        <f>VLOOKUP(tdata[[#This Row],[id_employee]],temployee[#All],5,0)</f>
        <v>rider</v>
      </c>
    </row>
    <row r="1063" spans="2:19" x14ac:dyDescent="0.35">
      <c r="B1063" s="8" t="s">
        <v>1082</v>
      </c>
      <c r="C1063" s="2" t="s">
        <v>1332</v>
      </c>
      <c r="D1063" s="5">
        <v>45368</v>
      </c>
      <c r="E1063" s="5">
        <v>45370</v>
      </c>
      <c r="F1063" s="2" t="s">
        <v>49</v>
      </c>
      <c r="G1063" s="2" t="s">
        <v>49</v>
      </c>
      <c r="H1063" s="2" t="s">
        <v>23</v>
      </c>
      <c r="I1063" s="2" t="s">
        <v>17</v>
      </c>
      <c r="J1063" s="2">
        <v>1.27</v>
      </c>
      <c r="K1063" s="2" t="str">
        <f t="shared" si="43"/>
        <v>&lt; 5kg</v>
      </c>
      <c r="L1063" s="2">
        <f>tdata[[#This Row],[Received_date]]-tdata[[#This Row],[Shipment_Date]]</f>
        <v>2</v>
      </c>
      <c r="M1063" s="2">
        <f>VLOOKUP(tdata[[#This Row],[Service_Type]],Table2[#All],2,0)</f>
        <v>5</v>
      </c>
      <c r="N1063" s="2" t="str">
        <f>IF(tdata[[#This Row],[Delivery_Days]]&lt;=tdata[[#This Row],[SLA_Days]],"On Time","Late")</f>
        <v>On Time</v>
      </c>
      <c r="O1063" s="2">
        <f>VLOOKUP(tdata[[#This Row],[Service_Type]],Table2[#All],4,0)</f>
        <v>9000</v>
      </c>
      <c r="P1063" s="2">
        <f>tdata[[#This Row],[price_per_kilo]]*tdata[[#This Row],[Weight_KG]]</f>
        <v>11430</v>
      </c>
      <c r="Q1063" s="2" t="str">
        <f>VLOOKUP(tdata[[#This Row],[id_employee]],temployee[#All],2,0)</f>
        <v>Jamil Akbar</v>
      </c>
      <c r="R1063" s="2" t="str">
        <f>VLOOKUP(tdata[[#This Row],[id_employee]],temployee[#All],4,0)</f>
        <v>internal</v>
      </c>
      <c r="S1063" s="9" t="str">
        <f>VLOOKUP(tdata[[#This Row],[id_employee]],temployee[#All],5,0)</f>
        <v>driver</v>
      </c>
    </row>
    <row r="1064" spans="2:19" x14ac:dyDescent="0.35">
      <c r="B1064" s="8" t="s">
        <v>1083</v>
      </c>
      <c r="C1064" s="2" t="s">
        <v>1333</v>
      </c>
      <c r="D1064" s="5">
        <v>45018</v>
      </c>
      <c r="E1064" s="5">
        <v>45029</v>
      </c>
      <c r="F1064" s="2" t="s">
        <v>11</v>
      </c>
      <c r="G1064" s="2" t="s">
        <v>22</v>
      </c>
      <c r="H1064" s="2" t="s">
        <v>1223</v>
      </c>
      <c r="I1064" s="2" t="s">
        <v>17</v>
      </c>
      <c r="J1064" s="2">
        <v>10.15</v>
      </c>
      <c r="K1064" s="2" t="str">
        <f t="shared" si="43"/>
        <v>&gt;5kg</v>
      </c>
      <c r="L1064" s="2">
        <f>tdata[[#This Row],[Received_date]]-tdata[[#This Row],[Shipment_Date]]</f>
        <v>11</v>
      </c>
      <c r="M1064" s="2">
        <f>VLOOKUP(tdata[[#This Row],[Service_Type]],Table2[#All],2,0)</f>
        <v>1</v>
      </c>
      <c r="N1064" s="2" t="str">
        <f>IF(tdata[[#This Row],[Delivery_Days]]&lt;=tdata[[#This Row],[SLA_Days]],"On Time","Late")</f>
        <v>Late</v>
      </c>
      <c r="O1064" s="2">
        <f>VLOOKUP(tdata[[#This Row],[Service_Type]],Table2[#All],4,0)</f>
        <v>12000</v>
      </c>
      <c r="P1064" s="2">
        <f>tdata[[#This Row],[price_per_kilo]]*tdata[[#This Row],[Weight_KG]]</f>
        <v>121800</v>
      </c>
      <c r="Q1064" s="2" t="str">
        <f>VLOOKUP(tdata[[#This Row],[id_employee]],temployee[#All],2,0)</f>
        <v>Kevin Sanjaya</v>
      </c>
      <c r="R1064" s="2" t="str">
        <f>VLOOKUP(tdata[[#This Row],[id_employee]],temployee[#All],4,0)</f>
        <v>crowd source</v>
      </c>
      <c r="S1064" s="9" t="str">
        <f>VLOOKUP(tdata[[#This Row],[id_employee]],temployee[#All],5,0)</f>
        <v>rider</v>
      </c>
    </row>
    <row r="1065" spans="2:19" x14ac:dyDescent="0.35">
      <c r="B1065" s="8" t="s">
        <v>1084</v>
      </c>
      <c r="C1065" s="2" t="s">
        <v>1334</v>
      </c>
      <c r="D1065" s="5">
        <v>45589</v>
      </c>
      <c r="E1065" s="5">
        <v>45598</v>
      </c>
      <c r="F1065" s="2" t="s">
        <v>15</v>
      </c>
      <c r="G1065" s="2" t="s">
        <v>30</v>
      </c>
      <c r="H1065" s="2" t="s">
        <v>23</v>
      </c>
      <c r="I1065" s="2" t="s">
        <v>13</v>
      </c>
      <c r="J1065" s="2">
        <v>3.38</v>
      </c>
      <c r="K1065" s="2" t="str">
        <f t="shared" si="43"/>
        <v>&lt; 5kg</v>
      </c>
      <c r="L1065" s="2">
        <f>tdata[[#This Row],[Received_date]]-tdata[[#This Row],[Shipment_Date]]</f>
        <v>9</v>
      </c>
      <c r="M1065" s="2">
        <f>VLOOKUP(tdata[[#This Row],[Service_Type]],Table2[#All],2,0)</f>
        <v>5</v>
      </c>
      <c r="N1065" s="2" t="str">
        <f>IF(tdata[[#This Row],[Delivery_Days]]&lt;=tdata[[#This Row],[SLA_Days]],"On Time","Late")</f>
        <v>Late</v>
      </c>
      <c r="O1065" s="2">
        <f>VLOOKUP(tdata[[#This Row],[Service_Type]],Table2[#All],4,0)</f>
        <v>9000</v>
      </c>
      <c r="P1065" s="2">
        <f>tdata[[#This Row],[price_per_kilo]]*tdata[[#This Row],[Weight_KG]]</f>
        <v>30420</v>
      </c>
      <c r="Q1065" s="2" t="str">
        <f>VLOOKUP(tdata[[#This Row],[id_employee]],temployee[#All],2,0)</f>
        <v>Laila Nuraini</v>
      </c>
      <c r="R1065" s="2" t="str">
        <f>VLOOKUP(tdata[[#This Row],[id_employee]],temployee[#All],4,0)</f>
        <v>internal</v>
      </c>
      <c r="S1065" s="9" t="str">
        <f>VLOOKUP(tdata[[#This Row],[id_employee]],temployee[#All],5,0)</f>
        <v>rider</v>
      </c>
    </row>
    <row r="1066" spans="2:19" x14ac:dyDescent="0.35">
      <c r="B1066" s="8" t="s">
        <v>1085</v>
      </c>
      <c r="C1066" s="2" t="s">
        <v>1335</v>
      </c>
      <c r="D1066" s="5">
        <v>45104</v>
      </c>
      <c r="E1066" s="5">
        <v>45105</v>
      </c>
      <c r="F1066" s="2" t="s">
        <v>20</v>
      </c>
      <c r="G1066" s="2" t="s">
        <v>49</v>
      </c>
      <c r="H1066" s="2" t="s">
        <v>1224</v>
      </c>
      <c r="I1066" s="2" t="s">
        <v>17</v>
      </c>
      <c r="J1066" s="2">
        <v>2.4700000000000002</v>
      </c>
      <c r="K1066" s="2" t="str">
        <f t="shared" si="43"/>
        <v>&lt; 5kg</v>
      </c>
      <c r="L1066" s="2">
        <f>tdata[[#This Row],[Received_date]]-tdata[[#This Row],[Shipment_Date]]</f>
        <v>1</v>
      </c>
      <c r="M1066" s="2">
        <f>VLOOKUP(tdata[[#This Row],[Service_Type]],Table2[#All],2,0)</f>
        <v>3</v>
      </c>
      <c r="N1066" s="2" t="str">
        <f>IF(tdata[[#This Row],[Delivery_Days]]&lt;=tdata[[#This Row],[SLA_Days]],"On Time","Late")</f>
        <v>On Time</v>
      </c>
      <c r="O1066" s="2">
        <f>VLOOKUP(tdata[[#This Row],[Service_Type]],Table2[#All],4,0)</f>
        <v>10000</v>
      </c>
      <c r="P1066" s="2">
        <f>tdata[[#This Row],[price_per_kilo]]*tdata[[#This Row],[Weight_KG]]</f>
        <v>24700.000000000004</v>
      </c>
      <c r="Q1066" s="2" t="str">
        <f>VLOOKUP(tdata[[#This Row],[id_employee]],temployee[#All],2,0)</f>
        <v>Miko Setiawan</v>
      </c>
      <c r="R1066" s="2" t="str">
        <f>VLOOKUP(tdata[[#This Row],[id_employee]],temployee[#All],4,0)</f>
        <v>crowd source</v>
      </c>
      <c r="S1066" s="9" t="str">
        <f>VLOOKUP(tdata[[#This Row],[id_employee]],temployee[#All],5,0)</f>
        <v>driver</v>
      </c>
    </row>
    <row r="1067" spans="2:19" x14ac:dyDescent="0.35">
      <c r="B1067" s="8" t="s">
        <v>1086</v>
      </c>
      <c r="C1067" s="2" t="s">
        <v>1336</v>
      </c>
      <c r="D1067" s="5">
        <v>45092</v>
      </c>
      <c r="E1067" s="5">
        <v>45092</v>
      </c>
      <c r="F1067" s="2" t="s">
        <v>22</v>
      </c>
      <c r="G1067" s="2" t="s">
        <v>26</v>
      </c>
      <c r="H1067" s="2" t="s">
        <v>1223</v>
      </c>
      <c r="I1067" s="2" t="s">
        <v>17</v>
      </c>
      <c r="J1067" s="2">
        <v>3.62</v>
      </c>
      <c r="K1067" s="2" t="str">
        <f t="shared" si="43"/>
        <v>&lt; 5kg</v>
      </c>
      <c r="L1067" s="2">
        <f>tdata[[#This Row],[Received_date]]-tdata[[#This Row],[Shipment_Date]]</f>
        <v>0</v>
      </c>
      <c r="M1067" s="2">
        <f>VLOOKUP(tdata[[#This Row],[Service_Type]],Table2[#All],2,0)</f>
        <v>1</v>
      </c>
      <c r="N1067" s="2" t="str">
        <f>IF(tdata[[#This Row],[Delivery_Days]]&lt;=tdata[[#This Row],[SLA_Days]],"On Time","Late")</f>
        <v>On Time</v>
      </c>
      <c r="O1067" s="2">
        <f>VLOOKUP(tdata[[#This Row],[Service_Type]],Table2[#All],4,0)</f>
        <v>12000</v>
      </c>
      <c r="P1067" s="2">
        <f>tdata[[#This Row],[price_per_kilo]]*tdata[[#This Row],[Weight_KG]]</f>
        <v>43440</v>
      </c>
      <c r="Q1067" s="2" t="str">
        <f>VLOOKUP(tdata[[#This Row],[id_employee]],temployee[#All],2,0)</f>
        <v>Nisa Aulia</v>
      </c>
      <c r="R1067" s="2" t="str">
        <f>VLOOKUP(tdata[[#This Row],[id_employee]],temployee[#All],4,0)</f>
        <v>internal</v>
      </c>
      <c r="S1067" s="9" t="str">
        <f>VLOOKUP(tdata[[#This Row],[id_employee]],temployee[#All],5,0)</f>
        <v>rider</v>
      </c>
    </row>
    <row r="1068" spans="2:19" x14ac:dyDescent="0.35">
      <c r="B1068" s="8" t="s">
        <v>1087</v>
      </c>
      <c r="C1068" s="2" t="s">
        <v>1337</v>
      </c>
      <c r="D1068" s="5">
        <v>45007</v>
      </c>
      <c r="E1068" s="5">
        <v>45010</v>
      </c>
      <c r="F1068" s="2" t="s">
        <v>12</v>
      </c>
      <c r="G1068" s="2" t="s">
        <v>32</v>
      </c>
      <c r="H1068" s="2" t="s">
        <v>23</v>
      </c>
      <c r="I1068" s="2" t="s">
        <v>13</v>
      </c>
      <c r="J1068" s="2">
        <v>3.88</v>
      </c>
      <c r="K1068" s="2" t="str">
        <f t="shared" si="43"/>
        <v>&lt; 5kg</v>
      </c>
      <c r="L1068" s="2">
        <f>tdata[[#This Row],[Received_date]]-tdata[[#This Row],[Shipment_Date]]</f>
        <v>3</v>
      </c>
      <c r="M1068" s="2">
        <f>VLOOKUP(tdata[[#This Row],[Service_Type]],Table2[#All],2,0)</f>
        <v>5</v>
      </c>
      <c r="N1068" s="2" t="str">
        <f>IF(tdata[[#This Row],[Delivery_Days]]&lt;=tdata[[#This Row],[SLA_Days]],"On Time","Late")</f>
        <v>On Time</v>
      </c>
      <c r="O1068" s="2">
        <f>VLOOKUP(tdata[[#This Row],[Service_Type]],Table2[#All],4,0)</f>
        <v>9000</v>
      </c>
      <c r="P1068" s="2">
        <f>tdata[[#This Row],[price_per_kilo]]*tdata[[#This Row],[Weight_KG]]</f>
        <v>34920</v>
      </c>
      <c r="Q1068" s="2" t="str">
        <f>VLOOKUP(tdata[[#This Row],[id_employee]],temployee[#All],2,0)</f>
        <v>Oki Pramono</v>
      </c>
      <c r="R1068" s="2" t="str">
        <f>VLOOKUP(tdata[[#This Row],[id_employee]],temployee[#All],4,0)</f>
        <v>internal</v>
      </c>
      <c r="S1068" s="9" t="str">
        <f>VLOOKUP(tdata[[#This Row],[id_employee]],temployee[#All],5,0)</f>
        <v>driver</v>
      </c>
    </row>
    <row r="1069" spans="2:19" x14ac:dyDescent="0.35">
      <c r="B1069" s="8" t="s">
        <v>1088</v>
      </c>
      <c r="C1069" s="2" t="s">
        <v>1338</v>
      </c>
      <c r="D1069" s="5">
        <v>45270</v>
      </c>
      <c r="E1069" s="5">
        <v>45270</v>
      </c>
      <c r="F1069" s="2" t="s">
        <v>30</v>
      </c>
      <c r="G1069" s="2" t="s">
        <v>22</v>
      </c>
      <c r="H1069" s="2" t="s">
        <v>1224</v>
      </c>
      <c r="I1069" s="2" t="s">
        <v>13</v>
      </c>
      <c r="J1069" s="2">
        <v>2.15</v>
      </c>
      <c r="K1069" s="2" t="str">
        <f t="shared" si="43"/>
        <v>&lt; 5kg</v>
      </c>
      <c r="L1069" s="2">
        <f>tdata[[#This Row],[Received_date]]-tdata[[#This Row],[Shipment_Date]]</f>
        <v>0</v>
      </c>
      <c r="M1069" s="2">
        <f>VLOOKUP(tdata[[#This Row],[Service_Type]],Table2[#All],2,0)</f>
        <v>3</v>
      </c>
      <c r="N1069" s="2" t="str">
        <f>IF(tdata[[#This Row],[Delivery_Days]]&lt;=tdata[[#This Row],[SLA_Days]],"On Time","Late")</f>
        <v>On Time</v>
      </c>
      <c r="O1069" s="2">
        <f>VLOOKUP(tdata[[#This Row],[Service_Type]],Table2[#All],4,0)</f>
        <v>10000</v>
      </c>
      <c r="P1069" s="2">
        <f>tdata[[#This Row],[price_per_kilo]]*tdata[[#This Row],[Weight_KG]]</f>
        <v>21500</v>
      </c>
      <c r="Q1069" s="2" t="str">
        <f>VLOOKUP(tdata[[#This Row],[id_employee]],temployee[#All],2,0)</f>
        <v>Putra Mahendra</v>
      </c>
      <c r="R1069" s="2" t="str">
        <f>VLOOKUP(tdata[[#This Row],[id_employee]],temployee[#All],4,0)</f>
        <v>crowd source</v>
      </c>
      <c r="S1069" s="9" t="str">
        <f>VLOOKUP(tdata[[#This Row],[id_employee]],temployee[#All],5,0)</f>
        <v>rider</v>
      </c>
    </row>
    <row r="1070" spans="2:19" x14ac:dyDescent="0.35">
      <c r="B1070" s="8" t="s">
        <v>1089</v>
      </c>
      <c r="C1070" s="2" t="s">
        <v>1339</v>
      </c>
      <c r="D1070" s="5">
        <v>45199</v>
      </c>
      <c r="E1070" s="5">
        <v>45199</v>
      </c>
      <c r="F1070" s="2" t="s">
        <v>32</v>
      </c>
      <c r="G1070" s="2" t="s">
        <v>32</v>
      </c>
      <c r="H1070" s="2" t="s">
        <v>23</v>
      </c>
      <c r="I1070" s="2" t="s">
        <v>13</v>
      </c>
      <c r="J1070" s="2">
        <v>3.27</v>
      </c>
      <c r="K1070" s="2" t="str">
        <f t="shared" si="43"/>
        <v>&lt; 5kg</v>
      </c>
      <c r="L1070" s="2">
        <f>tdata[[#This Row],[Received_date]]-tdata[[#This Row],[Shipment_Date]]</f>
        <v>0</v>
      </c>
      <c r="M1070" s="2">
        <f>VLOOKUP(tdata[[#This Row],[Service_Type]],Table2[#All],2,0)</f>
        <v>5</v>
      </c>
      <c r="N1070" s="2" t="str">
        <f>IF(tdata[[#This Row],[Delivery_Days]]&lt;=tdata[[#This Row],[SLA_Days]],"On Time","Late")</f>
        <v>On Time</v>
      </c>
      <c r="O1070" s="2">
        <f>VLOOKUP(tdata[[#This Row],[Service_Type]],Table2[#All],4,0)</f>
        <v>9000</v>
      </c>
      <c r="P1070" s="2">
        <f>tdata[[#This Row],[price_per_kilo]]*tdata[[#This Row],[Weight_KG]]</f>
        <v>29430</v>
      </c>
      <c r="Q1070" s="2" t="str">
        <f>VLOOKUP(tdata[[#This Row],[id_employee]],temployee[#All],2,0)</f>
        <v>Qolbi Ramadhani</v>
      </c>
      <c r="R1070" s="2" t="str">
        <f>VLOOKUP(tdata[[#This Row],[id_employee]],temployee[#All],4,0)</f>
        <v>internal</v>
      </c>
      <c r="S1070" s="9" t="str">
        <f>VLOOKUP(tdata[[#This Row],[id_employee]],temployee[#All],5,0)</f>
        <v>rider</v>
      </c>
    </row>
    <row r="1071" spans="2:19" x14ac:dyDescent="0.35">
      <c r="B1071" s="8" t="s">
        <v>1090</v>
      </c>
      <c r="C1071" s="2" t="s">
        <v>1340</v>
      </c>
      <c r="D1071" s="5">
        <v>45059</v>
      </c>
      <c r="E1071" s="5">
        <v>45060</v>
      </c>
      <c r="F1071" s="2" t="s">
        <v>16</v>
      </c>
      <c r="G1071" s="2" t="s">
        <v>32</v>
      </c>
      <c r="H1071" s="2" t="s">
        <v>1223</v>
      </c>
      <c r="I1071" s="2" t="s">
        <v>17</v>
      </c>
      <c r="J1071" s="2">
        <v>8.42</v>
      </c>
      <c r="K1071" s="2" t="str">
        <f t="shared" si="43"/>
        <v>&gt;5kg</v>
      </c>
      <c r="L1071" s="2">
        <f>tdata[[#This Row],[Received_date]]-tdata[[#This Row],[Shipment_Date]]</f>
        <v>1</v>
      </c>
      <c r="M1071" s="2">
        <f>VLOOKUP(tdata[[#This Row],[Service_Type]],Table2[#All],2,0)</f>
        <v>1</v>
      </c>
      <c r="N1071" s="2" t="str">
        <f>IF(tdata[[#This Row],[Delivery_Days]]&lt;=tdata[[#This Row],[SLA_Days]],"On Time","Late")</f>
        <v>On Time</v>
      </c>
      <c r="O1071" s="2">
        <f>VLOOKUP(tdata[[#This Row],[Service_Type]],Table2[#All],4,0)</f>
        <v>12000</v>
      </c>
      <c r="P1071" s="2">
        <f>tdata[[#This Row],[price_per_kilo]]*tdata[[#This Row],[Weight_KG]]</f>
        <v>101040</v>
      </c>
      <c r="Q1071" s="2" t="str">
        <f>VLOOKUP(tdata[[#This Row],[id_employee]],temployee[#All],2,0)</f>
        <v>Reza Firmansyah</v>
      </c>
      <c r="R1071" s="2" t="str">
        <f>VLOOKUP(tdata[[#This Row],[id_employee]],temployee[#All],4,0)</f>
        <v>crowd source</v>
      </c>
      <c r="S1071" s="9" t="str">
        <f>VLOOKUP(tdata[[#This Row],[id_employee]],temployee[#All],5,0)</f>
        <v>driver</v>
      </c>
    </row>
    <row r="1072" spans="2:19" x14ac:dyDescent="0.35">
      <c r="B1072" s="8" t="s">
        <v>1091</v>
      </c>
      <c r="C1072" s="2" t="s">
        <v>1341</v>
      </c>
      <c r="D1072" s="5">
        <v>45468</v>
      </c>
      <c r="E1072" s="5">
        <v>45470</v>
      </c>
      <c r="F1072" s="2" t="s">
        <v>26</v>
      </c>
      <c r="G1072" s="2" t="s">
        <v>20</v>
      </c>
      <c r="H1072" s="2" t="s">
        <v>23</v>
      </c>
      <c r="I1072" s="2" t="s">
        <v>17</v>
      </c>
      <c r="J1072" s="2">
        <v>3.82</v>
      </c>
      <c r="K1072" s="2" t="str">
        <f t="shared" si="43"/>
        <v>&lt; 5kg</v>
      </c>
      <c r="L1072" s="2">
        <f>tdata[[#This Row],[Received_date]]-tdata[[#This Row],[Shipment_Date]]</f>
        <v>2</v>
      </c>
      <c r="M1072" s="2">
        <f>VLOOKUP(tdata[[#This Row],[Service_Type]],Table2[#All],2,0)</f>
        <v>5</v>
      </c>
      <c r="N1072" s="2" t="str">
        <f>IF(tdata[[#This Row],[Delivery_Days]]&lt;=tdata[[#This Row],[SLA_Days]],"On Time","Late")</f>
        <v>On Time</v>
      </c>
      <c r="O1072" s="2">
        <f>VLOOKUP(tdata[[#This Row],[Service_Type]],Table2[#All],4,0)</f>
        <v>9000</v>
      </c>
      <c r="P1072" s="2">
        <f>tdata[[#This Row],[price_per_kilo]]*tdata[[#This Row],[Weight_KG]]</f>
        <v>34380</v>
      </c>
      <c r="Q1072" s="2" t="str">
        <f>VLOOKUP(tdata[[#This Row],[id_employee]],temployee[#All],2,0)</f>
        <v>Siska Amelia</v>
      </c>
      <c r="R1072" s="2" t="str">
        <f>VLOOKUP(tdata[[#This Row],[id_employee]],temployee[#All],4,0)</f>
        <v>internal</v>
      </c>
      <c r="S1072" s="9" t="str">
        <f>VLOOKUP(tdata[[#This Row],[id_employee]],temployee[#All],5,0)</f>
        <v>rider</v>
      </c>
    </row>
    <row r="1073" spans="2:19" x14ac:dyDescent="0.35">
      <c r="B1073" s="8" t="s">
        <v>1092</v>
      </c>
      <c r="C1073" s="2" t="s">
        <v>1342</v>
      </c>
      <c r="D1073" s="5">
        <v>45438</v>
      </c>
      <c r="E1073" s="5">
        <v>45440</v>
      </c>
      <c r="F1073" s="2" t="s">
        <v>49</v>
      </c>
      <c r="G1073" s="2" t="s">
        <v>30</v>
      </c>
      <c r="H1073" s="2" t="s">
        <v>1224</v>
      </c>
      <c r="I1073" s="2" t="s">
        <v>13</v>
      </c>
      <c r="J1073" s="2">
        <v>6.2</v>
      </c>
      <c r="K1073" s="2" t="str">
        <f t="shared" si="43"/>
        <v>&gt;5kg</v>
      </c>
      <c r="L1073" s="2">
        <f>tdata[[#This Row],[Received_date]]-tdata[[#This Row],[Shipment_Date]]</f>
        <v>2</v>
      </c>
      <c r="M1073" s="2">
        <f>VLOOKUP(tdata[[#This Row],[Service_Type]],Table2[#All],2,0)</f>
        <v>3</v>
      </c>
      <c r="N1073" s="2" t="str">
        <f>IF(tdata[[#This Row],[Delivery_Days]]&lt;=tdata[[#This Row],[SLA_Days]],"On Time","Late")</f>
        <v>On Time</v>
      </c>
      <c r="O1073" s="2">
        <f>VLOOKUP(tdata[[#This Row],[Service_Type]],Table2[#All],4,0)</f>
        <v>10000</v>
      </c>
      <c r="P1073" s="2">
        <f>tdata[[#This Row],[price_per_kilo]]*tdata[[#This Row],[Weight_KG]]</f>
        <v>62000</v>
      </c>
      <c r="Q1073" s="2" t="str">
        <f>VLOOKUP(tdata[[#This Row],[id_employee]],temployee[#All],2,0)</f>
        <v>Tri Wibowo</v>
      </c>
      <c r="R1073" s="2" t="str">
        <f>VLOOKUP(tdata[[#This Row],[id_employee]],temployee[#All],4,0)</f>
        <v>internal</v>
      </c>
      <c r="S1073" s="9" t="str">
        <f>VLOOKUP(tdata[[#This Row],[id_employee]],temployee[#All],5,0)</f>
        <v>driver</v>
      </c>
    </row>
    <row r="1074" spans="2:19" x14ac:dyDescent="0.35">
      <c r="B1074" s="8" t="s">
        <v>1093</v>
      </c>
      <c r="C1074" s="2" t="s">
        <v>1343</v>
      </c>
      <c r="D1074" s="5">
        <v>45657</v>
      </c>
      <c r="E1074" s="5">
        <f t="shared" ref="E1074:E1075" si="44">D1074+4</f>
        <v>45661</v>
      </c>
      <c r="F1074" s="2" t="s">
        <v>11</v>
      </c>
      <c r="G1074" s="2" t="s">
        <v>12</v>
      </c>
      <c r="H1074" s="2" t="s">
        <v>1224</v>
      </c>
      <c r="I1074" s="2" t="s">
        <v>17</v>
      </c>
      <c r="J1074" s="2">
        <v>9.24</v>
      </c>
      <c r="K1074" s="2" t="str">
        <f t="shared" si="43"/>
        <v>&gt;5kg</v>
      </c>
      <c r="L1074" s="2">
        <f>tdata[[#This Row],[Received_date]]-tdata[[#This Row],[Shipment_Date]]</f>
        <v>4</v>
      </c>
      <c r="M1074" s="2">
        <f>VLOOKUP(tdata[[#This Row],[Service_Type]],Table2[#All],2,0)</f>
        <v>3</v>
      </c>
      <c r="N1074" s="2" t="str">
        <f>IF(tdata[[#This Row],[Delivery_Days]]&lt;=tdata[[#This Row],[SLA_Days]],"On Time","Late")</f>
        <v>Late</v>
      </c>
      <c r="O1074" s="2">
        <f>VLOOKUP(tdata[[#This Row],[Service_Type]],Table2[#All],4,0)</f>
        <v>10000</v>
      </c>
      <c r="P1074" s="2">
        <f>tdata[[#This Row],[price_per_kilo]]*tdata[[#This Row],[Weight_KG]]</f>
        <v>92400</v>
      </c>
      <c r="Q1074" s="2" t="str">
        <f>VLOOKUP(tdata[[#This Row],[id_employee]],temployee[#All],2,0)</f>
        <v>Ubay Prakoso</v>
      </c>
      <c r="R1074" s="2" t="str">
        <f>VLOOKUP(tdata[[#This Row],[id_employee]],temployee[#All],4,0)</f>
        <v>crowd source</v>
      </c>
      <c r="S1074" s="9" t="str">
        <f>VLOOKUP(tdata[[#This Row],[id_employee]],temployee[#All],5,0)</f>
        <v>rider</v>
      </c>
    </row>
    <row r="1075" spans="2:19" x14ac:dyDescent="0.35">
      <c r="B1075" s="8" t="s">
        <v>1094</v>
      </c>
      <c r="C1075" s="2" t="s">
        <v>1344</v>
      </c>
      <c r="D1075" s="5">
        <v>45138</v>
      </c>
      <c r="E1075" s="5">
        <f t="shared" si="44"/>
        <v>45142</v>
      </c>
      <c r="F1075" s="2" t="s">
        <v>15</v>
      </c>
      <c r="G1075" s="2" t="s">
        <v>20</v>
      </c>
      <c r="H1075" s="2" t="s">
        <v>23</v>
      </c>
      <c r="I1075" s="2" t="s">
        <v>13</v>
      </c>
      <c r="J1075" s="2">
        <v>7.85</v>
      </c>
      <c r="K1075" s="2" t="str">
        <f t="shared" si="43"/>
        <v>&gt;5kg</v>
      </c>
      <c r="L1075" s="2">
        <f>tdata[[#This Row],[Received_date]]-tdata[[#This Row],[Shipment_Date]]</f>
        <v>4</v>
      </c>
      <c r="M1075" s="2">
        <f>VLOOKUP(tdata[[#This Row],[Service_Type]],Table2[#All],2,0)</f>
        <v>5</v>
      </c>
      <c r="N1075" s="2" t="str">
        <f>IF(tdata[[#This Row],[Delivery_Days]]&lt;=tdata[[#This Row],[SLA_Days]],"On Time","Late")</f>
        <v>On Time</v>
      </c>
      <c r="O1075" s="2">
        <f>VLOOKUP(tdata[[#This Row],[Service_Type]],Table2[#All],4,0)</f>
        <v>9000</v>
      </c>
      <c r="P1075" s="2">
        <f>tdata[[#This Row],[price_per_kilo]]*tdata[[#This Row],[Weight_KG]]</f>
        <v>70650</v>
      </c>
      <c r="Q1075" s="2" t="str">
        <f>VLOOKUP(tdata[[#This Row],[id_employee]],temployee[#All],2,0)</f>
        <v>Vania Putri</v>
      </c>
      <c r="R1075" s="2" t="str">
        <f>VLOOKUP(tdata[[#This Row],[id_employee]],temployee[#All],4,0)</f>
        <v>internal</v>
      </c>
      <c r="S1075" s="9" t="str">
        <f>VLOOKUP(tdata[[#This Row],[id_employee]],temployee[#All],5,0)</f>
        <v>rider</v>
      </c>
    </row>
    <row r="1076" spans="2:19" x14ac:dyDescent="0.35">
      <c r="B1076" s="8" t="s">
        <v>1095</v>
      </c>
      <c r="C1076" s="2" t="s">
        <v>1345</v>
      </c>
      <c r="D1076" s="5">
        <v>45426</v>
      </c>
      <c r="E1076" s="5">
        <v>45428</v>
      </c>
      <c r="F1076" s="2" t="s">
        <v>20</v>
      </c>
      <c r="G1076" s="2" t="s">
        <v>26</v>
      </c>
      <c r="H1076" s="2" t="s">
        <v>1224</v>
      </c>
      <c r="I1076" s="2" t="s">
        <v>17</v>
      </c>
      <c r="J1076" s="2">
        <v>9.9600000000000009</v>
      </c>
      <c r="K1076" s="2" t="str">
        <f t="shared" si="43"/>
        <v>&gt;5kg</v>
      </c>
      <c r="L1076" s="2">
        <f>tdata[[#This Row],[Received_date]]-tdata[[#This Row],[Shipment_Date]]</f>
        <v>2</v>
      </c>
      <c r="M1076" s="2">
        <f>VLOOKUP(tdata[[#This Row],[Service_Type]],Table2[#All],2,0)</f>
        <v>3</v>
      </c>
      <c r="N1076" s="2" t="str">
        <f>IF(tdata[[#This Row],[Delivery_Days]]&lt;=tdata[[#This Row],[SLA_Days]],"On Time","Late")</f>
        <v>On Time</v>
      </c>
      <c r="O1076" s="2">
        <f>VLOOKUP(tdata[[#This Row],[Service_Type]],Table2[#All],4,0)</f>
        <v>10000</v>
      </c>
      <c r="P1076" s="2">
        <f>tdata[[#This Row],[price_per_kilo]]*tdata[[#This Row],[Weight_KG]]</f>
        <v>99600.000000000015</v>
      </c>
      <c r="Q1076" s="2" t="str">
        <f>VLOOKUP(tdata[[#This Row],[id_employee]],temployee[#All],2,0)</f>
        <v>Wira Nugraha</v>
      </c>
      <c r="R1076" s="2" t="str">
        <f>VLOOKUP(tdata[[#This Row],[id_employee]],temployee[#All],4,0)</f>
        <v>internal</v>
      </c>
      <c r="S1076" s="9" t="str">
        <f>VLOOKUP(tdata[[#This Row],[id_employee]],temployee[#All],5,0)</f>
        <v>driver</v>
      </c>
    </row>
    <row r="1077" spans="2:19" x14ac:dyDescent="0.35">
      <c r="B1077" s="8" t="s">
        <v>1096</v>
      </c>
      <c r="C1077" s="2" t="s">
        <v>1346</v>
      </c>
      <c r="D1077" s="5">
        <v>45556</v>
      </c>
      <c r="E1077" s="5">
        <v>45559</v>
      </c>
      <c r="F1077" s="2" t="s">
        <v>22</v>
      </c>
      <c r="G1077" s="2" t="s">
        <v>22</v>
      </c>
      <c r="H1077" s="2" t="s">
        <v>23</v>
      </c>
      <c r="I1077" s="2" t="s">
        <v>13</v>
      </c>
      <c r="J1077" s="2">
        <v>9.7100000000000009</v>
      </c>
      <c r="K1077" s="2" t="str">
        <f t="shared" si="43"/>
        <v>&gt;5kg</v>
      </c>
      <c r="L1077" s="2">
        <f>tdata[[#This Row],[Received_date]]-tdata[[#This Row],[Shipment_Date]]</f>
        <v>3</v>
      </c>
      <c r="M1077" s="2">
        <f>VLOOKUP(tdata[[#This Row],[Service_Type]],Table2[#All],2,0)</f>
        <v>5</v>
      </c>
      <c r="N1077" s="2" t="str">
        <f>IF(tdata[[#This Row],[Delivery_Days]]&lt;=tdata[[#This Row],[SLA_Days]],"On Time","Late")</f>
        <v>On Time</v>
      </c>
      <c r="O1077" s="2">
        <f>VLOOKUP(tdata[[#This Row],[Service_Type]],Table2[#All],4,0)</f>
        <v>9000</v>
      </c>
      <c r="P1077" s="2">
        <f>tdata[[#This Row],[price_per_kilo]]*tdata[[#This Row],[Weight_KG]]</f>
        <v>87390.000000000015</v>
      </c>
      <c r="Q1077" s="2" t="str">
        <f>VLOOKUP(tdata[[#This Row],[id_employee]],temployee[#All],2,0)</f>
        <v>Xaverius Adi</v>
      </c>
      <c r="R1077" s="2" t="str">
        <f>VLOOKUP(tdata[[#This Row],[id_employee]],temployee[#All],4,0)</f>
        <v>crowd source</v>
      </c>
      <c r="S1077" s="9" t="str">
        <f>VLOOKUP(tdata[[#This Row],[id_employee]],temployee[#All],5,0)</f>
        <v>driver</v>
      </c>
    </row>
    <row r="1078" spans="2:19" x14ac:dyDescent="0.35">
      <c r="B1078" s="8" t="s">
        <v>1097</v>
      </c>
      <c r="C1078" s="2" t="s">
        <v>1347</v>
      </c>
      <c r="D1078" s="5">
        <v>45452</v>
      </c>
      <c r="E1078" s="5">
        <v>45452</v>
      </c>
      <c r="F1078" s="2" t="s">
        <v>12</v>
      </c>
      <c r="G1078" s="2" t="s">
        <v>16</v>
      </c>
      <c r="H1078" s="2" t="s">
        <v>1224</v>
      </c>
      <c r="I1078" s="2" t="s">
        <v>13</v>
      </c>
      <c r="J1078" s="2">
        <v>2.94</v>
      </c>
      <c r="K1078" s="2" t="str">
        <f t="shared" si="43"/>
        <v>&lt; 5kg</v>
      </c>
      <c r="L1078" s="2">
        <f>tdata[[#This Row],[Received_date]]-tdata[[#This Row],[Shipment_Date]]</f>
        <v>0</v>
      </c>
      <c r="M1078" s="2">
        <f>VLOOKUP(tdata[[#This Row],[Service_Type]],Table2[#All],2,0)</f>
        <v>3</v>
      </c>
      <c r="N1078" s="2" t="str">
        <f>IF(tdata[[#This Row],[Delivery_Days]]&lt;=tdata[[#This Row],[SLA_Days]],"On Time","Late")</f>
        <v>On Time</v>
      </c>
      <c r="O1078" s="2">
        <f>VLOOKUP(tdata[[#This Row],[Service_Type]],Table2[#All],4,0)</f>
        <v>10000</v>
      </c>
      <c r="P1078" s="2">
        <f>tdata[[#This Row],[price_per_kilo]]*tdata[[#This Row],[Weight_KG]]</f>
        <v>29400</v>
      </c>
      <c r="Q1078" s="2" t="str">
        <f>VLOOKUP(tdata[[#This Row],[id_employee]],temployee[#All],2,0)</f>
        <v>Yuliana Kartini</v>
      </c>
      <c r="R1078" s="2" t="str">
        <f>VLOOKUP(tdata[[#This Row],[id_employee]],temployee[#All],4,0)</f>
        <v>internal</v>
      </c>
      <c r="S1078" s="9" t="str">
        <f>VLOOKUP(tdata[[#This Row],[id_employee]],temployee[#All],5,0)</f>
        <v>rider</v>
      </c>
    </row>
    <row r="1079" spans="2:19" x14ac:dyDescent="0.35">
      <c r="B1079" s="8" t="s">
        <v>1098</v>
      </c>
      <c r="C1079" s="2" t="s">
        <v>1348</v>
      </c>
      <c r="D1079" s="5">
        <v>45319</v>
      </c>
      <c r="E1079" s="5">
        <f>D1079+4</f>
        <v>45323</v>
      </c>
      <c r="F1079" s="2" t="s">
        <v>30</v>
      </c>
      <c r="G1079" s="2" t="s">
        <v>15</v>
      </c>
      <c r="H1079" s="2" t="s">
        <v>1224</v>
      </c>
      <c r="I1079" s="2" t="s">
        <v>17</v>
      </c>
      <c r="J1079" s="2">
        <v>5.19</v>
      </c>
      <c r="K1079" s="2" t="str">
        <f t="shared" si="43"/>
        <v>&gt;5kg</v>
      </c>
      <c r="L1079" s="2">
        <f>tdata[[#This Row],[Received_date]]-tdata[[#This Row],[Shipment_Date]]</f>
        <v>4</v>
      </c>
      <c r="M1079" s="2">
        <f>VLOOKUP(tdata[[#This Row],[Service_Type]],Table2[#All],2,0)</f>
        <v>3</v>
      </c>
      <c r="N1079" s="2" t="str">
        <f>IF(tdata[[#This Row],[Delivery_Days]]&lt;=tdata[[#This Row],[SLA_Days]],"On Time","Late")</f>
        <v>Late</v>
      </c>
      <c r="O1079" s="2">
        <f>VLOOKUP(tdata[[#This Row],[Service_Type]],Table2[#All],4,0)</f>
        <v>10000</v>
      </c>
      <c r="P1079" s="2">
        <f>tdata[[#This Row],[price_per_kilo]]*tdata[[#This Row],[Weight_KG]]</f>
        <v>51900.000000000007</v>
      </c>
      <c r="Q1079" s="2" t="str">
        <f>VLOOKUP(tdata[[#This Row],[id_employee]],temployee[#All],2,0)</f>
        <v>Zaki Alamsyah</v>
      </c>
      <c r="R1079" s="2" t="str">
        <f>VLOOKUP(tdata[[#This Row],[id_employee]],temployee[#All],4,0)</f>
        <v>internal</v>
      </c>
      <c r="S1079" s="9" t="str">
        <f>VLOOKUP(tdata[[#This Row],[id_employee]],temployee[#All],5,0)</f>
        <v>rider</v>
      </c>
    </row>
    <row r="1080" spans="2:19" x14ac:dyDescent="0.35">
      <c r="B1080" s="8" t="s">
        <v>1099</v>
      </c>
      <c r="C1080" s="2" t="s">
        <v>1349</v>
      </c>
      <c r="D1080" s="5">
        <v>45491</v>
      </c>
      <c r="E1080" s="5">
        <v>45493</v>
      </c>
      <c r="F1080" s="2" t="s">
        <v>32</v>
      </c>
      <c r="G1080" s="2" t="s">
        <v>16</v>
      </c>
      <c r="H1080" s="2" t="s">
        <v>1224</v>
      </c>
      <c r="I1080" s="2" t="s">
        <v>13</v>
      </c>
      <c r="J1080" s="2">
        <v>8.84</v>
      </c>
      <c r="K1080" s="2" t="str">
        <f t="shared" si="43"/>
        <v>&gt;5kg</v>
      </c>
      <c r="L1080" s="2">
        <f>tdata[[#This Row],[Received_date]]-tdata[[#This Row],[Shipment_Date]]</f>
        <v>2</v>
      </c>
      <c r="M1080" s="2">
        <f>VLOOKUP(tdata[[#This Row],[Service_Type]],Table2[#All],2,0)</f>
        <v>3</v>
      </c>
      <c r="N1080" s="2" t="str">
        <f>IF(tdata[[#This Row],[Delivery_Days]]&lt;=tdata[[#This Row],[SLA_Days]],"On Time","Late")</f>
        <v>On Time</v>
      </c>
      <c r="O1080" s="2">
        <f>VLOOKUP(tdata[[#This Row],[Service_Type]],Table2[#All],4,0)</f>
        <v>10000</v>
      </c>
      <c r="P1080" s="2">
        <f>tdata[[#This Row],[price_per_kilo]]*tdata[[#This Row],[Weight_KG]]</f>
        <v>88400</v>
      </c>
      <c r="Q1080" s="2" t="str">
        <f>VLOOKUP(tdata[[#This Row],[id_employee]],temployee[#All],2,0)</f>
        <v>Arief Setyawan</v>
      </c>
      <c r="R1080" s="2" t="str">
        <f>VLOOKUP(tdata[[#This Row],[id_employee]],temployee[#All],4,0)</f>
        <v>crowd source</v>
      </c>
      <c r="S1080" s="9" t="str">
        <f>VLOOKUP(tdata[[#This Row],[id_employee]],temployee[#All],5,0)</f>
        <v>driver</v>
      </c>
    </row>
    <row r="1081" spans="2:19" x14ac:dyDescent="0.35">
      <c r="B1081" s="8" t="s">
        <v>1100</v>
      </c>
      <c r="C1081" s="2" t="s">
        <v>1350</v>
      </c>
      <c r="D1081" s="5">
        <v>45319</v>
      </c>
      <c r="E1081" s="5">
        <f>D1081+4</f>
        <v>45323</v>
      </c>
      <c r="F1081" s="2" t="s">
        <v>16</v>
      </c>
      <c r="G1081" s="2" t="s">
        <v>20</v>
      </c>
      <c r="H1081" s="2" t="s">
        <v>23</v>
      </c>
      <c r="I1081" s="2" t="s">
        <v>13</v>
      </c>
      <c r="J1081" s="2">
        <v>6.93</v>
      </c>
      <c r="K1081" s="2" t="str">
        <f t="shared" si="43"/>
        <v>&gt;5kg</v>
      </c>
      <c r="L1081" s="2">
        <f>tdata[[#This Row],[Received_date]]-tdata[[#This Row],[Shipment_Date]]</f>
        <v>4</v>
      </c>
      <c r="M1081" s="2">
        <f>VLOOKUP(tdata[[#This Row],[Service_Type]],Table2[#All],2,0)</f>
        <v>5</v>
      </c>
      <c r="N1081" s="2" t="str">
        <f>IF(tdata[[#This Row],[Delivery_Days]]&lt;=tdata[[#This Row],[SLA_Days]],"On Time","Late")</f>
        <v>On Time</v>
      </c>
      <c r="O1081" s="2">
        <f>VLOOKUP(tdata[[#This Row],[Service_Type]],Table2[#All],4,0)</f>
        <v>9000</v>
      </c>
      <c r="P1081" s="2">
        <f>tdata[[#This Row],[price_per_kilo]]*tdata[[#This Row],[Weight_KG]]</f>
        <v>62370</v>
      </c>
      <c r="Q1081" s="2" t="str">
        <f>VLOOKUP(tdata[[#This Row],[id_employee]],temployee[#All],2,0)</f>
        <v>Bunga Cahyani</v>
      </c>
      <c r="R1081" s="2" t="str">
        <f>VLOOKUP(tdata[[#This Row],[id_employee]],temployee[#All],4,0)</f>
        <v>internal</v>
      </c>
      <c r="S1081" s="9" t="str">
        <f>VLOOKUP(tdata[[#This Row],[id_employee]],temployee[#All],5,0)</f>
        <v>rider</v>
      </c>
    </row>
    <row r="1082" spans="2:19" x14ac:dyDescent="0.35">
      <c r="B1082" s="8" t="s">
        <v>1101</v>
      </c>
      <c r="C1082" s="2" t="s">
        <v>1351</v>
      </c>
      <c r="D1082" s="5">
        <v>45379</v>
      </c>
      <c r="E1082" s="5">
        <v>45388</v>
      </c>
      <c r="F1082" s="2" t="s">
        <v>26</v>
      </c>
      <c r="G1082" s="2" t="s">
        <v>22</v>
      </c>
      <c r="H1082" s="2" t="s">
        <v>23</v>
      </c>
      <c r="I1082" s="2" t="s">
        <v>13</v>
      </c>
      <c r="J1082" s="2">
        <v>2.99</v>
      </c>
      <c r="K1082" s="2" t="str">
        <f t="shared" si="43"/>
        <v>&lt; 5kg</v>
      </c>
      <c r="L1082" s="2">
        <f>tdata[[#This Row],[Received_date]]-tdata[[#This Row],[Shipment_Date]]</f>
        <v>9</v>
      </c>
      <c r="M1082" s="2">
        <f>VLOOKUP(tdata[[#This Row],[Service_Type]],Table2[#All],2,0)</f>
        <v>5</v>
      </c>
      <c r="N1082" s="2" t="str">
        <f>IF(tdata[[#This Row],[Delivery_Days]]&lt;=tdata[[#This Row],[SLA_Days]],"On Time","Late")</f>
        <v>Late</v>
      </c>
      <c r="O1082" s="2">
        <f>VLOOKUP(tdata[[#This Row],[Service_Type]],Table2[#All],4,0)</f>
        <v>9000</v>
      </c>
      <c r="P1082" s="2">
        <f>tdata[[#This Row],[price_per_kilo]]*tdata[[#This Row],[Weight_KG]]</f>
        <v>26910.000000000004</v>
      </c>
      <c r="Q1082" s="2" t="str">
        <f>VLOOKUP(tdata[[#This Row],[id_employee]],temployee[#All],2,0)</f>
        <v>Cahyo Prabowo</v>
      </c>
      <c r="R1082" s="2" t="str">
        <f>VLOOKUP(tdata[[#This Row],[id_employee]],temployee[#All],4,0)</f>
        <v>internal</v>
      </c>
      <c r="S1082" s="9" t="str">
        <f>VLOOKUP(tdata[[#This Row],[id_employee]],temployee[#All],5,0)</f>
        <v>driver</v>
      </c>
    </row>
    <row r="1083" spans="2:19" x14ac:dyDescent="0.35">
      <c r="B1083" s="8" t="s">
        <v>1102</v>
      </c>
      <c r="C1083" s="2" t="s">
        <v>1352</v>
      </c>
      <c r="D1083" s="5">
        <v>45239</v>
      </c>
      <c r="E1083" s="5">
        <v>45250</v>
      </c>
      <c r="F1083" s="2" t="s">
        <v>49</v>
      </c>
      <c r="G1083" s="2" t="s">
        <v>49</v>
      </c>
      <c r="H1083" s="2" t="s">
        <v>23</v>
      </c>
      <c r="I1083" s="2" t="s">
        <v>17</v>
      </c>
      <c r="J1083" s="2">
        <v>1.66</v>
      </c>
      <c r="K1083" s="2" t="str">
        <f t="shared" si="43"/>
        <v>&lt; 5kg</v>
      </c>
      <c r="L1083" s="2">
        <f>tdata[[#This Row],[Received_date]]-tdata[[#This Row],[Shipment_Date]]</f>
        <v>11</v>
      </c>
      <c r="M1083" s="2">
        <f>VLOOKUP(tdata[[#This Row],[Service_Type]],Table2[#All],2,0)</f>
        <v>5</v>
      </c>
      <c r="N1083" s="2" t="str">
        <f>IF(tdata[[#This Row],[Delivery_Days]]&lt;=tdata[[#This Row],[SLA_Days]],"On Time","Late")</f>
        <v>Late</v>
      </c>
      <c r="O1083" s="2">
        <f>VLOOKUP(tdata[[#This Row],[Service_Type]],Table2[#All],4,0)</f>
        <v>9000</v>
      </c>
      <c r="P1083" s="2">
        <f>tdata[[#This Row],[price_per_kilo]]*tdata[[#This Row],[Weight_KG]]</f>
        <v>14940</v>
      </c>
      <c r="Q1083" s="2" t="str">
        <f>VLOOKUP(tdata[[#This Row],[id_employee]],temployee[#All],2,0)</f>
        <v>Diah Permata</v>
      </c>
      <c r="R1083" s="2" t="str">
        <f>VLOOKUP(tdata[[#This Row],[id_employee]],temployee[#All],4,0)</f>
        <v>crowd source</v>
      </c>
      <c r="S1083" s="9" t="str">
        <f>VLOOKUP(tdata[[#This Row],[id_employee]],temployee[#All],5,0)</f>
        <v>rider</v>
      </c>
    </row>
    <row r="1084" spans="2:19" x14ac:dyDescent="0.35">
      <c r="B1084" s="8" t="s">
        <v>1103</v>
      </c>
      <c r="C1084" s="2" t="s">
        <v>1353</v>
      </c>
      <c r="D1084" s="5">
        <v>45065</v>
      </c>
      <c r="E1084" s="5">
        <v>45076</v>
      </c>
      <c r="F1084" s="2" t="s">
        <v>11</v>
      </c>
      <c r="G1084" s="2" t="s">
        <v>26</v>
      </c>
      <c r="H1084" s="2" t="s">
        <v>1224</v>
      </c>
      <c r="I1084" s="2" t="s">
        <v>17</v>
      </c>
      <c r="J1084" s="2">
        <v>1.95</v>
      </c>
      <c r="K1084" s="2" t="str">
        <f t="shared" si="43"/>
        <v>&lt; 5kg</v>
      </c>
      <c r="L1084" s="2">
        <f>tdata[[#This Row],[Received_date]]-tdata[[#This Row],[Shipment_Date]]</f>
        <v>11</v>
      </c>
      <c r="M1084" s="2">
        <f>VLOOKUP(tdata[[#This Row],[Service_Type]],Table2[#All],2,0)</f>
        <v>3</v>
      </c>
      <c r="N1084" s="2" t="str">
        <f>IF(tdata[[#This Row],[Delivery_Days]]&lt;=tdata[[#This Row],[SLA_Days]],"On Time","Late")</f>
        <v>Late</v>
      </c>
      <c r="O1084" s="2">
        <f>VLOOKUP(tdata[[#This Row],[Service_Type]],Table2[#All],4,0)</f>
        <v>10000</v>
      </c>
      <c r="P1084" s="2">
        <f>tdata[[#This Row],[price_per_kilo]]*tdata[[#This Row],[Weight_KG]]</f>
        <v>19500</v>
      </c>
      <c r="Q1084" s="2" t="str">
        <f>VLOOKUP(tdata[[#This Row],[id_employee]],temployee[#All],2,0)</f>
        <v>Evania Putri</v>
      </c>
      <c r="R1084" s="2" t="str">
        <f>VLOOKUP(tdata[[#This Row],[id_employee]],temployee[#All],4,0)</f>
        <v>internal</v>
      </c>
      <c r="S1084" s="9" t="str">
        <f>VLOOKUP(tdata[[#This Row],[id_employee]],temployee[#All],5,0)</f>
        <v>rider</v>
      </c>
    </row>
    <row r="1085" spans="2:19" x14ac:dyDescent="0.35">
      <c r="B1085" s="8" t="s">
        <v>1104</v>
      </c>
      <c r="C1085" s="2" t="s">
        <v>1354</v>
      </c>
      <c r="D1085" s="5">
        <v>45475</v>
      </c>
      <c r="E1085" s="5">
        <v>45476</v>
      </c>
      <c r="F1085" s="2" t="s">
        <v>15</v>
      </c>
      <c r="G1085" s="2" t="s">
        <v>22</v>
      </c>
      <c r="H1085" s="2" t="s">
        <v>1224</v>
      </c>
      <c r="I1085" s="2" t="s">
        <v>17</v>
      </c>
      <c r="J1085" s="2">
        <v>7.4</v>
      </c>
      <c r="K1085" s="2" t="str">
        <f t="shared" si="43"/>
        <v>&gt;5kg</v>
      </c>
      <c r="L1085" s="2">
        <f>tdata[[#This Row],[Received_date]]-tdata[[#This Row],[Shipment_Date]]</f>
        <v>1</v>
      </c>
      <c r="M1085" s="2">
        <f>VLOOKUP(tdata[[#This Row],[Service_Type]],Table2[#All],2,0)</f>
        <v>3</v>
      </c>
      <c r="N1085" s="2" t="str">
        <f>IF(tdata[[#This Row],[Delivery_Days]]&lt;=tdata[[#This Row],[SLA_Days]],"On Time","Late")</f>
        <v>On Time</v>
      </c>
      <c r="O1085" s="2">
        <f>VLOOKUP(tdata[[#This Row],[Service_Type]],Table2[#All],4,0)</f>
        <v>10000</v>
      </c>
      <c r="P1085" s="2">
        <f>tdata[[#This Row],[price_per_kilo]]*tdata[[#This Row],[Weight_KG]]</f>
        <v>74000</v>
      </c>
      <c r="Q1085" s="2" t="str">
        <f>VLOOKUP(tdata[[#This Row],[id_employee]],temployee[#All],2,0)</f>
        <v>Fikri Ramadhan</v>
      </c>
      <c r="R1085" s="2" t="str">
        <f>VLOOKUP(tdata[[#This Row],[id_employee]],temployee[#All],4,0)</f>
        <v>crowd source</v>
      </c>
      <c r="S1085" s="9" t="str">
        <f>VLOOKUP(tdata[[#This Row],[id_employee]],temployee[#All],5,0)</f>
        <v>driver</v>
      </c>
    </row>
    <row r="1086" spans="2:19" x14ac:dyDescent="0.35">
      <c r="B1086" s="8" t="s">
        <v>1105</v>
      </c>
      <c r="C1086" s="2" t="s">
        <v>1355</v>
      </c>
      <c r="D1086" s="5">
        <v>45309</v>
      </c>
      <c r="E1086" s="5">
        <f t="shared" ref="E1086:E1087" si="45">D1086+4</f>
        <v>45313</v>
      </c>
      <c r="F1086" s="2" t="s">
        <v>20</v>
      </c>
      <c r="G1086" s="2" t="s">
        <v>11</v>
      </c>
      <c r="H1086" s="2" t="s">
        <v>1223</v>
      </c>
      <c r="I1086" s="2" t="s">
        <v>13</v>
      </c>
      <c r="J1086" s="2">
        <v>9.86</v>
      </c>
      <c r="K1086" s="2" t="str">
        <f t="shared" si="43"/>
        <v>&gt;5kg</v>
      </c>
      <c r="L1086" s="2">
        <f>tdata[[#This Row],[Received_date]]-tdata[[#This Row],[Shipment_Date]]</f>
        <v>4</v>
      </c>
      <c r="M1086" s="2">
        <f>VLOOKUP(tdata[[#This Row],[Service_Type]],Table2[#All],2,0)</f>
        <v>1</v>
      </c>
      <c r="N1086" s="2" t="str">
        <f>IF(tdata[[#This Row],[Delivery_Days]]&lt;=tdata[[#This Row],[SLA_Days]],"On Time","Late")</f>
        <v>Late</v>
      </c>
      <c r="O1086" s="2">
        <f>VLOOKUP(tdata[[#This Row],[Service_Type]],Table2[#All],4,0)</f>
        <v>12000</v>
      </c>
      <c r="P1086" s="2">
        <f>tdata[[#This Row],[price_per_kilo]]*tdata[[#This Row],[Weight_KG]]</f>
        <v>118320</v>
      </c>
      <c r="Q1086" s="2" t="str">
        <f>VLOOKUP(tdata[[#This Row],[id_employee]],temployee[#All],2,0)</f>
        <v>Gilang Ramli</v>
      </c>
      <c r="R1086" s="2" t="str">
        <f>VLOOKUP(tdata[[#This Row],[id_employee]],temployee[#All],4,0)</f>
        <v>internal</v>
      </c>
      <c r="S1086" s="9" t="str">
        <f>VLOOKUP(tdata[[#This Row],[id_employee]],temployee[#All],5,0)</f>
        <v>rider</v>
      </c>
    </row>
    <row r="1087" spans="2:19" x14ac:dyDescent="0.35">
      <c r="B1087" s="8" t="s">
        <v>1106</v>
      </c>
      <c r="C1087" s="2" t="s">
        <v>1356</v>
      </c>
      <c r="D1087" s="5">
        <v>45530</v>
      </c>
      <c r="E1087" s="5">
        <f t="shared" si="45"/>
        <v>45534</v>
      </c>
      <c r="F1087" s="2" t="s">
        <v>22</v>
      </c>
      <c r="G1087" s="2" t="s">
        <v>16</v>
      </c>
      <c r="H1087" s="2" t="s">
        <v>23</v>
      </c>
      <c r="I1087" s="2" t="s">
        <v>17</v>
      </c>
      <c r="J1087" s="2">
        <v>8.5399999999999991</v>
      </c>
      <c r="K1087" s="2" t="str">
        <f t="shared" si="43"/>
        <v>&gt;5kg</v>
      </c>
      <c r="L1087" s="2">
        <f>tdata[[#This Row],[Received_date]]-tdata[[#This Row],[Shipment_Date]]</f>
        <v>4</v>
      </c>
      <c r="M1087" s="2">
        <f>VLOOKUP(tdata[[#This Row],[Service_Type]],Table2[#All],2,0)</f>
        <v>5</v>
      </c>
      <c r="N1087" s="2" t="str">
        <f>IF(tdata[[#This Row],[Delivery_Days]]&lt;=tdata[[#This Row],[SLA_Days]],"On Time","Late")</f>
        <v>On Time</v>
      </c>
      <c r="O1087" s="2">
        <f>VLOOKUP(tdata[[#This Row],[Service_Type]],Table2[#All],4,0)</f>
        <v>9000</v>
      </c>
      <c r="P1087" s="2">
        <f>tdata[[#This Row],[price_per_kilo]]*tdata[[#This Row],[Weight_KG]]</f>
        <v>76859.999999999985</v>
      </c>
      <c r="Q1087" s="2" t="str">
        <f>VLOOKUP(tdata[[#This Row],[id_employee]],temployee[#All],2,0)</f>
        <v>Hana Zahra</v>
      </c>
      <c r="R1087" s="2" t="str">
        <f>VLOOKUP(tdata[[#This Row],[id_employee]],temployee[#All],4,0)</f>
        <v>internal</v>
      </c>
      <c r="S1087" s="9" t="str">
        <f>VLOOKUP(tdata[[#This Row],[id_employee]],temployee[#All],5,0)</f>
        <v>rider</v>
      </c>
    </row>
    <row r="1088" spans="2:19" x14ac:dyDescent="0.35">
      <c r="B1088" s="8" t="s">
        <v>1107</v>
      </c>
      <c r="C1088" s="2" t="s">
        <v>1357</v>
      </c>
      <c r="D1088" s="5">
        <v>44960</v>
      </c>
      <c r="E1088" s="5">
        <v>44961</v>
      </c>
      <c r="F1088" s="2" t="s">
        <v>12</v>
      </c>
      <c r="G1088" s="2" t="s">
        <v>15</v>
      </c>
      <c r="H1088" s="2" t="s">
        <v>1224</v>
      </c>
      <c r="I1088" s="2" t="s">
        <v>17</v>
      </c>
      <c r="J1088" s="2">
        <v>1.83</v>
      </c>
      <c r="K1088" s="2" t="str">
        <f t="shared" si="43"/>
        <v>&lt; 5kg</v>
      </c>
      <c r="L1088" s="2">
        <f>tdata[[#This Row],[Received_date]]-tdata[[#This Row],[Shipment_Date]]</f>
        <v>1</v>
      </c>
      <c r="M1088" s="2">
        <f>VLOOKUP(tdata[[#This Row],[Service_Type]],Table2[#All],2,0)</f>
        <v>3</v>
      </c>
      <c r="N1088" s="2" t="str">
        <f>IF(tdata[[#This Row],[Delivery_Days]]&lt;=tdata[[#This Row],[SLA_Days]],"On Time","Late")</f>
        <v>On Time</v>
      </c>
      <c r="O1088" s="2">
        <f>VLOOKUP(tdata[[#This Row],[Service_Type]],Table2[#All],4,0)</f>
        <v>10000</v>
      </c>
      <c r="P1088" s="2">
        <f>tdata[[#This Row],[price_per_kilo]]*tdata[[#This Row],[Weight_KG]]</f>
        <v>18300</v>
      </c>
      <c r="Q1088" s="2" t="str">
        <f>VLOOKUP(tdata[[#This Row],[id_employee]],temployee[#All],2,0)</f>
        <v>Irfan Maulana</v>
      </c>
      <c r="R1088" s="2" t="str">
        <f>VLOOKUP(tdata[[#This Row],[id_employee]],temployee[#All],4,0)</f>
        <v>internal</v>
      </c>
      <c r="S1088" s="9" t="str">
        <f>VLOOKUP(tdata[[#This Row],[id_employee]],temployee[#All],5,0)</f>
        <v>driver</v>
      </c>
    </row>
    <row r="1089" spans="2:19" x14ac:dyDescent="0.35">
      <c r="B1089" s="8" t="s">
        <v>1108</v>
      </c>
      <c r="C1089" s="2" t="s">
        <v>1358</v>
      </c>
      <c r="D1089" s="5">
        <v>45601</v>
      </c>
      <c r="E1089" s="5">
        <f>D1089+4</f>
        <v>45605</v>
      </c>
      <c r="F1089" s="2" t="s">
        <v>30</v>
      </c>
      <c r="G1089" s="2" t="s">
        <v>15</v>
      </c>
      <c r="H1089" s="2" t="s">
        <v>1224</v>
      </c>
      <c r="I1089" s="2" t="s">
        <v>17</v>
      </c>
      <c r="J1089" s="2">
        <v>8.06</v>
      </c>
      <c r="K1089" s="2" t="str">
        <f t="shared" si="43"/>
        <v>&gt;5kg</v>
      </c>
      <c r="L1089" s="2">
        <f>tdata[[#This Row],[Received_date]]-tdata[[#This Row],[Shipment_Date]]</f>
        <v>4</v>
      </c>
      <c r="M1089" s="2">
        <f>VLOOKUP(tdata[[#This Row],[Service_Type]],Table2[#All],2,0)</f>
        <v>3</v>
      </c>
      <c r="N1089" s="2" t="str">
        <f>IF(tdata[[#This Row],[Delivery_Days]]&lt;=tdata[[#This Row],[SLA_Days]],"On Time","Late")</f>
        <v>Late</v>
      </c>
      <c r="O1089" s="2">
        <f>VLOOKUP(tdata[[#This Row],[Service_Type]],Table2[#All],4,0)</f>
        <v>10000</v>
      </c>
      <c r="P1089" s="2">
        <f>tdata[[#This Row],[price_per_kilo]]*tdata[[#This Row],[Weight_KG]]</f>
        <v>80600</v>
      </c>
      <c r="Q1089" s="2" t="str">
        <f>VLOOKUP(tdata[[#This Row],[id_employee]],temployee[#All],2,0)</f>
        <v>Jihan Salsabila</v>
      </c>
      <c r="R1089" s="2" t="str">
        <f>VLOOKUP(tdata[[#This Row],[id_employee]],temployee[#All],4,0)</f>
        <v>crowd source</v>
      </c>
      <c r="S1089" s="9" t="str">
        <f>VLOOKUP(tdata[[#This Row],[id_employee]],temployee[#All],5,0)</f>
        <v>rider</v>
      </c>
    </row>
    <row r="1090" spans="2:19" x14ac:dyDescent="0.35">
      <c r="B1090" s="8" t="s">
        <v>1109</v>
      </c>
      <c r="C1090" s="2" t="s">
        <v>1359</v>
      </c>
      <c r="D1090" s="5">
        <v>45534</v>
      </c>
      <c r="E1090" s="5">
        <v>45537</v>
      </c>
      <c r="F1090" s="2" t="s">
        <v>32</v>
      </c>
      <c r="G1090" s="2" t="s">
        <v>26</v>
      </c>
      <c r="H1090" s="2" t="s">
        <v>1224</v>
      </c>
      <c r="I1090" s="2" t="s">
        <v>17</v>
      </c>
      <c r="J1090" s="2">
        <v>0.94</v>
      </c>
      <c r="K1090" s="2" t="str">
        <f t="shared" si="43"/>
        <v>&lt; 5kg</v>
      </c>
      <c r="L1090" s="2">
        <f>tdata[[#This Row],[Received_date]]-tdata[[#This Row],[Shipment_Date]]</f>
        <v>3</v>
      </c>
      <c r="M1090" s="2">
        <f>VLOOKUP(tdata[[#This Row],[Service_Type]],Table2[#All],2,0)</f>
        <v>3</v>
      </c>
      <c r="N1090" s="2" t="str">
        <f>IF(tdata[[#This Row],[Delivery_Days]]&lt;=tdata[[#This Row],[SLA_Days]],"On Time","Late")</f>
        <v>On Time</v>
      </c>
      <c r="O1090" s="2">
        <f>VLOOKUP(tdata[[#This Row],[Service_Type]],Table2[#All],4,0)</f>
        <v>10000</v>
      </c>
      <c r="P1090" s="2">
        <f>tdata[[#This Row],[price_per_kilo]]*tdata[[#This Row],[Weight_KG]]</f>
        <v>9400</v>
      </c>
      <c r="Q1090" s="2" t="str">
        <f>VLOOKUP(tdata[[#This Row],[id_employee]],temployee[#All],2,0)</f>
        <v>Koko Santoso</v>
      </c>
      <c r="R1090" s="2" t="str">
        <f>VLOOKUP(tdata[[#This Row],[id_employee]],temployee[#All],4,0)</f>
        <v>internal</v>
      </c>
      <c r="S1090" s="9" t="str">
        <f>VLOOKUP(tdata[[#This Row],[id_employee]],temployee[#All],5,0)</f>
        <v>rider</v>
      </c>
    </row>
    <row r="1091" spans="2:19" x14ac:dyDescent="0.35">
      <c r="B1091" s="8" t="s">
        <v>1110</v>
      </c>
      <c r="C1091" s="2" t="s">
        <v>1360</v>
      </c>
      <c r="D1091" s="5">
        <v>45147</v>
      </c>
      <c r="E1091" s="5">
        <v>45155</v>
      </c>
      <c r="F1091" s="2" t="s">
        <v>16</v>
      </c>
      <c r="G1091" s="2" t="s">
        <v>30</v>
      </c>
      <c r="H1091" s="2" t="s">
        <v>1224</v>
      </c>
      <c r="I1091" s="2" t="s">
        <v>13</v>
      </c>
      <c r="J1091" s="2">
        <v>1.85</v>
      </c>
      <c r="K1091" s="2" t="str">
        <f t="shared" si="43"/>
        <v>&lt; 5kg</v>
      </c>
      <c r="L1091" s="2">
        <f>tdata[[#This Row],[Received_date]]-tdata[[#This Row],[Shipment_Date]]</f>
        <v>8</v>
      </c>
      <c r="M1091" s="2">
        <f>VLOOKUP(tdata[[#This Row],[Service_Type]],Table2[#All],2,0)</f>
        <v>3</v>
      </c>
      <c r="N1091" s="2" t="str">
        <f>IF(tdata[[#This Row],[Delivery_Days]]&lt;=tdata[[#This Row],[SLA_Days]],"On Time","Late")</f>
        <v>Late</v>
      </c>
      <c r="O1091" s="2">
        <f>VLOOKUP(tdata[[#This Row],[Service_Type]],Table2[#All],4,0)</f>
        <v>10000</v>
      </c>
      <c r="P1091" s="2">
        <f>tdata[[#This Row],[price_per_kilo]]*tdata[[#This Row],[Weight_KG]]</f>
        <v>18500</v>
      </c>
      <c r="Q1091" s="2" t="str">
        <f>VLOOKUP(tdata[[#This Row],[id_employee]],temployee[#All],2,0)</f>
        <v>Luthfi Hakim</v>
      </c>
      <c r="R1091" s="2" t="str">
        <f>VLOOKUP(tdata[[#This Row],[id_employee]],temployee[#All],4,0)</f>
        <v>crowd source</v>
      </c>
      <c r="S1091" s="9" t="str">
        <f>VLOOKUP(tdata[[#This Row],[id_employee]],temployee[#All],5,0)</f>
        <v>driver</v>
      </c>
    </row>
    <row r="1092" spans="2:19" x14ac:dyDescent="0.35">
      <c r="B1092" s="8" t="s">
        <v>1111</v>
      </c>
      <c r="C1092" s="2" t="s">
        <v>1361</v>
      </c>
      <c r="D1092" s="5">
        <v>45482</v>
      </c>
      <c r="E1092" s="5">
        <v>45484</v>
      </c>
      <c r="F1092" s="2" t="s">
        <v>26</v>
      </c>
      <c r="G1092" s="2" t="s">
        <v>30</v>
      </c>
      <c r="H1092" s="2" t="s">
        <v>1224</v>
      </c>
      <c r="I1092" s="2" t="s">
        <v>13</v>
      </c>
      <c r="J1092" s="2">
        <v>1.98</v>
      </c>
      <c r="K1092" s="2" t="str">
        <f t="shared" si="43"/>
        <v>&lt; 5kg</v>
      </c>
      <c r="L1092" s="2">
        <f>tdata[[#This Row],[Received_date]]-tdata[[#This Row],[Shipment_Date]]</f>
        <v>2</v>
      </c>
      <c r="M1092" s="2">
        <f>VLOOKUP(tdata[[#This Row],[Service_Type]],Table2[#All],2,0)</f>
        <v>3</v>
      </c>
      <c r="N1092" s="2" t="str">
        <f>IF(tdata[[#This Row],[Delivery_Days]]&lt;=tdata[[#This Row],[SLA_Days]],"On Time","Late")</f>
        <v>On Time</v>
      </c>
      <c r="O1092" s="2">
        <f>VLOOKUP(tdata[[#This Row],[Service_Type]],Table2[#All],4,0)</f>
        <v>10000</v>
      </c>
      <c r="P1092" s="2">
        <f>tdata[[#This Row],[price_per_kilo]]*tdata[[#This Row],[Weight_KG]]</f>
        <v>19800</v>
      </c>
      <c r="Q1092" s="2" t="str">
        <f>VLOOKUP(tdata[[#This Row],[id_employee]],temployee[#All],2,0)</f>
        <v>Melati Anggraini</v>
      </c>
      <c r="R1092" s="2" t="str">
        <f>VLOOKUP(tdata[[#This Row],[id_employee]],temployee[#All],4,0)</f>
        <v>internal</v>
      </c>
      <c r="S1092" s="9" t="str">
        <f>VLOOKUP(tdata[[#This Row],[id_employee]],temployee[#All],5,0)</f>
        <v>rider</v>
      </c>
    </row>
    <row r="1093" spans="2:19" x14ac:dyDescent="0.35">
      <c r="B1093" s="8" t="s">
        <v>1112</v>
      </c>
      <c r="C1093" s="2" t="s">
        <v>1362</v>
      </c>
      <c r="D1093" s="5">
        <v>45464</v>
      </c>
      <c r="E1093" s="5">
        <v>45467</v>
      </c>
      <c r="F1093" s="2" t="s">
        <v>49</v>
      </c>
      <c r="G1093" s="2" t="s">
        <v>32</v>
      </c>
      <c r="H1093" s="2" t="s">
        <v>23</v>
      </c>
      <c r="I1093" s="2" t="s">
        <v>17</v>
      </c>
      <c r="J1093" s="2">
        <v>3.44</v>
      </c>
      <c r="K1093" s="2" t="str">
        <f t="shared" ref="K1093:K1156" si="46">IF(J1093&lt;5,"&lt; 5kg", "&gt;5kg")</f>
        <v>&lt; 5kg</v>
      </c>
      <c r="L1093" s="2">
        <f>tdata[[#This Row],[Received_date]]-tdata[[#This Row],[Shipment_Date]]</f>
        <v>3</v>
      </c>
      <c r="M1093" s="2">
        <f>VLOOKUP(tdata[[#This Row],[Service_Type]],Table2[#All],2,0)</f>
        <v>5</v>
      </c>
      <c r="N1093" s="2" t="str">
        <f>IF(tdata[[#This Row],[Delivery_Days]]&lt;=tdata[[#This Row],[SLA_Days]],"On Time","Late")</f>
        <v>On Time</v>
      </c>
      <c r="O1093" s="2">
        <f>VLOOKUP(tdata[[#This Row],[Service_Type]],Table2[#All],4,0)</f>
        <v>9000</v>
      </c>
      <c r="P1093" s="2">
        <f>tdata[[#This Row],[price_per_kilo]]*tdata[[#This Row],[Weight_KG]]</f>
        <v>30960</v>
      </c>
      <c r="Q1093" s="2" t="str">
        <f>VLOOKUP(tdata[[#This Row],[id_employee]],temployee[#All],2,0)</f>
        <v>Naufal Rizky</v>
      </c>
      <c r="R1093" s="2" t="str">
        <f>VLOOKUP(tdata[[#This Row],[id_employee]],temployee[#All],4,0)</f>
        <v>internal</v>
      </c>
      <c r="S1093" s="9" t="str">
        <f>VLOOKUP(tdata[[#This Row],[id_employee]],temployee[#All],5,0)</f>
        <v>driver</v>
      </c>
    </row>
    <row r="1094" spans="2:19" x14ac:dyDescent="0.35">
      <c r="B1094" s="8" t="s">
        <v>1113</v>
      </c>
      <c r="C1094" s="2" t="s">
        <v>1363</v>
      </c>
      <c r="D1094" s="5">
        <v>45131</v>
      </c>
      <c r="E1094" s="5">
        <v>45132</v>
      </c>
      <c r="F1094" s="2" t="s">
        <v>11</v>
      </c>
      <c r="G1094" s="2" t="s">
        <v>11</v>
      </c>
      <c r="H1094" s="2" t="s">
        <v>1223</v>
      </c>
      <c r="I1094" s="2" t="s">
        <v>13</v>
      </c>
      <c r="J1094" s="2">
        <v>2.69</v>
      </c>
      <c r="K1094" s="2" t="str">
        <f t="shared" si="46"/>
        <v>&lt; 5kg</v>
      </c>
      <c r="L1094" s="2">
        <f>tdata[[#This Row],[Received_date]]-tdata[[#This Row],[Shipment_Date]]</f>
        <v>1</v>
      </c>
      <c r="M1094" s="2">
        <f>VLOOKUP(tdata[[#This Row],[Service_Type]],Table2[#All],2,0)</f>
        <v>1</v>
      </c>
      <c r="N1094" s="2" t="str">
        <f>IF(tdata[[#This Row],[Delivery_Days]]&lt;=tdata[[#This Row],[SLA_Days]],"On Time","Late")</f>
        <v>On Time</v>
      </c>
      <c r="O1094" s="2">
        <f>VLOOKUP(tdata[[#This Row],[Service_Type]],Table2[#All],4,0)</f>
        <v>12000</v>
      </c>
      <c r="P1094" s="2">
        <f>tdata[[#This Row],[price_per_kilo]]*tdata[[#This Row],[Weight_KG]]</f>
        <v>32280</v>
      </c>
      <c r="Q1094" s="2" t="str">
        <f>VLOOKUP(tdata[[#This Row],[id_employee]],temployee[#All],2,0)</f>
        <v>Olin Febriani</v>
      </c>
      <c r="R1094" s="2" t="str">
        <f>VLOOKUP(tdata[[#This Row],[id_employee]],temployee[#All],4,0)</f>
        <v>crowd source</v>
      </c>
      <c r="S1094" s="9" t="str">
        <f>VLOOKUP(tdata[[#This Row],[id_employee]],temployee[#All],5,0)</f>
        <v>rider</v>
      </c>
    </row>
    <row r="1095" spans="2:19" x14ac:dyDescent="0.35">
      <c r="B1095" s="8" t="s">
        <v>1114</v>
      </c>
      <c r="C1095" s="2" t="s">
        <v>1364</v>
      </c>
      <c r="D1095" s="5">
        <v>45472</v>
      </c>
      <c r="E1095" s="5">
        <v>45482</v>
      </c>
      <c r="F1095" s="2" t="s">
        <v>15</v>
      </c>
      <c r="G1095" s="2" t="s">
        <v>49</v>
      </c>
      <c r="H1095" s="2" t="s">
        <v>1224</v>
      </c>
      <c r="I1095" s="2" t="s">
        <v>13</v>
      </c>
      <c r="J1095" s="2">
        <v>3.55</v>
      </c>
      <c r="K1095" s="2" t="str">
        <f t="shared" si="46"/>
        <v>&lt; 5kg</v>
      </c>
      <c r="L1095" s="2">
        <f>tdata[[#This Row],[Received_date]]-tdata[[#This Row],[Shipment_Date]]</f>
        <v>10</v>
      </c>
      <c r="M1095" s="2">
        <f>VLOOKUP(tdata[[#This Row],[Service_Type]],Table2[#All],2,0)</f>
        <v>3</v>
      </c>
      <c r="N1095" s="2" t="str">
        <f>IF(tdata[[#This Row],[Delivery_Days]]&lt;=tdata[[#This Row],[SLA_Days]],"On Time","Late")</f>
        <v>Late</v>
      </c>
      <c r="O1095" s="2">
        <f>VLOOKUP(tdata[[#This Row],[Service_Type]],Table2[#All],4,0)</f>
        <v>10000</v>
      </c>
      <c r="P1095" s="2">
        <f>tdata[[#This Row],[price_per_kilo]]*tdata[[#This Row],[Weight_KG]]</f>
        <v>35500</v>
      </c>
      <c r="Q1095" s="2" t="str">
        <f>VLOOKUP(tdata[[#This Row],[id_employee]],temployee[#All],2,0)</f>
        <v>Praditya Wicaksono</v>
      </c>
      <c r="R1095" s="2" t="str">
        <f>VLOOKUP(tdata[[#This Row],[id_employee]],temployee[#All],4,0)</f>
        <v>internal</v>
      </c>
      <c r="S1095" s="9" t="str">
        <f>VLOOKUP(tdata[[#This Row],[id_employee]],temployee[#All],5,0)</f>
        <v>driver</v>
      </c>
    </row>
    <row r="1096" spans="2:19" x14ac:dyDescent="0.35">
      <c r="B1096" s="8" t="s">
        <v>1115</v>
      </c>
      <c r="C1096" s="2" t="s">
        <v>1365</v>
      </c>
      <c r="D1096" s="5">
        <v>45364</v>
      </c>
      <c r="E1096" s="5">
        <v>45372</v>
      </c>
      <c r="F1096" s="2" t="s">
        <v>20</v>
      </c>
      <c r="G1096" s="2" t="s">
        <v>49</v>
      </c>
      <c r="H1096" s="2" t="s">
        <v>1224</v>
      </c>
      <c r="I1096" s="2" t="s">
        <v>17</v>
      </c>
      <c r="J1096" s="2">
        <v>9.56</v>
      </c>
      <c r="K1096" s="2" t="str">
        <f t="shared" si="46"/>
        <v>&gt;5kg</v>
      </c>
      <c r="L1096" s="2">
        <f>tdata[[#This Row],[Received_date]]-tdata[[#This Row],[Shipment_Date]]</f>
        <v>8</v>
      </c>
      <c r="M1096" s="2">
        <f>VLOOKUP(tdata[[#This Row],[Service_Type]],Table2[#All],2,0)</f>
        <v>3</v>
      </c>
      <c r="N1096" s="2" t="str">
        <f>IF(tdata[[#This Row],[Delivery_Days]]&lt;=tdata[[#This Row],[SLA_Days]],"On Time","Late")</f>
        <v>Late</v>
      </c>
      <c r="O1096" s="2">
        <f>VLOOKUP(tdata[[#This Row],[Service_Type]],Table2[#All],4,0)</f>
        <v>10000</v>
      </c>
      <c r="P1096" s="2">
        <f>tdata[[#This Row],[price_per_kilo]]*tdata[[#This Row],[Weight_KG]]</f>
        <v>95600</v>
      </c>
      <c r="Q1096" s="2" t="str">
        <f>VLOOKUP(tdata[[#This Row],[id_employee]],temployee[#All],2,0)</f>
        <v>Qory Azzahra</v>
      </c>
      <c r="R1096" s="2" t="str">
        <f>VLOOKUP(tdata[[#This Row],[id_employee]],temployee[#All],4,0)</f>
        <v>internal</v>
      </c>
      <c r="S1096" s="9" t="str">
        <f>VLOOKUP(tdata[[#This Row],[id_employee]],temployee[#All],5,0)</f>
        <v>rider</v>
      </c>
    </row>
    <row r="1097" spans="2:19" x14ac:dyDescent="0.35">
      <c r="B1097" s="8" t="s">
        <v>1116</v>
      </c>
      <c r="C1097" s="2" t="s">
        <v>1366</v>
      </c>
      <c r="D1097" s="5">
        <v>45183</v>
      </c>
      <c r="E1097" s="5">
        <v>45193</v>
      </c>
      <c r="F1097" s="2" t="s">
        <v>22</v>
      </c>
      <c r="G1097" s="2" t="s">
        <v>22</v>
      </c>
      <c r="H1097" s="2" t="s">
        <v>23</v>
      </c>
      <c r="I1097" s="2" t="s">
        <v>17</v>
      </c>
      <c r="J1097" s="2">
        <v>9.9600000000000009</v>
      </c>
      <c r="K1097" s="2" t="str">
        <f t="shared" si="46"/>
        <v>&gt;5kg</v>
      </c>
      <c r="L1097" s="2">
        <f>tdata[[#This Row],[Received_date]]-tdata[[#This Row],[Shipment_Date]]</f>
        <v>10</v>
      </c>
      <c r="M1097" s="2">
        <f>VLOOKUP(tdata[[#This Row],[Service_Type]],Table2[#All],2,0)</f>
        <v>5</v>
      </c>
      <c r="N1097" s="2" t="str">
        <f>IF(tdata[[#This Row],[Delivery_Days]]&lt;=tdata[[#This Row],[SLA_Days]],"On Time","Late")</f>
        <v>Late</v>
      </c>
      <c r="O1097" s="2">
        <f>VLOOKUP(tdata[[#This Row],[Service_Type]],Table2[#All],4,0)</f>
        <v>9000</v>
      </c>
      <c r="P1097" s="2">
        <f>tdata[[#This Row],[price_per_kilo]]*tdata[[#This Row],[Weight_KG]]</f>
        <v>89640.000000000015</v>
      </c>
      <c r="Q1097" s="2" t="str">
        <f>VLOOKUP(tdata[[#This Row],[id_employee]],temployee[#All],2,0)</f>
        <v>Rendi Saputra</v>
      </c>
      <c r="R1097" s="2" t="str">
        <f>VLOOKUP(tdata[[#This Row],[id_employee]],temployee[#All],4,0)</f>
        <v>crowd source</v>
      </c>
      <c r="S1097" s="9" t="str">
        <f>VLOOKUP(tdata[[#This Row],[id_employee]],temployee[#All],5,0)</f>
        <v>driver</v>
      </c>
    </row>
    <row r="1098" spans="2:19" x14ac:dyDescent="0.35">
      <c r="B1098" s="8" t="s">
        <v>1117</v>
      </c>
      <c r="C1098" s="2" t="s">
        <v>1367</v>
      </c>
      <c r="D1098" s="5">
        <v>45387</v>
      </c>
      <c r="E1098" s="5">
        <v>45393</v>
      </c>
      <c r="F1098" s="2" t="s">
        <v>12</v>
      </c>
      <c r="G1098" s="2" t="s">
        <v>32</v>
      </c>
      <c r="H1098" s="2" t="s">
        <v>23</v>
      </c>
      <c r="I1098" s="2" t="s">
        <v>17</v>
      </c>
      <c r="J1098" s="2">
        <v>8.7799999999999994</v>
      </c>
      <c r="K1098" s="2" t="str">
        <f t="shared" si="46"/>
        <v>&gt;5kg</v>
      </c>
      <c r="L1098" s="2">
        <f>tdata[[#This Row],[Received_date]]-tdata[[#This Row],[Shipment_Date]]</f>
        <v>6</v>
      </c>
      <c r="M1098" s="2">
        <f>VLOOKUP(tdata[[#This Row],[Service_Type]],Table2[#All],2,0)</f>
        <v>5</v>
      </c>
      <c r="N1098" s="2" t="str">
        <f>IF(tdata[[#This Row],[Delivery_Days]]&lt;=tdata[[#This Row],[SLA_Days]],"On Time","Late")</f>
        <v>Late</v>
      </c>
      <c r="O1098" s="2">
        <f>VLOOKUP(tdata[[#This Row],[Service_Type]],Table2[#All],4,0)</f>
        <v>9000</v>
      </c>
      <c r="P1098" s="2">
        <f>tdata[[#This Row],[price_per_kilo]]*tdata[[#This Row],[Weight_KG]]</f>
        <v>79020</v>
      </c>
      <c r="Q1098" s="2" t="str">
        <f>VLOOKUP(tdata[[#This Row],[id_employee]],temployee[#All],2,0)</f>
        <v>Salma Nuraini</v>
      </c>
      <c r="R1098" s="2" t="str">
        <f>VLOOKUP(tdata[[#This Row],[id_employee]],temployee[#All],4,0)</f>
        <v>internal</v>
      </c>
      <c r="S1098" s="9" t="str">
        <f>VLOOKUP(tdata[[#This Row],[id_employee]],temployee[#All],5,0)</f>
        <v>rider</v>
      </c>
    </row>
    <row r="1099" spans="2:19" x14ac:dyDescent="0.35">
      <c r="B1099" s="8" t="s">
        <v>1118</v>
      </c>
      <c r="C1099" s="2" t="s">
        <v>1368</v>
      </c>
      <c r="D1099" s="5">
        <v>44942</v>
      </c>
      <c r="E1099" s="5">
        <v>44944</v>
      </c>
      <c r="F1099" s="2" t="s">
        <v>30</v>
      </c>
      <c r="G1099" s="2" t="s">
        <v>15</v>
      </c>
      <c r="H1099" s="2" t="s">
        <v>1224</v>
      </c>
      <c r="I1099" s="2" t="s">
        <v>13</v>
      </c>
      <c r="J1099" s="2">
        <v>7.72</v>
      </c>
      <c r="K1099" s="2" t="str">
        <f t="shared" si="46"/>
        <v>&gt;5kg</v>
      </c>
      <c r="L1099" s="2">
        <f>tdata[[#This Row],[Received_date]]-tdata[[#This Row],[Shipment_Date]]</f>
        <v>2</v>
      </c>
      <c r="M1099" s="2">
        <f>VLOOKUP(tdata[[#This Row],[Service_Type]],Table2[#All],2,0)</f>
        <v>3</v>
      </c>
      <c r="N1099" s="2" t="str">
        <f>IF(tdata[[#This Row],[Delivery_Days]]&lt;=tdata[[#This Row],[SLA_Days]],"On Time","Late")</f>
        <v>On Time</v>
      </c>
      <c r="O1099" s="2">
        <f>VLOOKUP(tdata[[#This Row],[Service_Type]],Table2[#All],4,0)</f>
        <v>10000</v>
      </c>
      <c r="P1099" s="2">
        <f>tdata[[#This Row],[price_per_kilo]]*tdata[[#This Row],[Weight_KG]]</f>
        <v>77200</v>
      </c>
      <c r="Q1099" s="2" t="str">
        <f>VLOOKUP(tdata[[#This Row],[id_employee]],temployee[#All],2,0)</f>
        <v>Tegar Prakoso</v>
      </c>
      <c r="R1099" s="2" t="str">
        <f>VLOOKUP(tdata[[#This Row],[id_employee]],temployee[#All],4,0)</f>
        <v>internal</v>
      </c>
      <c r="S1099" s="9" t="str">
        <f>VLOOKUP(tdata[[#This Row],[id_employee]],temployee[#All],5,0)</f>
        <v>driver</v>
      </c>
    </row>
    <row r="1100" spans="2:19" x14ac:dyDescent="0.35">
      <c r="B1100" s="8" t="s">
        <v>1119</v>
      </c>
      <c r="C1100" s="2" t="s">
        <v>1369</v>
      </c>
      <c r="D1100" s="5">
        <v>44950</v>
      </c>
      <c r="E1100" s="5">
        <v>44961</v>
      </c>
      <c r="F1100" s="2" t="s">
        <v>32</v>
      </c>
      <c r="G1100" s="2" t="s">
        <v>30</v>
      </c>
      <c r="H1100" s="2" t="s">
        <v>1223</v>
      </c>
      <c r="I1100" s="2" t="s">
        <v>17</v>
      </c>
      <c r="J1100" s="2">
        <v>10.31</v>
      </c>
      <c r="K1100" s="2" t="str">
        <f t="shared" si="46"/>
        <v>&gt;5kg</v>
      </c>
      <c r="L1100" s="2">
        <f>tdata[[#This Row],[Received_date]]-tdata[[#This Row],[Shipment_Date]]</f>
        <v>11</v>
      </c>
      <c r="M1100" s="2">
        <f>VLOOKUP(tdata[[#This Row],[Service_Type]],Table2[#All],2,0)</f>
        <v>1</v>
      </c>
      <c r="N1100" s="2" t="str">
        <f>IF(tdata[[#This Row],[Delivery_Days]]&lt;=tdata[[#This Row],[SLA_Days]],"On Time","Late")</f>
        <v>Late</v>
      </c>
      <c r="O1100" s="2">
        <f>VLOOKUP(tdata[[#This Row],[Service_Type]],Table2[#All],4,0)</f>
        <v>12000</v>
      </c>
      <c r="P1100" s="2">
        <f>tdata[[#This Row],[price_per_kilo]]*tdata[[#This Row],[Weight_KG]]</f>
        <v>123720</v>
      </c>
      <c r="Q1100" s="2" t="str">
        <f>VLOOKUP(tdata[[#This Row],[id_employee]],temployee[#All],2,0)</f>
        <v>Ulfa Khairunnisa</v>
      </c>
      <c r="R1100" s="2" t="str">
        <f>VLOOKUP(tdata[[#This Row],[id_employee]],temployee[#All],4,0)</f>
        <v>crowd source</v>
      </c>
      <c r="S1100" s="9" t="str">
        <f>VLOOKUP(tdata[[#This Row],[id_employee]],temployee[#All],5,0)</f>
        <v>rider</v>
      </c>
    </row>
    <row r="1101" spans="2:19" x14ac:dyDescent="0.35">
      <c r="B1101" s="8" t="s">
        <v>1120</v>
      </c>
      <c r="C1101" s="2" t="s">
        <v>1370</v>
      </c>
      <c r="D1101" s="5">
        <v>45294</v>
      </c>
      <c r="E1101" s="5">
        <v>45304</v>
      </c>
      <c r="F1101" s="2" t="s">
        <v>16</v>
      </c>
      <c r="G1101" s="2" t="s">
        <v>12</v>
      </c>
      <c r="H1101" s="2" t="s">
        <v>1224</v>
      </c>
      <c r="I1101" s="2" t="s">
        <v>13</v>
      </c>
      <c r="J1101" s="2">
        <v>0.87</v>
      </c>
      <c r="K1101" s="2" t="str">
        <f t="shared" si="46"/>
        <v>&lt; 5kg</v>
      </c>
      <c r="L1101" s="2">
        <f>tdata[[#This Row],[Received_date]]-tdata[[#This Row],[Shipment_Date]]</f>
        <v>10</v>
      </c>
      <c r="M1101" s="2">
        <f>VLOOKUP(tdata[[#This Row],[Service_Type]],Table2[#All],2,0)</f>
        <v>3</v>
      </c>
      <c r="N1101" s="2" t="str">
        <f>IF(tdata[[#This Row],[Delivery_Days]]&lt;=tdata[[#This Row],[SLA_Days]],"On Time","Late")</f>
        <v>Late</v>
      </c>
      <c r="O1101" s="2">
        <f>VLOOKUP(tdata[[#This Row],[Service_Type]],Table2[#All],4,0)</f>
        <v>10000</v>
      </c>
      <c r="P1101" s="2">
        <f>tdata[[#This Row],[price_per_kilo]]*tdata[[#This Row],[Weight_KG]]</f>
        <v>8700</v>
      </c>
      <c r="Q1101" s="2" t="str">
        <f>VLOOKUP(tdata[[#This Row],[id_employee]],temployee[#All],2,0)</f>
        <v>Vito Mahendra</v>
      </c>
      <c r="R1101" s="2" t="str">
        <f>VLOOKUP(tdata[[#This Row],[id_employee]],temployee[#All],4,0)</f>
        <v>internal</v>
      </c>
      <c r="S1101" s="9" t="str">
        <f>VLOOKUP(tdata[[#This Row],[id_employee]],temployee[#All],5,0)</f>
        <v>rider</v>
      </c>
    </row>
    <row r="1102" spans="2:19" x14ac:dyDescent="0.35">
      <c r="B1102" s="8" t="s">
        <v>1121</v>
      </c>
      <c r="C1102" s="2" t="s">
        <v>1371</v>
      </c>
      <c r="D1102" s="5">
        <v>45643</v>
      </c>
      <c r="E1102" s="5">
        <v>45653</v>
      </c>
      <c r="F1102" s="2" t="s">
        <v>26</v>
      </c>
      <c r="G1102" s="2" t="s">
        <v>32</v>
      </c>
      <c r="H1102" s="2" t="s">
        <v>23</v>
      </c>
      <c r="I1102" s="2" t="s">
        <v>17</v>
      </c>
      <c r="J1102" s="2">
        <v>4.42</v>
      </c>
      <c r="K1102" s="2" t="str">
        <f t="shared" si="46"/>
        <v>&lt; 5kg</v>
      </c>
      <c r="L1102" s="2">
        <f>tdata[[#This Row],[Received_date]]-tdata[[#This Row],[Shipment_Date]]</f>
        <v>10</v>
      </c>
      <c r="M1102" s="2">
        <f>VLOOKUP(tdata[[#This Row],[Service_Type]],Table2[#All],2,0)</f>
        <v>5</v>
      </c>
      <c r="N1102" s="2" t="str">
        <f>IF(tdata[[#This Row],[Delivery_Days]]&lt;=tdata[[#This Row],[SLA_Days]],"On Time","Late")</f>
        <v>Late</v>
      </c>
      <c r="O1102" s="2">
        <f>VLOOKUP(tdata[[#This Row],[Service_Type]],Table2[#All],4,0)</f>
        <v>9000</v>
      </c>
      <c r="P1102" s="2">
        <f>tdata[[#This Row],[price_per_kilo]]*tdata[[#This Row],[Weight_KG]]</f>
        <v>39780</v>
      </c>
      <c r="Q1102" s="2" t="str">
        <f>VLOOKUP(tdata[[#This Row],[id_employee]],temployee[#All],2,0)</f>
        <v>Winda Sari</v>
      </c>
      <c r="R1102" s="2" t="str">
        <f>VLOOKUP(tdata[[#This Row],[id_employee]],temployee[#All],4,0)</f>
        <v>internal</v>
      </c>
      <c r="S1102" s="9" t="str">
        <f>VLOOKUP(tdata[[#This Row],[id_employee]],temployee[#All],5,0)</f>
        <v>rider</v>
      </c>
    </row>
    <row r="1103" spans="2:19" x14ac:dyDescent="0.35">
      <c r="B1103" s="8" t="s">
        <v>1122</v>
      </c>
      <c r="C1103" s="2" t="s">
        <v>1372</v>
      </c>
      <c r="D1103" s="5">
        <v>45034</v>
      </c>
      <c r="E1103" s="5">
        <v>45037</v>
      </c>
      <c r="F1103" s="2" t="s">
        <v>49</v>
      </c>
      <c r="G1103" s="2" t="s">
        <v>20</v>
      </c>
      <c r="H1103" s="2" t="s">
        <v>1224</v>
      </c>
      <c r="I1103" s="2" t="s">
        <v>17</v>
      </c>
      <c r="J1103" s="2">
        <v>8.98</v>
      </c>
      <c r="K1103" s="2" t="str">
        <f t="shared" si="46"/>
        <v>&gt;5kg</v>
      </c>
      <c r="L1103" s="2">
        <f>tdata[[#This Row],[Received_date]]-tdata[[#This Row],[Shipment_Date]]</f>
        <v>3</v>
      </c>
      <c r="M1103" s="2">
        <f>VLOOKUP(tdata[[#This Row],[Service_Type]],Table2[#All],2,0)</f>
        <v>3</v>
      </c>
      <c r="N1103" s="2" t="str">
        <f>IF(tdata[[#This Row],[Delivery_Days]]&lt;=tdata[[#This Row],[SLA_Days]],"On Time","Late")</f>
        <v>On Time</v>
      </c>
      <c r="O1103" s="2">
        <f>VLOOKUP(tdata[[#This Row],[Service_Type]],Table2[#All],4,0)</f>
        <v>10000</v>
      </c>
      <c r="P1103" s="2">
        <f>tdata[[#This Row],[price_per_kilo]]*tdata[[#This Row],[Weight_KG]]</f>
        <v>89800</v>
      </c>
      <c r="Q1103" s="2" t="str">
        <f>VLOOKUP(tdata[[#This Row],[id_employee]],temployee[#All],2,0)</f>
        <v>Yusuf Al Ghazali</v>
      </c>
      <c r="R1103" s="2" t="str">
        <f>VLOOKUP(tdata[[#This Row],[id_employee]],temployee[#All],4,0)</f>
        <v>crowd source</v>
      </c>
      <c r="S1103" s="9" t="str">
        <f>VLOOKUP(tdata[[#This Row],[id_employee]],temployee[#All],5,0)</f>
        <v>driver</v>
      </c>
    </row>
    <row r="1104" spans="2:19" x14ac:dyDescent="0.35">
      <c r="B1104" s="8" t="s">
        <v>1123</v>
      </c>
      <c r="C1104" s="2" t="s">
        <v>1273</v>
      </c>
      <c r="D1104" s="5">
        <v>45128</v>
      </c>
      <c r="E1104" s="5">
        <v>45129</v>
      </c>
      <c r="F1104" s="2" t="s">
        <v>11</v>
      </c>
      <c r="G1104" s="2" t="s">
        <v>16</v>
      </c>
      <c r="H1104" s="2" t="s">
        <v>1224</v>
      </c>
      <c r="I1104" s="2" t="s">
        <v>13</v>
      </c>
      <c r="J1104" s="2">
        <v>0.57999999999999996</v>
      </c>
      <c r="K1104" s="2" t="str">
        <f t="shared" si="46"/>
        <v>&lt; 5kg</v>
      </c>
      <c r="L1104" s="2">
        <f>tdata[[#This Row],[Received_date]]-tdata[[#This Row],[Shipment_Date]]</f>
        <v>1</v>
      </c>
      <c r="M1104" s="2">
        <f>VLOOKUP(tdata[[#This Row],[Service_Type]],Table2[#All],2,0)</f>
        <v>3</v>
      </c>
      <c r="N1104" s="2" t="str">
        <f>IF(tdata[[#This Row],[Delivery_Days]]&lt;=tdata[[#This Row],[SLA_Days]],"On Time","Late")</f>
        <v>On Time</v>
      </c>
      <c r="O1104" s="2">
        <f>VLOOKUP(tdata[[#This Row],[Service_Type]],Table2[#All],4,0)</f>
        <v>10000</v>
      </c>
      <c r="P1104" s="2">
        <f>tdata[[#This Row],[price_per_kilo]]*tdata[[#This Row],[Weight_KG]]</f>
        <v>5800</v>
      </c>
      <c r="Q1104" s="2" t="str">
        <f>VLOOKUP(tdata[[#This Row],[id_employee]],temployee[#All],2,0)</f>
        <v>Andi Pratama</v>
      </c>
      <c r="R1104" s="2" t="str">
        <f>VLOOKUP(tdata[[#This Row],[id_employee]],temployee[#All],4,0)</f>
        <v>internal</v>
      </c>
      <c r="S1104" s="9" t="str">
        <f>VLOOKUP(tdata[[#This Row],[id_employee]],temployee[#All],5,0)</f>
        <v>rider</v>
      </c>
    </row>
    <row r="1105" spans="2:19" x14ac:dyDescent="0.35">
      <c r="B1105" s="8" t="s">
        <v>1124</v>
      </c>
      <c r="C1105" s="2" t="s">
        <v>1274</v>
      </c>
      <c r="D1105" s="5">
        <v>45111</v>
      </c>
      <c r="E1105" s="5">
        <v>45112</v>
      </c>
      <c r="F1105" s="2" t="s">
        <v>15</v>
      </c>
      <c r="G1105" s="2" t="s">
        <v>12</v>
      </c>
      <c r="H1105" s="2" t="s">
        <v>23</v>
      </c>
      <c r="I1105" s="2" t="s">
        <v>13</v>
      </c>
      <c r="J1105" s="2">
        <v>0.99</v>
      </c>
      <c r="K1105" s="2" t="str">
        <f t="shared" si="46"/>
        <v>&lt; 5kg</v>
      </c>
      <c r="L1105" s="2">
        <f>tdata[[#This Row],[Received_date]]-tdata[[#This Row],[Shipment_Date]]</f>
        <v>1</v>
      </c>
      <c r="M1105" s="2">
        <f>VLOOKUP(tdata[[#This Row],[Service_Type]],Table2[#All],2,0)</f>
        <v>5</v>
      </c>
      <c r="N1105" s="2" t="str">
        <f>IF(tdata[[#This Row],[Delivery_Days]]&lt;=tdata[[#This Row],[SLA_Days]],"On Time","Late")</f>
        <v>On Time</v>
      </c>
      <c r="O1105" s="2">
        <f>VLOOKUP(tdata[[#This Row],[Service_Type]],Table2[#All],4,0)</f>
        <v>9000</v>
      </c>
      <c r="P1105" s="2">
        <f>tdata[[#This Row],[price_per_kilo]]*tdata[[#This Row],[Weight_KG]]</f>
        <v>8910</v>
      </c>
      <c r="Q1105" s="2" t="str">
        <f>VLOOKUP(tdata[[#This Row],[id_employee]],temployee[#All],2,0)</f>
        <v>Budi Santoso</v>
      </c>
      <c r="R1105" s="2" t="str">
        <f>VLOOKUP(tdata[[#This Row],[id_employee]],temployee[#All],4,0)</f>
        <v>internal</v>
      </c>
      <c r="S1105" s="9" t="str">
        <f>VLOOKUP(tdata[[#This Row],[id_employee]],temployee[#All],5,0)</f>
        <v>driver</v>
      </c>
    </row>
    <row r="1106" spans="2:19" x14ac:dyDescent="0.35">
      <c r="B1106" s="8" t="s">
        <v>1125</v>
      </c>
      <c r="C1106" s="2" t="s">
        <v>1275</v>
      </c>
      <c r="D1106" s="5">
        <v>45615</v>
      </c>
      <c r="E1106" s="5">
        <f>D1106+4</f>
        <v>45619</v>
      </c>
      <c r="F1106" s="2" t="s">
        <v>20</v>
      </c>
      <c r="G1106" s="2" t="s">
        <v>26</v>
      </c>
      <c r="H1106" s="2" t="s">
        <v>1224</v>
      </c>
      <c r="I1106" s="2" t="s">
        <v>13</v>
      </c>
      <c r="J1106" s="2">
        <v>5.97</v>
      </c>
      <c r="K1106" s="2" t="str">
        <f t="shared" si="46"/>
        <v>&gt;5kg</v>
      </c>
      <c r="L1106" s="2">
        <f>tdata[[#This Row],[Received_date]]-tdata[[#This Row],[Shipment_Date]]</f>
        <v>4</v>
      </c>
      <c r="M1106" s="2">
        <f>VLOOKUP(tdata[[#This Row],[Service_Type]],Table2[#All],2,0)</f>
        <v>3</v>
      </c>
      <c r="N1106" s="2" t="str">
        <f>IF(tdata[[#This Row],[Delivery_Days]]&lt;=tdata[[#This Row],[SLA_Days]],"On Time","Late")</f>
        <v>Late</v>
      </c>
      <c r="O1106" s="2">
        <f>VLOOKUP(tdata[[#This Row],[Service_Type]],Table2[#All],4,0)</f>
        <v>10000</v>
      </c>
      <c r="P1106" s="2">
        <f>tdata[[#This Row],[price_per_kilo]]*tdata[[#This Row],[Weight_KG]]</f>
        <v>59700</v>
      </c>
      <c r="Q1106" s="2" t="str">
        <f>VLOOKUP(tdata[[#This Row],[id_employee]],temployee[#All],2,0)</f>
        <v>Citra Lestari</v>
      </c>
      <c r="R1106" s="2" t="str">
        <f>VLOOKUP(tdata[[#This Row],[id_employee]],temployee[#All],4,0)</f>
        <v>crowd source</v>
      </c>
      <c r="S1106" s="9" t="str">
        <f>VLOOKUP(tdata[[#This Row],[id_employee]],temployee[#All],5,0)</f>
        <v>rider</v>
      </c>
    </row>
    <row r="1107" spans="2:19" x14ac:dyDescent="0.35">
      <c r="B1107" s="8" t="s">
        <v>1126</v>
      </c>
      <c r="C1107" s="2" t="s">
        <v>1276</v>
      </c>
      <c r="D1107" s="5">
        <v>45225</v>
      </c>
      <c r="E1107" s="5">
        <v>45233</v>
      </c>
      <c r="F1107" s="2" t="s">
        <v>22</v>
      </c>
      <c r="G1107" s="2" t="s">
        <v>32</v>
      </c>
      <c r="H1107" s="2" t="s">
        <v>1224</v>
      </c>
      <c r="I1107" s="2" t="s">
        <v>17</v>
      </c>
      <c r="J1107" s="2">
        <v>1.42</v>
      </c>
      <c r="K1107" s="2" t="str">
        <f t="shared" si="46"/>
        <v>&lt; 5kg</v>
      </c>
      <c r="L1107" s="2">
        <f>tdata[[#This Row],[Received_date]]-tdata[[#This Row],[Shipment_Date]]</f>
        <v>8</v>
      </c>
      <c r="M1107" s="2">
        <f>VLOOKUP(tdata[[#This Row],[Service_Type]],Table2[#All],2,0)</f>
        <v>3</v>
      </c>
      <c r="N1107" s="2" t="str">
        <f>IF(tdata[[#This Row],[Delivery_Days]]&lt;=tdata[[#This Row],[SLA_Days]],"On Time","Late")</f>
        <v>Late</v>
      </c>
      <c r="O1107" s="2">
        <f>VLOOKUP(tdata[[#This Row],[Service_Type]],Table2[#All],4,0)</f>
        <v>10000</v>
      </c>
      <c r="P1107" s="2">
        <f>tdata[[#This Row],[price_per_kilo]]*tdata[[#This Row],[Weight_KG]]</f>
        <v>14200</v>
      </c>
      <c r="Q1107" s="2" t="str">
        <f>VLOOKUP(tdata[[#This Row],[id_employee]],temployee[#All],2,0)</f>
        <v>Dedi Saputra</v>
      </c>
      <c r="R1107" s="2" t="str">
        <f>VLOOKUP(tdata[[#This Row],[id_employee]],temployee[#All],4,0)</f>
        <v>crowd source</v>
      </c>
      <c r="S1107" s="9" t="str">
        <f>VLOOKUP(tdata[[#This Row],[id_employee]],temployee[#All],5,0)</f>
        <v>driver</v>
      </c>
    </row>
    <row r="1108" spans="2:19" x14ac:dyDescent="0.35">
      <c r="B1108" s="8" t="s">
        <v>1127</v>
      </c>
      <c r="C1108" s="2" t="s">
        <v>1277</v>
      </c>
      <c r="D1108" s="5">
        <v>45339</v>
      </c>
      <c r="E1108" s="5">
        <f>D1108+4</f>
        <v>45343</v>
      </c>
      <c r="F1108" s="2" t="s">
        <v>12</v>
      </c>
      <c r="G1108" s="2" t="s">
        <v>26</v>
      </c>
      <c r="H1108" s="2" t="s">
        <v>1223</v>
      </c>
      <c r="I1108" s="2" t="s">
        <v>13</v>
      </c>
      <c r="J1108" s="2">
        <v>9.17</v>
      </c>
      <c r="K1108" s="2" t="str">
        <f t="shared" si="46"/>
        <v>&gt;5kg</v>
      </c>
      <c r="L1108" s="2">
        <f>tdata[[#This Row],[Received_date]]-tdata[[#This Row],[Shipment_Date]]</f>
        <v>4</v>
      </c>
      <c r="M1108" s="2">
        <f>VLOOKUP(tdata[[#This Row],[Service_Type]],Table2[#All],2,0)</f>
        <v>1</v>
      </c>
      <c r="N1108" s="2" t="str">
        <f>IF(tdata[[#This Row],[Delivery_Days]]&lt;=tdata[[#This Row],[SLA_Days]],"On Time","Late")</f>
        <v>Late</v>
      </c>
      <c r="O1108" s="2">
        <f>VLOOKUP(tdata[[#This Row],[Service_Type]],Table2[#All],4,0)</f>
        <v>12000</v>
      </c>
      <c r="P1108" s="2">
        <f>tdata[[#This Row],[price_per_kilo]]*tdata[[#This Row],[Weight_KG]]</f>
        <v>110040</v>
      </c>
      <c r="Q1108" s="2" t="str">
        <f>VLOOKUP(tdata[[#This Row],[id_employee]],temployee[#All],2,0)</f>
        <v>Eko Nugroho</v>
      </c>
      <c r="R1108" s="2" t="str">
        <f>VLOOKUP(tdata[[#This Row],[id_employee]],temployee[#All],4,0)</f>
        <v>internal</v>
      </c>
      <c r="S1108" s="9" t="str">
        <f>VLOOKUP(tdata[[#This Row],[id_employee]],temployee[#All],5,0)</f>
        <v>rider</v>
      </c>
    </row>
    <row r="1109" spans="2:19" x14ac:dyDescent="0.35">
      <c r="B1109" s="8" t="s">
        <v>1128</v>
      </c>
      <c r="C1109" s="2" t="s">
        <v>1278</v>
      </c>
      <c r="D1109" s="5">
        <v>45221</v>
      </c>
      <c r="E1109" s="5">
        <v>45229</v>
      </c>
      <c r="F1109" s="2" t="s">
        <v>30</v>
      </c>
      <c r="G1109" s="2" t="s">
        <v>49</v>
      </c>
      <c r="H1109" s="2" t="s">
        <v>1224</v>
      </c>
      <c r="I1109" s="2" t="s">
        <v>17</v>
      </c>
      <c r="J1109" s="2">
        <v>8.41</v>
      </c>
      <c r="K1109" s="2" t="str">
        <f t="shared" si="46"/>
        <v>&gt;5kg</v>
      </c>
      <c r="L1109" s="2">
        <f>tdata[[#This Row],[Received_date]]-tdata[[#This Row],[Shipment_Date]]</f>
        <v>8</v>
      </c>
      <c r="M1109" s="2">
        <f>VLOOKUP(tdata[[#This Row],[Service_Type]],Table2[#All],2,0)</f>
        <v>3</v>
      </c>
      <c r="N1109" s="2" t="str">
        <f>IF(tdata[[#This Row],[Delivery_Days]]&lt;=tdata[[#This Row],[SLA_Days]],"On Time","Late")</f>
        <v>Late</v>
      </c>
      <c r="O1109" s="2">
        <f>VLOOKUP(tdata[[#This Row],[Service_Type]],Table2[#All],4,0)</f>
        <v>10000</v>
      </c>
      <c r="P1109" s="2">
        <f>tdata[[#This Row],[price_per_kilo]]*tdata[[#This Row],[Weight_KG]]</f>
        <v>84100</v>
      </c>
      <c r="Q1109" s="2" t="str">
        <f>VLOOKUP(tdata[[#This Row],[id_employee]],temployee[#All],2,0)</f>
        <v>Fajar Hidayat</v>
      </c>
      <c r="R1109" s="2" t="str">
        <f>VLOOKUP(tdata[[#This Row],[id_employee]],temployee[#All],4,0)</f>
        <v>internal</v>
      </c>
      <c r="S1109" s="9" t="str">
        <f>VLOOKUP(tdata[[#This Row],[id_employee]],temployee[#All],5,0)</f>
        <v>driver</v>
      </c>
    </row>
    <row r="1110" spans="2:19" x14ac:dyDescent="0.35">
      <c r="B1110" s="8" t="s">
        <v>1129</v>
      </c>
      <c r="C1110" s="2" t="s">
        <v>1279</v>
      </c>
      <c r="D1110" s="5">
        <v>45433</v>
      </c>
      <c r="E1110" s="5">
        <v>45437</v>
      </c>
      <c r="F1110" s="2" t="s">
        <v>32</v>
      </c>
      <c r="G1110" s="2" t="s">
        <v>30</v>
      </c>
      <c r="H1110" s="2" t="s">
        <v>23</v>
      </c>
      <c r="I1110" s="2" t="s">
        <v>13</v>
      </c>
      <c r="J1110" s="2">
        <v>1.7</v>
      </c>
      <c r="K1110" s="2" t="str">
        <f t="shared" si="46"/>
        <v>&lt; 5kg</v>
      </c>
      <c r="L1110" s="2">
        <f>tdata[[#This Row],[Received_date]]-tdata[[#This Row],[Shipment_Date]]</f>
        <v>4</v>
      </c>
      <c r="M1110" s="2">
        <f>VLOOKUP(tdata[[#This Row],[Service_Type]],Table2[#All],2,0)</f>
        <v>5</v>
      </c>
      <c r="N1110" s="2" t="str">
        <f>IF(tdata[[#This Row],[Delivery_Days]]&lt;=tdata[[#This Row],[SLA_Days]],"On Time","Late")</f>
        <v>On Time</v>
      </c>
      <c r="O1110" s="2">
        <f>VLOOKUP(tdata[[#This Row],[Service_Type]],Table2[#All],4,0)</f>
        <v>9000</v>
      </c>
      <c r="P1110" s="2">
        <f>tdata[[#This Row],[price_per_kilo]]*tdata[[#This Row],[Weight_KG]]</f>
        <v>15300</v>
      </c>
      <c r="Q1110" s="2" t="str">
        <f>VLOOKUP(tdata[[#This Row],[id_employee]],temployee[#All],2,0)</f>
        <v>Gita Rahmawati</v>
      </c>
      <c r="R1110" s="2" t="str">
        <f>VLOOKUP(tdata[[#This Row],[id_employee]],temployee[#All],4,0)</f>
        <v>crowd source</v>
      </c>
      <c r="S1110" s="9" t="str">
        <f>VLOOKUP(tdata[[#This Row],[id_employee]],temployee[#All],5,0)</f>
        <v>rider</v>
      </c>
    </row>
    <row r="1111" spans="2:19" x14ac:dyDescent="0.35">
      <c r="B1111" s="8" t="s">
        <v>1130</v>
      </c>
      <c r="C1111" s="2" t="s">
        <v>1280</v>
      </c>
      <c r="D1111" s="5">
        <v>45433</v>
      </c>
      <c r="E1111" s="5">
        <v>45440</v>
      </c>
      <c r="F1111" s="2" t="s">
        <v>16</v>
      </c>
      <c r="G1111" s="2" t="s">
        <v>12</v>
      </c>
      <c r="H1111" s="2" t="s">
        <v>23</v>
      </c>
      <c r="I1111" s="2" t="s">
        <v>17</v>
      </c>
      <c r="J1111" s="2">
        <v>7.57</v>
      </c>
      <c r="K1111" s="2" t="str">
        <f t="shared" si="46"/>
        <v>&gt;5kg</v>
      </c>
      <c r="L1111" s="2">
        <f>tdata[[#This Row],[Received_date]]-tdata[[#This Row],[Shipment_Date]]</f>
        <v>7</v>
      </c>
      <c r="M1111" s="2">
        <f>VLOOKUP(tdata[[#This Row],[Service_Type]],Table2[#All],2,0)</f>
        <v>5</v>
      </c>
      <c r="N1111" s="2" t="str">
        <f>IF(tdata[[#This Row],[Delivery_Days]]&lt;=tdata[[#This Row],[SLA_Days]],"On Time","Late")</f>
        <v>Late</v>
      </c>
      <c r="O1111" s="2">
        <f>VLOOKUP(tdata[[#This Row],[Service_Type]],Table2[#All],4,0)</f>
        <v>9000</v>
      </c>
      <c r="P1111" s="2">
        <f>tdata[[#This Row],[price_per_kilo]]*tdata[[#This Row],[Weight_KG]]</f>
        <v>68130</v>
      </c>
      <c r="Q1111" s="2" t="str">
        <f>VLOOKUP(tdata[[#This Row],[id_employee]],temployee[#All],2,0)</f>
        <v>Hendra Wijaya</v>
      </c>
      <c r="R1111" s="2" t="str">
        <f>VLOOKUP(tdata[[#This Row],[id_employee]],temployee[#All],4,0)</f>
        <v>internal</v>
      </c>
      <c r="S1111" s="9" t="str">
        <f>VLOOKUP(tdata[[#This Row],[id_employee]],temployee[#All],5,0)</f>
        <v>driver</v>
      </c>
    </row>
    <row r="1112" spans="2:19" x14ac:dyDescent="0.35">
      <c r="B1112" s="8" t="s">
        <v>1131</v>
      </c>
      <c r="C1112" s="2" t="s">
        <v>1281</v>
      </c>
      <c r="D1112" s="5">
        <v>45016</v>
      </c>
      <c r="E1112" s="5">
        <f>D1112+4</f>
        <v>45020</v>
      </c>
      <c r="F1112" s="2" t="s">
        <v>26</v>
      </c>
      <c r="G1112" s="2" t="s">
        <v>22</v>
      </c>
      <c r="H1112" s="2" t="s">
        <v>1224</v>
      </c>
      <c r="I1112" s="2" t="s">
        <v>17</v>
      </c>
      <c r="J1112" s="2">
        <v>9.4499999999999993</v>
      </c>
      <c r="K1112" s="2" t="str">
        <f t="shared" si="46"/>
        <v>&gt;5kg</v>
      </c>
      <c r="L1112" s="2">
        <f>tdata[[#This Row],[Received_date]]-tdata[[#This Row],[Shipment_Date]]</f>
        <v>4</v>
      </c>
      <c r="M1112" s="2">
        <f>VLOOKUP(tdata[[#This Row],[Service_Type]],Table2[#All],2,0)</f>
        <v>3</v>
      </c>
      <c r="N1112" s="2" t="str">
        <f>IF(tdata[[#This Row],[Delivery_Days]]&lt;=tdata[[#This Row],[SLA_Days]],"On Time","Late")</f>
        <v>Late</v>
      </c>
      <c r="O1112" s="2">
        <f>VLOOKUP(tdata[[#This Row],[Service_Type]],Table2[#All],4,0)</f>
        <v>10000</v>
      </c>
      <c r="P1112" s="2">
        <f>tdata[[#This Row],[price_per_kilo]]*tdata[[#This Row],[Weight_KG]]</f>
        <v>94500</v>
      </c>
      <c r="Q1112" s="2" t="str">
        <f>VLOOKUP(tdata[[#This Row],[id_employee]],temployee[#All],2,0)</f>
        <v>Indah Permata</v>
      </c>
      <c r="R1112" s="2" t="str">
        <f>VLOOKUP(tdata[[#This Row],[id_employee]],temployee[#All],4,0)</f>
        <v>crowd source</v>
      </c>
      <c r="S1112" s="9" t="str">
        <f>VLOOKUP(tdata[[#This Row],[id_employee]],temployee[#All],5,0)</f>
        <v>rider</v>
      </c>
    </row>
    <row r="1113" spans="2:19" x14ac:dyDescent="0.35">
      <c r="B1113" s="8" t="s">
        <v>1132</v>
      </c>
      <c r="C1113" s="2" t="s">
        <v>1282</v>
      </c>
      <c r="D1113" s="5">
        <v>45225</v>
      </c>
      <c r="E1113" s="5">
        <v>45236</v>
      </c>
      <c r="F1113" s="2" t="s">
        <v>49</v>
      </c>
      <c r="G1113" s="2" t="s">
        <v>30</v>
      </c>
      <c r="H1113" s="2" t="s">
        <v>1224</v>
      </c>
      <c r="I1113" s="2" t="s">
        <v>17</v>
      </c>
      <c r="J1113" s="2">
        <v>9.08</v>
      </c>
      <c r="K1113" s="2" t="str">
        <f t="shared" si="46"/>
        <v>&gt;5kg</v>
      </c>
      <c r="L1113" s="2">
        <f>tdata[[#This Row],[Received_date]]-tdata[[#This Row],[Shipment_Date]]</f>
        <v>11</v>
      </c>
      <c r="M1113" s="2">
        <f>VLOOKUP(tdata[[#This Row],[Service_Type]],Table2[#All],2,0)</f>
        <v>3</v>
      </c>
      <c r="N1113" s="2" t="str">
        <f>IF(tdata[[#This Row],[Delivery_Days]]&lt;=tdata[[#This Row],[SLA_Days]],"On Time","Late")</f>
        <v>Late</v>
      </c>
      <c r="O1113" s="2">
        <f>VLOOKUP(tdata[[#This Row],[Service_Type]],Table2[#All],4,0)</f>
        <v>10000</v>
      </c>
      <c r="P1113" s="2">
        <f>tdata[[#This Row],[price_per_kilo]]*tdata[[#This Row],[Weight_KG]]</f>
        <v>90800</v>
      </c>
      <c r="Q1113" s="2" t="str">
        <f>VLOOKUP(tdata[[#This Row],[id_employee]],temployee[#All],2,0)</f>
        <v>Joko Susilo</v>
      </c>
      <c r="R1113" s="2" t="str">
        <f>VLOOKUP(tdata[[#This Row],[id_employee]],temployee[#All],4,0)</f>
        <v>internal</v>
      </c>
      <c r="S1113" s="9" t="str">
        <f>VLOOKUP(tdata[[#This Row],[id_employee]],temployee[#All],5,0)</f>
        <v>driver</v>
      </c>
    </row>
    <row r="1114" spans="2:19" x14ac:dyDescent="0.35">
      <c r="B1114" s="8" t="s">
        <v>1133</v>
      </c>
      <c r="C1114" s="2" t="s">
        <v>1283</v>
      </c>
      <c r="D1114" s="5">
        <v>45411</v>
      </c>
      <c r="E1114" s="5">
        <v>45414</v>
      </c>
      <c r="F1114" s="2" t="s">
        <v>11</v>
      </c>
      <c r="G1114" s="2" t="s">
        <v>32</v>
      </c>
      <c r="H1114" s="2" t="s">
        <v>1224</v>
      </c>
      <c r="I1114" s="2" t="s">
        <v>13</v>
      </c>
      <c r="J1114" s="2">
        <v>2.96</v>
      </c>
      <c r="K1114" s="2" t="str">
        <f t="shared" si="46"/>
        <v>&lt; 5kg</v>
      </c>
      <c r="L1114" s="2">
        <f>tdata[[#This Row],[Received_date]]-tdata[[#This Row],[Shipment_Date]]</f>
        <v>3</v>
      </c>
      <c r="M1114" s="2">
        <f>VLOOKUP(tdata[[#This Row],[Service_Type]],Table2[#All],2,0)</f>
        <v>3</v>
      </c>
      <c r="N1114" s="2" t="str">
        <f>IF(tdata[[#This Row],[Delivery_Days]]&lt;=tdata[[#This Row],[SLA_Days]],"On Time","Late")</f>
        <v>On Time</v>
      </c>
      <c r="O1114" s="2">
        <f>VLOOKUP(tdata[[#This Row],[Service_Type]],Table2[#All],4,0)</f>
        <v>10000</v>
      </c>
      <c r="P1114" s="2">
        <f>tdata[[#This Row],[price_per_kilo]]*tdata[[#This Row],[Weight_KG]]</f>
        <v>29600</v>
      </c>
      <c r="Q1114" s="2" t="str">
        <f>VLOOKUP(tdata[[#This Row],[id_employee]],temployee[#All],2,0)</f>
        <v>Kurniawan Putra</v>
      </c>
      <c r="R1114" s="2" t="str">
        <f>VLOOKUP(tdata[[#This Row],[id_employee]],temployee[#All],4,0)</f>
        <v>crowd source</v>
      </c>
      <c r="S1114" s="9" t="str">
        <f>VLOOKUP(tdata[[#This Row],[id_employee]],temployee[#All],5,0)</f>
        <v>driver</v>
      </c>
    </row>
    <row r="1115" spans="2:19" x14ac:dyDescent="0.35">
      <c r="B1115" s="8" t="s">
        <v>1134</v>
      </c>
      <c r="C1115" s="2" t="s">
        <v>1284</v>
      </c>
      <c r="D1115" s="5">
        <v>45449</v>
      </c>
      <c r="E1115" s="5">
        <f>D1115+4</f>
        <v>45453</v>
      </c>
      <c r="F1115" s="2" t="s">
        <v>15</v>
      </c>
      <c r="G1115" s="2" t="s">
        <v>26</v>
      </c>
      <c r="H1115" s="2" t="s">
        <v>1224</v>
      </c>
      <c r="I1115" s="2" t="s">
        <v>13</v>
      </c>
      <c r="J1115" s="2">
        <v>5.44</v>
      </c>
      <c r="K1115" s="2" t="str">
        <f t="shared" si="46"/>
        <v>&gt;5kg</v>
      </c>
      <c r="L1115" s="2">
        <f>tdata[[#This Row],[Received_date]]-tdata[[#This Row],[Shipment_Date]]</f>
        <v>4</v>
      </c>
      <c r="M1115" s="2">
        <f>VLOOKUP(tdata[[#This Row],[Service_Type]],Table2[#All],2,0)</f>
        <v>3</v>
      </c>
      <c r="N1115" s="2" t="str">
        <f>IF(tdata[[#This Row],[Delivery_Days]]&lt;=tdata[[#This Row],[SLA_Days]],"On Time","Late")</f>
        <v>Late</v>
      </c>
      <c r="O1115" s="2">
        <f>VLOOKUP(tdata[[#This Row],[Service_Type]],Table2[#All],4,0)</f>
        <v>10000</v>
      </c>
      <c r="P1115" s="2">
        <f>tdata[[#This Row],[price_per_kilo]]*tdata[[#This Row],[Weight_KG]]</f>
        <v>54400.000000000007</v>
      </c>
      <c r="Q1115" s="2" t="str">
        <f>VLOOKUP(tdata[[#This Row],[id_employee]],temployee[#All],2,0)</f>
        <v>Lina Marlina</v>
      </c>
      <c r="R1115" s="2" t="str">
        <f>VLOOKUP(tdata[[#This Row],[id_employee]],temployee[#All],4,0)</f>
        <v>internal</v>
      </c>
      <c r="S1115" s="9" t="str">
        <f>VLOOKUP(tdata[[#This Row],[id_employee]],temployee[#All],5,0)</f>
        <v>rider</v>
      </c>
    </row>
    <row r="1116" spans="2:19" x14ac:dyDescent="0.35">
      <c r="B1116" s="8" t="s">
        <v>1135</v>
      </c>
      <c r="C1116" s="2" t="s">
        <v>1285</v>
      </c>
      <c r="D1116" s="5">
        <v>45056</v>
      </c>
      <c r="E1116" s="5">
        <v>45059</v>
      </c>
      <c r="F1116" s="2" t="s">
        <v>20</v>
      </c>
      <c r="G1116" s="2" t="s">
        <v>22</v>
      </c>
      <c r="H1116" s="2" t="s">
        <v>1224</v>
      </c>
      <c r="I1116" s="2" t="s">
        <v>17</v>
      </c>
      <c r="J1116" s="2">
        <v>0.95</v>
      </c>
      <c r="K1116" s="2" t="str">
        <f t="shared" si="46"/>
        <v>&lt; 5kg</v>
      </c>
      <c r="L1116" s="2">
        <f>tdata[[#This Row],[Received_date]]-tdata[[#This Row],[Shipment_Date]]</f>
        <v>3</v>
      </c>
      <c r="M1116" s="2">
        <f>VLOOKUP(tdata[[#This Row],[Service_Type]],Table2[#All],2,0)</f>
        <v>3</v>
      </c>
      <c r="N1116" s="2" t="str">
        <f>IF(tdata[[#This Row],[Delivery_Days]]&lt;=tdata[[#This Row],[SLA_Days]],"On Time","Late")</f>
        <v>On Time</v>
      </c>
      <c r="O1116" s="2">
        <f>VLOOKUP(tdata[[#This Row],[Service_Type]],Table2[#All],4,0)</f>
        <v>10000</v>
      </c>
      <c r="P1116" s="2">
        <f>tdata[[#This Row],[price_per_kilo]]*tdata[[#This Row],[Weight_KG]]</f>
        <v>9500</v>
      </c>
      <c r="Q1116" s="2" t="str">
        <f>VLOOKUP(tdata[[#This Row],[id_employee]],temployee[#All],2,0)</f>
        <v>Rizky Ananda</v>
      </c>
      <c r="R1116" s="2" t="str">
        <f>VLOOKUP(tdata[[#This Row],[id_employee]],temployee[#All],4,0)</f>
        <v>crowd source</v>
      </c>
      <c r="S1116" s="9" t="str">
        <f>VLOOKUP(tdata[[#This Row],[id_employee]],temployee[#All],5,0)</f>
        <v>rider</v>
      </c>
    </row>
    <row r="1117" spans="2:19" x14ac:dyDescent="0.35">
      <c r="B1117" s="8" t="s">
        <v>1136</v>
      </c>
      <c r="C1117" s="2" t="s">
        <v>1286</v>
      </c>
      <c r="D1117" s="5">
        <v>45396</v>
      </c>
      <c r="E1117" s="5">
        <v>45398</v>
      </c>
      <c r="F1117" s="2" t="s">
        <v>22</v>
      </c>
      <c r="G1117" s="2" t="s">
        <v>26</v>
      </c>
      <c r="H1117" s="2" t="s">
        <v>1224</v>
      </c>
      <c r="I1117" s="2" t="s">
        <v>17</v>
      </c>
      <c r="J1117" s="2">
        <v>8.83</v>
      </c>
      <c r="K1117" s="2" t="str">
        <f t="shared" si="46"/>
        <v>&gt;5kg</v>
      </c>
      <c r="L1117" s="2">
        <f>tdata[[#This Row],[Received_date]]-tdata[[#This Row],[Shipment_Date]]</f>
        <v>2</v>
      </c>
      <c r="M1117" s="2">
        <f>VLOOKUP(tdata[[#This Row],[Service_Type]],Table2[#All],2,0)</f>
        <v>3</v>
      </c>
      <c r="N1117" s="2" t="str">
        <f>IF(tdata[[#This Row],[Delivery_Days]]&lt;=tdata[[#This Row],[SLA_Days]],"On Time","Late")</f>
        <v>On Time</v>
      </c>
      <c r="O1117" s="2">
        <f>VLOOKUP(tdata[[#This Row],[Service_Type]],Table2[#All],4,0)</f>
        <v>10000</v>
      </c>
      <c r="P1117" s="2">
        <f>tdata[[#This Row],[price_per_kilo]]*tdata[[#This Row],[Weight_KG]]</f>
        <v>88300</v>
      </c>
      <c r="Q1117" s="2" t="str">
        <f>VLOOKUP(tdata[[#This Row],[id_employee]],temployee[#All],2,0)</f>
        <v>Nanda Prakoso</v>
      </c>
      <c r="R1117" s="2" t="str">
        <f>VLOOKUP(tdata[[#This Row],[id_employee]],temployee[#All],4,0)</f>
        <v>internal</v>
      </c>
      <c r="S1117" s="9" t="str">
        <f>VLOOKUP(tdata[[#This Row],[id_employee]],temployee[#All],5,0)</f>
        <v>driver</v>
      </c>
    </row>
    <row r="1118" spans="2:19" x14ac:dyDescent="0.35">
      <c r="B1118" s="8" t="s">
        <v>1137</v>
      </c>
      <c r="C1118" s="2" t="s">
        <v>1287</v>
      </c>
      <c r="D1118" s="5">
        <v>45151</v>
      </c>
      <c r="E1118" s="5">
        <v>45152</v>
      </c>
      <c r="F1118" s="2" t="s">
        <v>12</v>
      </c>
      <c r="G1118" s="2" t="s">
        <v>16</v>
      </c>
      <c r="H1118" s="2" t="s">
        <v>23</v>
      </c>
      <c r="I1118" s="2" t="s">
        <v>17</v>
      </c>
      <c r="J1118" s="2">
        <v>1.46</v>
      </c>
      <c r="K1118" s="2" t="str">
        <f t="shared" si="46"/>
        <v>&lt; 5kg</v>
      </c>
      <c r="L1118" s="2">
        <f>tdata[[#This Row],[Received_date]]-tdata[[#This Row],[Shipment_Date]]</f>
        <v>1</v>
      </c>
      <c r="M1118" s="2">
        <f>VLOOKUP(tdata[[#This Row],[Service_Type]],Table2[#All],2,0)</f>
        <v>5</v>
      </c>
      <c r="N1118" s="2" t="str">
        <f>IF(tdata[[#This Row],[Delivery_Days]]&lt;=tdata[[#This Row],[SLA_Days]],"On Time","Late")</f>
        <v>On Time</v>
      </c>
      <c r="O1118" s="2">
        <f>VLOOKUP(tdata[[#This Row],[Service_Type]],Table2[#All],4,0)</f>
        <v>9000</v>
      </c>
      <c r="P1118" s="2">
        <f>tdata[[#This Row],[price_per_kilo]]*tdata[[#This Row],[Weight_KG]]</f>
        <v>13140</v>
      </c>
      <c r="Q1118" s="2" t="str">
        <f>VLOOKUP(tdata[[#This Row],[id_employee]],temployee[#All],2,0)</f>
        <v>Oktavian Yusuf</v>
      </c>
      <c r="R1118" s="2" t="str">
        <f>VLOOKUP(tdata[[#This Row],[id_employee]],temployee[#All],4,0)</f>
        <v>crowd source</v>
      </c>
      <c r="S1118" s="9" t="str">
        <f>VLOOKUP(tdata[[#This Row],[id_employee]],temployee[#All],5,0)</f>
        <v>driver</v>
      </c>
    </row>
    <row r="1119" spans="2:19" x14ac:dyDescent="0.35">
      <c r="B1119" s="8" t="s">
        <v>1138</v>
      </c>
      <c r="C1119" s="2" t="s">
        <v>1288</v>
      </c>
      <c r="D1119" s="5">
        <v>45023</v>
      </c>
      <c r="E1119" s="5">
        <v>45028</v>
      </c>
      <c r="F1119" s="2" t="s">
        <v>30</v>
      </c>
      <c r="G1119" s="2" t="s">
        <v>26</v>
      </c>
      <c r="H1119" s="2" t="s">
        <v>1224</v>
      </c>
      <c r="I1119" s="2" t="s">
        <v>13</v>
      </c>
      <c r="J1119" s="2">
        <v>2.3199999999999998</v>
      </c>
      <c r="K1119" s="2" t="str">
        <f t="shared" si="46"/>
        <v>&lt; 5kg</v>
      </c>
      <c r="L1119" s="2">
        <f>tdata[[#This Row],[Received_date]]-tdata[[#This Row],[Shipment_Date]]</f>
        <v>5</v>
      </c>
      <c r="M1119" s="2">
        <f>VLOOKUP(tdata[[#This Row],[Service_Type]],Table2[#All],2,0)</f>
        <v>3</v>
      </c>
      <c r="N1119" s="2" t="str">
        <f>IF(tdata[[#This Row],[Delivery_Days]]&lt;=tdata[[#This Row],[SLA_Days]],"On Time","Late")</f>
        <v>Late</v>
      </c>
      <c r="O1119" s="2">
        <f>VLOOKUP(tdata[[#This Row],[Service_Type]],Table2[#All],4,0)</f>
        <v>10000</v>
      </c>
      <c r="P1119" s="2">
        <f>tdata[[#This Row],[price_per_kilo]]*tdata[[#This Row],[Weight_KG]]</f>
        <v>23200</v>
      </c>
      <c r="Q1119" s="2" t="str">
        <f>VLOOKUP(tdata[[#This Row],[id_employee]],temployee[#All],2,0)</f>
        <v>Putri Ayu Lestari</v>
      </c>
      <c r="R1119" s="2" t="str">
        <f>VLOOKUP(tdata[[#This Row],[id_employee]],temployee[#All],4,0)</f>
        <v>internal</v>
      </c>
      <c r="S1119" s="9" t="str">
        <f>VLOOKUP(tdata[[#This Row],[id_employee]],temployee[#All],5,0)</f>
        <v>rider</v>
      </c>
    </row>
    <row r="1120" spans="2:19" x14ac:dyDescent="0.35">
      <c r="B1120" s="8" t="s">
        <v>1139</v>
      </c>
      <c r="C1120" s="2" t="s">
        <v>1289</v>
      </c>
      <c r="D1120" s="5">
        <v>45121</v>
      </c>
      <c r="E1120" s="5">
        <f>D1120+4</f>
        <v>45125</v>
      </c>
      <c r="F1120" s="2" t="s">
        <v>32</v>
      </c>
      <c r="G1120" s="2" t="s">
        <v>12</v>
      </c>
      <c r="H1120" s="2" t="s">
        <v>1224</v>
      </c>
      <c r="I1120" s="2" t="s">
        <v>17</v>
      </c>
      <c r="J1120" s="2">
        <v>7.19</v>
      </c>
      <c r="K1120" s="2" t="str">
        <f t="shared" si="46"/>
        <v>&gt;5kg</v>
      </c>
      <c r="L1120" s="2">
        <f>tdata[[#This Row],[Received_date]]-tdata[[#This Row],[Shipment_Date]]</f>
        <v>4</v>
      </c>
      <c r="M1120" s="2">
        <f>VLOOKUP(tdata[[#This Row],[Service_Type]],Table2[#All],2,0)</f>
        <v>3</v>
      </c>
      <c r="N1120" s="2" t="str">
        <f>IF(tdata[[#This Row],[Delivery_Days]]&lt;=tdata[[#This Row],[SLA_Days]],"On Time","Late")</f>
        <v>Late</v>
      </c>
      <c r="O1120" s="2">
        <f>VLOOKUP(tdata[[#This Row],[Service_Type]],Table2[#All],4,0)</f>
        <v>10000</v>
      </c>
      <c r="P1120" s="2">
        <f>tdata[[#This Row],[price_per_kilo]]*tdata[[#This Row],[Weight_KG]]</f>
        <v>71900</v>
      </c>
      <c r="Q1120" s="2" t="str">
        <f>VLOOKUP(tdata[[#This Row],[id_employee]],temployee[#All],2,0)</f>
        <v>Rafi Maulana</v>
      </c>
      <c r="R1120" s="2" t="str">
        <f>VLOOKUP(tdata[[#This Row],[id_employee]],temployee[#All],4,0)</f>
        <v>internal</v>
      </c>
      <c r="S1120" s="9" t="str">
        <f>VLOOKUP(tdata[[#This Row],[id_employee]],temployee[#All],5,0)</f>
        <v>rider</v>
      </c>
    </row>
    <row r="1121" spans="2:19" x14ac:dyDescent="0.35">
      <c r="B1121" s="8" t="s">
        <v>1140</v>
      </c>
      <c r="C1121" s="2" t="s">
        <v>1290</v>
      </c>
      <c r="D1121" s="5">
        <v>45358</v>
      </c>
      <c r="E1121" s="5">
        <v>45362</v>
      </c>
      <c r="F1121" s="2" t="s">
        <v>16</v>
      </c>
      <c r="G1121" s="2" t="s">
        <v>32</v>
      </c>
      <c r="H1121" s="2" t="s">
        <v>1224</v>
      </c>
      <c r="I1121" s="2" t="s">
        <v>17</v>
      </c>
      <c r="J1121" s="2">
        <v>2</v>
      </c>
      <c r="K1121" s="2" t="str">
        <f t="shared" si="46"/>
        <v>&lt; 5kg</v>
      </c>
      <c r="L1121" s="2">
        <f>tdata[[#This Row],[Received_date]]-tdata[[#This Row],[Shipment_Date]]</f>
        <v>4</v>
      </c>
      <c r="M1121" s="2">
        <f>VLOOKUP(tdata[[#This Row],[Service_Type]],Table2[#All],2,0)</f>
        <v>3</v>
      </c>
      <c r="N1121" s="2" t="str">
        <f>IF(tdata[[#This Row],[Delivery_Days]]&lt;=tdata[[#This Row],[SLA_Days]],"On Time","Late")</f>
        <v>Late</v>
      </c>
      <c r="O1121" s="2">
        <f>VLOOKUP(tdata[[#This Row],[Service_Type]],Table2[#All],4,0)</f>
        <v>10000</v>
      </c>
      <c r="P1121" s="2">
        <f>tdata[[#This Row],[price_per_kilo]]*tdata[[#This Row],[Weight_KG]]</f>
        <v>20000</v>
      </c>
      <c r="Q1121" s="2" t="str">
        <f>VLOOKUP(tdata[[#This Row],[id_employee]],temployee[#All],2,0)</f>
        <v>Sari Puspita</v>
      </c>
      <c r="R1121" s="2" t="str">
        <f>VLOOKUP(tdata[[#This Row],[id_employee]],temployee[#All],4,0)</f>
        <v>crowd source</v>
      </c>
      <c r="S1121" s="9" t="str">
        <f>VLOOKUP(tdata[[#This Row],[id_employee]],temployee[#All],5,0)</f>
        <v>rider</v>
      </c>
    </row>
    <row r="1122" spans="2:19" x14ac:dyDescent="0.35">
      <c r="B1122" s="8" t="s">
        <v>1141</v>
      </c>
      <c r="C1122" s="2" t="s">
        <v>1291</v>
      </c>
      <c r="D1122" s="5">
        <v>45314</v>
      </c>
      <c r="E1122" s="5">
        <v>45315</v>
      </c>
      <c r="F1122" s="2" t="s">
        <v>26</v>
      </c>
      <c r="G1122" s="2" t="s">
        <v>15</v>
      </c>
      <c r="H1122" s="2" t="s">
        <v>1224</v>
      </c>
      <c r="I1122" s="2" t="s">
        <v>17</v>
      </c>
      <c r="J1122" s="2">
        <v>3.61</v>
      </c>
      <c r="K1122" s="2" t="str">
        <f t="shared" si="46"/>
        <v>&lt; 5kg</v>
      </c>
      <c r="L1122" s="2">
        <f>tdata[[#This Row],[Received_date]]-tdata[[#This Row],[Shipment_Date]]</f>
        <v>1</v>
      </c>
      <c r="M1122" s="2">
        <f>VLOOKUP(tdata[[#This Row],[Service_Type]],Table2[#All],2,0)</f>
        <v>3</v>
      </c>
      <c r="N1122" s="2" t="str">
        <f>IF(tdata[[#This Row],[Delivery_Days]]&lt;=tdata[[#This Row],[SLA_Days]],"On Time","Late")</f>
        <v>On Time</v>
      </c>
      <c r="O1122" s="2">
        <f>VLOOKUP(tdata[[#This Row],[Service_Type]],Table2[#All],4,0)</f>
        <v>10000</v>
      </c>
      <c r="P1122" s="2">
        <f>tdata[[#This Row],[price_per_kilo]]*tdata[[#This Row],[Weight_KG]]</f>
        <v>36100</v>
      </c>
      <c r="Q1122" s="2" t="str">
        <f>VLOOKUP(tdata[[#This Row],[id_employee]],temployee[#All],2,0)</f>
        <v>Teguh Wibowo</v>
      </c>
      <c r="R1122" s="2" t="str">
        <f>VLOOKUP(tdata[[#This Row],[id_employee]],temployee[#All],4,0)</f>
        <v>internal</v>
      </c>
      <c r="S1122" s="9" t="str">
        <f>VLOOKUP(tdata[[#This Row],[id_employee]],temployee[#All],5,0)</f>
        <v>driver</v>
      </c>
    </row>
    <row r="1123" spans="2:19" x14ac:dyDescent="0.35">
      <c r="B1123" s="8" t="s">
        <v>1142</v>
      </c>
      <c r="C1123" s="2" t="s">
        <v>1292</v>
      </c>
      <c r="D1123" s="5">
        <v>45206</v>
      </c>
      <c r="E1123" s="5">
        <f>D1123+4</f>
        <v>45210</v>
      </c>
      <c r="F1123" s="2" t="s">
        <v>49</v>
      </c>
      <c r="G1123" s="2" t="s">
        <v>26</v>
      </c>
      <c r="H1123" s="2" t="s">
        <v>1224</v>
      </c>
      <c r="I1123" s="2" t="s">
        <v>17</v>
      </c>
      <c r="J1123" s="2">
        <v>7.51</v>
      </c>
      <c r="K1123" s="2" t="str">
        <f t="shared" si="46"/>
        <v>&gt;5kg</v>
      </c>
      <c r="L1123" s="2">
        <f>tdata[[#This Row],[Received_date]]-tdata[[#This Row],[Shipment_Date]]</f>
        <v>4</v>
      </c>
      <c r="M1123" s="2">
        <f>VLOOKUP(tdata[[#This Row],[Service_Type]],Table2[#All],2,0)</f>
        <v>3</v>
      </c>
      <c r="N1123" s="2" t="str">
        <f>IF(tdata[[#This Row],[Delivery_Days]]&lt;=tdata[[#This Row],[SLA_Days]],"On Time","Late")</f>
        <v>Late</v>
      </c>
      <c r="O1123" s="2">
        <f>VLOOKUP(tdata[[#This Row],[Service_Type]],Table2[#All],4,0)</f>
        <v>10000</v>
      </c>
      <c r="P1123" s="2">
        <f>tdata[[#This Row],[price_per_kilo]]*tdata[[#This Row],[Weight_KG]]</f>
        <v>75100</v>
      </c>
      <c r="Q1123" s="2" t="str">
        <f>VLOOKUP(tdata[[#This Row],[id_employee]],temployee[#All],2,0)</f>
        <v>Umi Kalsum</v>
      </c>
      <c r="R1123" s="2" t="str">
        <f>VLOOKUP(tdata[[#This Row],[id_employee]],temployee[#All],4,0)</f>
        <v>crowd source</v>
      </c>
      <c r="S1123" s="9" t="str">
        <f>VLOOKUP(tdata[[#This Row],[id_employee]],temployee[#All],5,0)</f>
        <v>rider</v>
      </c>
    </row>
    <row r="1124" spans="2:19" x14ac:dyDescent="0.35">
      <c r="B1124" s="8" t="s">
        <v>1143</v>
      </c>
      <c r="C1124" s="2" t="s">
        <v>1293</v>
      </c>
      <c r="D1124" s="5">
        <v>45166</v>
      </c>
      <c r="E1124" s="5">
        <v>45169</v>
      </c>
      <c r="F1124" s="2" t="s">
        <v>11</v>
      </c>
      <c r="G1124" s="2" t="s">
        <v>32</v>
      </c>
      <c r="H1124" s="2" t="s">
        <v>1224</v>
      </c>
      <c r="I1124" s="2" t="s">
        <v>17</v>
      </c>
      <c r="J1124" s="2">
        <v>2.4500000000000002</v>
      </c>
      <c r="K1124" s="2" t="str">
        <f t="shared" si="46"/>
        <v>&lt; 5kg</v>
      </c>
      <c r="L1124" s="2">
        <f>tdata[[#This Row],[Received_date]]-tdata[[#This Row],[Shipment_Date]]</f>
        <v>3</v>
      </c>
      <c r="M1124" s="2">
        <f>VLOOKUP(tdata[[#This Row],[Service_Type]],Table2[#All],2,0)</f>
        <v>3</v>
      </c>
      <c r="N1124" s="2" t="str">
        <f>IF(tdata[[#This Row],[Delivery_Days]]&lt;=tdata[[#This Row],[SLA_Days]],"On Time","Late")</f>
        <v>On Time</v>
      </c>
      <c r="O1124" s="2">
        <f>VLOOKUP(tdata[[#This Row],[Service_Type]],Table2[#All],4,0)</f>
        <v>10000</v>
      </c>
      <c r="P1124" s="2">
        <f>tdata[[#This Row],[price_per_kilo]]*tdata[[#This Row],[Weight_KG]]</f>
        <v>24500</v>
      </c>
      <c r="Q1124" s="2" t="str">
        <f>VLOOKUP(tdata[[#This Row],[id_employee]],temployee[#All],2,0)</f>
        <v>Vina Oktaviani</v>
      </c>
      <c r="R1124" s="2" t="str">
        <f>VLOOKUP(tdata[[#This Row],[id_employee]],temployee[#All],4,0)</f>
        <v>internal</v>
      </c>
      <c r="S1124" s="9" t="str">
        <f>VLOOKUP(tdata[[#This Row],[id_employee]],temployee[#All],5,0)</f>
        <v>rider</v>
      </c>
    </row>
    <row r="1125" spans="2:19" x14ac:dyDescent="0.35">
      <c r="B1125" s="8" t="s">
        <v>1144</v>
      </c>
      <c r="C1125" s="2" t="s">
        <v>1294</v>
      </c>
      <c r="D1125" s="5">
        <v>45655</v>
      </c>
      <c r="E1125" s="5">
        <v>45662</v>
      </c>
      <c r="F1125" s="2" t="s">
        <v>15</v>
      </c>
      <c r="G1125" s="2" t="s">
        <v>22</v>
      </c>
      <c r="H1125" s="2" t="s">
        <v>23</v>
      </c>
      <c r="I1125" s="2" t="s">
        <v>17</v>
      </c>
      <c r="J1125" s="2">
        <v>5.65</v>
      </c>
      <c r="K1125" s="2" t="str">
        <f t="shared" si="46"/>
        <v>&gt;5kg</v>
      </c>
      <c r="L1125" s="2">
        <f>tdata[[#This Row],[Received_date]]-tdata[[#This Row],[Shipment_Date]]</f>
        <v>7</v>
      </c>
      <c r="M1125" s="2">
        <f>VLOOKUP(tdata[[#This Row],[Service_Type]],Table2[#All],2,0)</f>
        <v>5</v>
      </c>
      <c r="N1125" s="2" t="str">
        <f>IF(tdata[[#This Row],[Delivery_Days]]&lt;=tdata[[#This Row],[SLA_Days]],"On Time","Late")</f>
        <v>Late</v>
      </c>
      <c r="O1125" s="2">
        <f>VLOOKUP(tdata[[#This Row],[Service_Type]],Table2[#All],4,0)</f>
        <v>9000</v>
      </c>
      <c r="P1125" s="2">
        <f>tdata[[#This Row],[price_per_kilo]]*tdata[[#This Row],[Weight_KG]]</f>
        <v>50850</v>
      </c>
      <c r="Q1125" s="2" t="str">
        <f>VLOOKUP(tdata[[#This Row],[id_employee]],temployee[#All],2,0)</f>
        <v>Wahyu Setiawan</v>
      </c>
      <c r="R1125" s="2" t="str">
        <f>VLOOKUP(tdata[[#This Row],[id_employee]],temployee[#All],4,0)</f>
        <v>crowd source</v>
      </c>
      <c r="S1125" s="9" t="str">
        <f>VLOOKUP(tdata[[#This Row],[id_employee]],temployee[#All],5,0)</f>
        <v>driver</v>
      </c>
    </row>
    <row r="1126" spans="2:19" x14ac:dyDescent="0.35">
      <c r="B1126" s="8" t="s">
        <v>1145</v>
      </c>
      <c r="C1126" s="2" t="s">
        <v>1295</v>
      </c>
      <c r="D1126" s="5">
        <v>45262</v>
      </c>
      <c r="E1126" s="5">
        <v>45273</v>
      </c>
      <c r="F1126" s="2" t="s">
        <v>20</v>
      </c>
      <c r="G1126" s="2" t="s">
        <v>12</v>
      </c>
      <c r="H1126" s="2" t="s">
        <v>1224</v>
      </c>
      <c r="I1126" s="2" t="s">
        <v>13</v>
      </c>
      <c r="J1126" s="2">
        <v>5.72</v>
      </c>
      <c r="K1126" s="2" t="str">
        <f t="shared" si="46"/>
        <v>&gt;5kg</v>
      </c>
      <c r="L1126" s="2">
        <f>tdata[[#This Row],[Received_date]]-tdata[[#This Row],[Shipment_Date]]</f>
        <v>11</v>
      </c>
      <c r="M1126" s="2">
        <f>VLOOKUP(tdata[[#This Row],[Service_Type]],Table2[#All],2,0)</f>
        <v>3</v>
      </c>
      <c r="N1126" s="2" t="str">
        <f>IF(tdata[[#This Row],[Delivery_Days]]&lt;=tdata[[#This Row],[SLA_Days]],"On Time","Late")</f>
        <v>Late</v>
      </c>
      <c r="O1126" s="2">
        <f>VLOOKUP(tdata[[#This Row],[Service_Type]],Table2[#All],4,0)</f>
        <v>10000</v>
      </c>
      <c r="P1126" s="2">
        <f>tdata[[#This Row],[price_per_kilo]]*tdata[[#This Row],[Weight_KG]]</f>
        <v>57200</v>
      </c>
      <c r="Q1126" s="2" t="str">
        <f>VLOOKUP(tdata[[#This Row],[id_employee]],temployee[#All],2,0)</f>
        <v>Yogi Firmansyah</v>
      </c>
      <c r="R1126" s="2" t="str">
        <f>VLOOKUP(tdata[[#This Row],[id_employee]],temployee[#All],4,0)</f>
        <v>internal</v>
      </c>
      <c r="S1126" s="9" t="str">
        <f>VLOOKUP(tdata[[#This Row],[id_employee]],temployee[#All],5,0)</f>
        <v>driver</v>
      </c>
    </row>
    <row r="1127" spans="2:19" x14ac:dyDescent="0.35">
      <c r="B1127" s="8" t="s">
        <v>1146</v>
      </c>
      <c r="C1127" s="2" t="s">
        <v>1296</v>
      </c>
      <c r="D1127" s="5">
        <v>45040</v>
      </c>
      <c r="E1127" s="5">
        <v>45041</v>
      </c>
      <c r="F1127" s="2" t="s">
        <v>22</v>
      </c>
      <c r="G1127" s="2" t="s">
        <v>20</v>
      </c>
      <c r="H1127" s="2" t="s">
        <v>23</v>
      </c>
      <c r="I1127" s="2" t="s">
        <v>13</v>
      </c>
      <c r="J1127" s="2">
        <v>9.07</v>
      </c>
      <c r="K1127" s="2" t="str">
        <f t="shared" si="46"/>
        <v>&gt;5kg</v>
      </c>
      <c r="L1127" s="2">
        <f>tdata[[#This Row],[Received_date]]-tdata[[#This Row],[Shipment_Date]]</f>
        <v>1</v>
      </c>
      <c r="M1127" s="2">
        <f>VLOOKUP(tdata[[#This Row],[Service_Type]],Table2[#All],2,0)</f>
        <v>5</v>
      </c>
      <c r="N1127" s="2" t="str">
        <f>IF(tdata[[#This Row],[Delivery_Days]]&lt;=tdata[[#This Row],[SLA_Days]],"On Time","Late")</f>
        <v>On Time</v>
      </c>
      <c r="O1127" s="2">
        <f>VLOOKUP(tdata[[#This Row],[Service_Type]],Table2[#All],4,0)</f>
        <v>9000</v>
      </c>
      <c r="P1127" s="2">
        <f>tdata[[#This Row],[price_per_kilo]]*tdata[[#This Row],[Weight_KG]]</f>
        <v>81630</v>
      </c>
      <c r="Q1127" s="2" t="str">
        <f>VLOOKUP(tdata[[#This Row],[id_employee]],temployee[#All],2,0)</f>
        <v>Zainal Abidin</v>
      </c>
      <c r="R1127" s="2" t="str">
        <f>VLOOKUP(tdata[[#This Row],[id_employee]],temployee[#All],4,0)</f>
        <v>crowd source</v>
      </c>
      <c r="S1127" s="9" t="str">
        <f>VLOOKUP(tdata[[#This Row],[id_employee]],temployee[#All],5,0)</f>
        <v>driver</v>
      </c>
    </row>
    <row r="1128" spans="2:19" x14ac:dyDescent="0.35">
      <c r="B1128" s="8" t="s">
        <v>1147</v>
      </c>
      <c r="C1128" s="2" t="s">
        <v>1297</v>
      </c>
      <c r="D1128" s="5">
        <v>45275</v>
      </c>
      <c r="E1128" s="5">
        <f t="shared" ref="E1128:E1129" si="47">D1128+4</f>
        <v>45279</v>
      </c>
      <c r="F1128" s="2" t="s">
        <v>12</v>
      </c>
      <c r="G1128" s="2" t="s">
        <v>16</v>
      </c>
      <c r="H1128" s="2" t="s">
        <v>1223</v>
      </c>
      <c r="I1128" s="2" t="s">
        <v>13</v>
      </c>
      <c r="J1128" s="2">
        <v>6.42</v>
      </c>
      <c r="K1128" s="2" t="str">
        <f t="shared" si="46"/>
        <v>&gt;5kg</v>
      </c>
      <c r="L1128" s="2">
        <f>tdata[[#This Row],[Received_date]]-tdata[[#This Row],[Shipment_Date]]</f>
        <v>4</v>
      </c>
      <c r="M1128" s="2">
        <f>VLOOKUP(tdata[[#This Row],[Service_Type]],Table2[#All],2,0)</f>
        <v>1</v>
      </c>
      <c r="N1128" s="2" t="str">
        <f>IF(tdata[[#This Row],[Delivery_Days]]&lt;=tdata[[#This Row],[SLA_Days]],"On Time","Late")</f>
        <v>Late</v>
      </c>
      <c r="O1128" s="2">
        <f>VLOOKUP(tdata[[#This Row],[Service_Type]],Table2[#All],4,0)</f>
        <v>12000</v>
      </c>
      <c r="P1128" s="2">
        <f>tdata[[#This Row],[price_per_kilo]]*tdata[[#This Row],[Weight_KG]]</f>
        <v>77040</v>
      </c>
      <c r="Q1128" s="2" t="str">
        <f>VLOOKUP(tdata[[#This Row],[id_employee]],temployee[#All],2,0)</f>
        <v>Ahmad Fauzi</v>
      </c>
      <c r="R1128" s="2" t="str">
        <f>VLOOKUP(tdata[[#This Row],[id_employee]],temployee[#All],4,0)</f>
        <v>internal</v>
      </c>
      <c r="S1128" s="9" t="str">
        <f>VLOOKUP(tdata[[#This Row],[id_employee]],temployee[#All],5,0)</f>
        <v>rider</v>
      </c>
    </row>
    <row r="1129" spans="2:19" x14ac:dyDescent="0.35">
      <c r="B1129" s="8" t="s">
        <v>1148</v>
      </c>
      <c r="C1129" s="2" t="s">
        <v>1298</v>
      </c>
      <c r="D1129" s="5">
        <v>45297</v>
      </c>
      <c r="E1129" s="5">
        <f t="shared" si="47"/>
        <v>45301</v>
      </c>
      <c r="F1129" s="2" t="s">
        <v>30</v>
      </c>
      <c r="G1129" s="2" t="s">
        <v>32</v>
      </c>
      <c r="H1129" s="2" t="s">
        <v>23</v>
      </c>
      <c r="I1129" s="2" t="s">
        <v>13</v>
      </c>
      <c r="J1129" s="2">
        <v>7.87</v>
      </c>
      <c r="K1129" s="2" t="str">
        <f t="shared" si="46"/>
        <v>&gt;5kg</v>
      </c>
      <c r="L1129" s="2">
        <f>tdata[[#This Row],[Received_date]]-tdata[[#This Row],[Shipment_Date]]</f>
        <v>4</v>
      </c>
      <c r="M1129" s="2">
        <f>VLOOKUP(tdata[[#This Row],[Service_Type]],Table2[#All],2,0)</f>
        <v>5</v>
      </c>
      <c r="N1129" s="2" t="str">
        <f>IF(tdata[[#This Row],[Delivery_Days]]&lt;=tdata[[#This Row],[SLA_Days]],"On Time","Late")</f>
        <v>On Time</v>
      </c>
      <c r="O1129" s="2">
        <f>VLOOKUP(tdata[[#This Row],[Service_Type]],Table2[#All],4,0)</f>
        <v>9000</v>
      </c>
      <c r="P1129" s="2">
        <f>tdata[[#This Row],[price_per_kilo]]*tdata[[#This Row],[Weight_KG]]</f>
        <v>70830</v>
      </c>
      <c r="Q1129" s="2" t="str">
        <f>VLOOKUP(tdata[[#This Row],[id_employee]],temployee[#All],2,0)</f>
        <v>Bayu Ramadhan</v>
      </c>
      <c r="R1129" s="2" t="str">
        <f>VLOOKUP(tdata[[#This Row],[id_employee]],temployee[#All],4,0)</f>
        <v>crowd source</v>
      </c>
      <c r="S1129" s="9" t="str">
        <f>VLOOKUP(tdata[[#This Row],[id_employee]],temployee[#All],5,0)</f>
        <v>rider</v>
      </c>
    </row>
    <row r="1130" spans="2:19" x14ac:dyDescent="0.35">
      <c r="B1130" s="8" t="s">
        <v>1149</v>
      </c>
      <c r="C1130" s="2" t="s">
        <v>1299</v>
      </c>
      <c r="D1130" s="5">
        <v>44957</v>
      </c>
      <c r="E1130" s="5">
        <v>44962</v>
      </c>
      <c r="F1130" s="2" t="s">
        <v>32</v>
      </c>
      <c r="G1130" s="2" t="s">
        <v>30</v>
      </c>
      <c r="H1130" s="2" t="s">
        <v>23</v>
      </c>
      <c r="I1130" s="2" t="s">
        <v>13</v>
      </c>
      <c r="J1130" s="2">
        <v>1.84</v>
      </c>
      <c r="K1130" s="2" t="str">
        <f t="shared" si="46"/>
        <v>&lt; 5kg</v>
      </c>
      <c r="L1130" s="2">
        <f>tdata[[#This Row],[Received_date]]-tdata[[#This Row],[Shipment_Date]]</f>
        <v>5</v>
      </c>
      <c r="M1130" s="2">
        <f>VLOOKUP(tdata[[#This Row],[Service_Type]],Table2[#All],2,0)</f>
        <v>5</v>
      </c>
      <c r="N1130" s="2" t="str">
        <f>IF(tdata[[#This Row],[Delivery_Days]]&lt;=tdata[[#This Row],[SLA_Days]],"On Time","Late")</f>
        <v>On Time</v>
      </c>
      <c r="O1130" s="2">
        <f>VLOOKUP(tdata[[#This Row],[Service_Type]],Table2[#All],4,0)</f>
        <v>9000</v>
      </c>
      <c r="P1130" s="2">
        <f>tdata[[#This Row],[price_per_kilo]]*tdata[[#This Row],[Weight_KG]]</f>
        <v>16560</v>
      </c>
      <c r="Q1130" s="2" t="str">
        <f>VLOOKUP(tdata[[#This Row],[id_employee]],temployee[#All],2,0)</f>
        <v>Cindy Oktavia</v>
      </c>
      <c r="R1130" s="2" t="str">
        <f>VLOOKUP(tdata[[#This Row],[id_employee]],temployee[#All],4,0)</f>
        <v>internal</v>
      </c>
      <c r="S1130" s="9" t="str">
        <f>VLOOKUP(tdata[[#This Row],[id_employee]],temployee[#All],5,0)</f>
        <v>rider</v>
      </c>
    </row>
    <row r="1131" spans="2:19" x14ac:dyDescent="0.35">
      <c r="B1131" s="8" t="s">
        <v>1150</v>
      </c>
      <c r="C1131" s="2" t="s">
        <v>1300</v>
      </c>
      <c r="D1131" s="5">
        <v>45642</v>
      </c>
      <c r="E1131" s="5">
        <v>45652</v>
      </c>
      <c r="F1131" s="2" t="s">
        <v>16</v>
      </c>
      <c r="G1131" s="2" t="s">
        <v>32</v>
      </c>
      <c r="H1131" s="2" t="s">
        <v>1224</v>
      </c>
      <c r="I1131" s="2" t="s">
        <v>13</v>
      </c>
      <c r="J1131" s="2">
        <v>5.22</v>
      </c>
      <c r="K1131" s="2" t="str">
        <f t="shared" si="46"/>
        <v>&gt;5kg</v>
      </c>
      <c r="L1131" s="2">
        <f>tdata[[#This Row],[Received_date]]-tdata[[#This Row],[Shipment_Date]]</f>
        <v>10</v>
      </c>
      <c r="M1131" s="2">
        <f>VLOOKUP(tdata[[#This Row],[Service_Type]],Table2[#All],2,0)</f>
        <v>3</v>
      </c>
      <c r="N1131" s="2" t="str">
        <f>IF(tdata[[#This Row],[Delivery_Days]]&lt;=tdata[[#This Row],[SLA_Days]],"On Time","Late")</f>
        <v>Late</v>
      </c>
      <c r="O1131" s="2">
        <f>VLOOKUP(tdata[[#This Row],[Service_Type]],Table2[#All],4,0)</f>
        <v>10000</v>
      </c>
      <c r="P1131" s="2">
        <f>tdata[[#This Row],[price_per_kilo]]*tdata[[#This Row],[Weight_KG]]</f>
        <v>52200</v>
      </c>
      <c r="Q1131" s="2" t="str">
        <f>VLOOKUP(tdata[[#This Row],[id_employee]],temployee[#All],2,0)</f>
        <v>Dian Pramudya</v>
      </c>
      <c r="R1131" s="2" t="str">
        <f>VLOOKUP(tdata[[#This Row],[id_employee]],temployee[#All],4,0)</f>
        <v>crowd source</v>
      </c>
      <c r="S1131" s="9" t="str">
        <f>VLOOKUP(tdata[[#This Row],[id_employee]],temployee[#All],5,0)</f>
        <v>driver</v>
      </c>
    </row>
    <row r="1132" spans="2:19" x14ac:dyDescent="0.35">
      <c r="B1132" s="8" t="s">
        <v>1151</v>
      </c>
      <c r="C1132" s="2" t="s">
        <v>1301</v>
      </c>
      <c r="D1132" s="5">
        <v>45527</v>
      </c>
      <c r="E1132" s="5">
        <v>45529</v>
      </c>
      <c r="F1132" s="2" t="s">
        <v>26</v>
      </c>
      <c r="G1132" s="2" t="s">
        <v>26</v>
      </c>
      <c r="H1132" s="2" t="s">
        <v>1224</v>
      </c>
      <c r="I1132" s="2" t="s">
        <v>13</v>
      </c>
      <c r="J1132" s="2">
        <v>4.75</v>
      </c>
      <c r="K1132" s="2" t="str">
        <f t="shared" si="46"/>
        <v>&lt; 5kg</v>
      </c>
      <c r="L1132" s="2">
        <f>tdata[[#This Row],[Received_date]]-tdata[[#This Row],[Shipment_Date]]</f>
        <v>2</v>
      </c>
      <c r="M1132" s="2">
        <f>VLOOKUP(tdata[[#This Row],[Service_Type]],Table2[#All],2,0)</f>
        <v>3</v>
      </c>
      <c r="N1132" s="2" t="str">
        <f>IF(tdata[[#This Row],[Delivery_Days]]&lt;=tdata[[#This Row],[SLA_Days]],"On Time","Late")</f>
        <v>On Time</v>
      </c>
      <c r="O1132" s="2">
        <f>VLOOKUP(tdata[[#This Row],[Service_Type]],Table2[#All],4,0)</f>
        <v>10000</v>
      </c>
      <c r="P1132" s="2">
        <f>tdata[[#This Row],[price_per_kilo]]*tdata[[#This Row],[Weight_KG]]</f>
        <v>47500</v>
      </c>
      <c r="Q1132" s="2" t="str">
        <f>VLOOKUP(tdata[[#This Row],[id_employee]],temployee[#All],2,0)</f>
        <v>Erwin Kurniawan</v>
      </c>
      <c r="R1132" s="2" t="str">
        <f>VLOOKUP(tdata[[#This Row],[id_employee]],temployee[#All],4,0)</f>
        <v>internal</v>
      </c>
      <c r="S1132" s="9" t="str">
        <f>VLOOKUP(tdata[[#This Row],[id_employee]],temployee[#All],5,0)</f>
        <v>driver</v>
      </c>
    </row>
    <row r="1133" spans="2:19" x14ac:dyDescent="0.35">
      <c r="B1133" s="8" t="s">
        <v>1152</v>
      </c>
      <c r="C1133" s="2" t="s">
        <v>1302</v>
      </c>
      <c r="D1133" s="5">
        <v>45157</v>
      </c>
      <c r="E1133" s="5">
        <v>45167</v>
      </c>
      <c r="F1133" s="2" t="s">
        <v>49</v>
      </c>
      <c r="G1133" s="2" t="s">
        <v>30</v>
      </c>
      <c r="H1133" s="2" t="s">
        <v>23</v>
      </c>
      <c r="I1133" s="2" t="s">
        <v>17</v>
      </c>
      <c r="J1133" s="2">
        <v>10.08</v>
      </c>
      <c r="K1133" s="2" t="str">
        <f t="shared" si="46"/>
        <v>&gt;5kg</v>
      </c>
      <c r="L1133" s="2">
        <f>tdata[[#This Row],[Received_date]]-tdata[[#This Row],[Shipment_Date]]</f>
        <v>10</v>
      </c>
      <c r="M1133" s="2">
        <f>VLOOKUP(tdata[[#This Row],[Service_Type]],Table2[#All],2,0)</f>
        <v>5</v>
      </c>
      <c r="N1133" s="2" t="str">
        <f>IF(tdata[[#This Row],[Delivery_Days]]&lt;=tdata[[#This Row],[SLA_Days]],"On Time","Late")</f>
        <v>Late</v>
      </c>
      <c r="O1133" s="2">
        <f>VLOOKUP(tdata[[#This Row],[Service_Type]],Table2[#All],4,0)</f>
        <v>9000</v>
      </c>
      <c r="P1133" s="2">
        <f>tdata[[#This Row],[price_per_kilo]]*tdata[[#This Row],[Weight_KG]]</f>
        <v>90720</v>
      </c>
      <c r="Q1133" s="2" t="str">
        <f>VLOOKUP(tdata[[#This Row],[id_employee]],temployee[#All],2,0)</f>
        <v>Fitri Handayani</v>
      </c>
      <c r="R1133" s="2" t="str">
        <f>VLOOKUP(tdata[[#This Row],[id_employee]],temployee[#All],4,0)</f>
        <v>crowd source</v>
      </c>
      <c r="S1133" s="9" t="str">
        <f>VLOOKUP(tdata[[#This Row],[id_employee]],temployee[#All],5,0)</f>
        <v>rider</v>
      </c>
    </row>
    <row r="1134" spans="2:19" x14ac:dyDescent="0.35">
      <c r="B1134" s="8" t="s">
        <v>1153</v>
      </c>
      <c r="C1134" s="2" t="s">
        <v>1303</v>
      </c>
      <c r="D1134" s="5">
        <v>45307</v>
      </c>
      <c r="E1134" s="5">
        <v>45307</v>
      </c>
      <c r="F1134" s="2" t="s">
        <v>11</v>
      </c>
      <c r="G1134" s="2" t="s">
        <v>22</v>
      </c>
      <c r="H1134" s="2" t="s">
        <v>1224</v>
      </c>
      <c r="I1134" s="2" t="s">
        <v>13</v>
      </c>
      <c r="J1134" s="2">
        <v>0.81</v>
      </c>
      <c r="K1134" s="2" t="str">
        <f t="shared" si="46"/>
        <v>&lt; 5kg</v>
      </c>
      <c r="L1134" s="2">
        <f>tdata[[#This Row],[Received_date]]-tdata[[#This Row],[Shipment_Date]]</f>
        <v>0</v>
      </c>
      <c r="M1134" s="2">
        <f>VLOOKUP(tdata[[#This Row],[Service_Type]],Table2[#All],2,0)</f>
        <v>3</v>
      </c>
      <c r="N1134" s="2" t="str">
        <f>IF(tdata[[#This Row],[Delivery_Days]]&lt;=tdata[[#This Row],[SLA_Days]],"On Time","Late")</f>
        <v>On Time</v>
      </c>
      <c r="O1134" s="2">
        <f>VLOOKUP(tdata[[#This Row],[Service_Type]],Table2[#All],4,0)</f>
        <v>10000</v>
      </c>
      <c r="P1134" s="2">
        <f>tdata[[#This Row],[price_per_kilo]]*tdata[[#This Row],[Weight_KG]]</f>
        <v>8100.0000000000009</v>
      </c>
      <c r="Q1134" s="2" t="str">
        <f>VLOOKUP(tdata[[#This Row],[id_employee]],temployee[#All],2,0)</f>
        <v>Gilang Saputra</v>
      </c>
      <c r="R1134" s="2" t="str">
        <f>VLOOKUP(tdata[[#This Row],[id_employee]],temployee[#All],4,0)</f>
        <v>internal</v>
      </c>
      <c r="S1134" s="9" t="str">
        <f>VLOOKUP(tdata[[#This Row],[id_employee]],temployee[#All],5,0)</f>
        <v>rider</v>
      </c>
    </row>
    <row r="1135" spans="2:19" x14ac:dyDescent="0.35">
      <c r="B1135" s="8" t="s">
        <v>1154</v>
      </c>
      <c r="C1135" s="2" t="s">
        <v>1304</v>
      </c>
      <c r="D1135" s="5">
        <v>45205</v>
      </c>
      <c r="E1135" s="5">
        <v>45208</v>
      </c>
      <c r="F1135" s="2" t="s">
        <v>15</v>
      </c>
      <c r="G1135" s="2" t="s">
        <v>26</v>
      </c>
      <c r="H1135" s="2" t="s">
        <v>1223</v>
      </c>
      <c r="I1135" s="2" t="s">
        <v>17</v>
      </c>
      <c r="J1135" s="2">
        <v>7.33</v>
      </c>
      <c r="K1135" s="2" t="str">
        <f t="shared" si="46"/>
        <v>&gt;5kg</v>
      </c>
      <c r="L1135" s="2">
        <f>tdata[[#This Row],[Received_date]]-tdata[[#This Row],[Shipment_Date]]</f>
        <v>3</v>
      </c>
      <c r="M1135" s="2">
        <f>VLOOKUP(tdata[[#This Row],[Service_Type]],Table2[#All],2,0)</f>
        <v>1</v>
      </c>
      <c r="N1135" s="2" t="str">
        <f>IF(tdata[[#This Row],[Delivery_Days]]&lt;=tdata[[#This Row],[SLA_Days]],"On Time","Late")</f>
        <v>Late</v>
      </c>
      <c r="O1135" s="2">
        <f>VLOOKUP(tdata[[#This Row],[Service_Type]],Table2[#All],4,0)</f>
        <v>12000</v>
      </c>
      <c r="P1135" s="2">
        <f>tdata[[#This Row],[price_per_kilo]]*tdata[[#This Row],[Weight_KG]]</f>
        <v>87960</v>
      </c>
      <c r="Q1135" s="2" t="str">
        <f>VLOOKUP(tdata[[#This Row],[id_employee]],temployee[#All],2,0)</f>
        <v>Hariyanto</v>
      </c>
      <c r="R1135" s="2" t="str">
        <f>VLOOKUP(tdata[[#This Row],[id_employee]],temployee[#All],4,0)</f>
        <v>crowd source</v>
      </c>
      <c r="S1135" s="9" t="str">
        <f>VLOOKUP(tdata[[#This Row],[id_employee]],temployee[#All],5,0)</f>
        <v>driver</v>
      </c>
    </row>
    <row r="1136" spans="2:19" x14ac:dyDescent="0.35">
      <c r="B1136" s="8" t="s">
        <v>1155</v>
      </c>
      <c r="C1136" s="2" t="s">
        <v>1305</v>
      </c>
      <c r="D1136" s="5">
        <v>45165</v>
      </c>
      <c r="E1136" s="5">
        <v>45175</v>
      </c>
      <c r="F1136" s="2" t="s">
        <v>20</v>
      </c>
      <c r="G1136" s="2" t="s">
        <v>20</v>
      </c>
      <c r="H1136" s="2" t="s">
        <v>1223</v>
      </c>
      <c r="I1136" s="2" t="s">
        <v>13</v>
      </c>
      <c r="J1136" s="2">
        <v>3.25</v>
      </c>
      <c r="K1136" s="2" t="str">
        <f t="shared" si="46"/>
        <v>&lt; 5kg</v>
      </c>
      <c r="L1136" s="2">
        <f>tdata[[#This Row],[Received_date]]-tdata[[#This Row],[Shipment_Date]]</f>
        <v>10</v>
      </c>
      <c r="M1136" s="2">
        <f>VLOOKUP(tdata[[#This Row],[Service_Type]],Table2[#All],2,0)</f>
        <v>1</v>
      </c>
      <c r="N1136" s="2" t="str">
        <f>IF(tdata[[#This Row],[Delivery_Days]]&lt;=tdata[[#This Row],[SLA_Days]],"On Time","Late")</f>
        <v>Late</v>
      </c>
      <c r="O1136" s="2">
        <f>VLOOKUP(tdata[[#This Row],[Service_Type]],Table2[#All],4,0)</f>
        <v>12000</v>
      </c>
      <c r="P1136" s="2">
        <f>tdata[[#This Row],[price_per_kilo]]*tdata[[#This Row],[Weight_KG]]</f>
        <v>39000</v>
      </c>
      <c r="Q1136" s="2" t="str">
        <f>VLOOKUP(tdata[[#This Row],[id_employee]],temployee[#All],2,0)</f>
        <v>Intan Maharani</v>
      </c>
      <c r="R1136" s="2" t="str">
        <f>VLOOKUP(tdata[[#This Row],[id_employee]],temployee[#All],4,0)</f>
        <v>internal</v>
      </c>
      <c r="S1136" s="9" t="str">
        <f>VLOOKUP(tdata[[#This Row],[id_employee]],temployee[#All],5,0)</f>
        <v>rider</v>
      </c>
    </row>
    <row r="1137" spans="2:19" x14ac:dyDescent="0.35">
      <c r="B1137" s="8" t="s">
        <v>1156</v>
      </c>
      <c r="C1137" s="2" t="s">
        <v>1306</v>
      </c>
      <c r="D1137" s="5">
        <v>45387</v>
      </c>
      <c r="E1137" s="5">
        <v>45387</v>
      </c>
      <c r="F1137" s="2" t="s">
        <v>22</v>
      </c>
      <c r="G1137" s="2" t="s">
        <v>30</v>
      </c>
      <c r="H1137" s="2" t="s">
        <v>1224</v>
      </c>
      <c r="I1137" s="2" t="s">
        <v>13</v>
      </c>
      <c r="J1137" s="2">
        <v>2.81</v>
      </c>
      <c r="K1137" s="2" t="str">
        <f t="shared" si="46"/>
        <v>&lt; 5kg</v>
      </c>
      <c r="L1137" s="2">
        <f>tdata[[#This Row],[Received_date]]-tdata[[#This Row],[Shipment_Date]]</f>
        <v>0</v>
      </c>
      <c r="M1137" s="2">
        <f>VLOOKUP(tdata[[#This Row],[Service_Type]],Table2[#All],2,0)</f>
        <v>3</v>
      </c>
      <c r="N1137" s="2" t="str">
        <f>IF(tdata[[#This Row],[Delivery_Days]]&lt;=tdata[[#This Row],[SLA_Days]],"On Time","Late")</f>
        <v>On Time</v>
      </c>
      <c r="O1137" s="2">
        <f>VLOOKUP(tdata[[#This Row],[Service_Type]],Table2[#All],4,0)</f>
        <v>10000</v>
      </c>
      <c r="P1137" s="2">
        <f>tdata[[#This Row],[price_per_kilo]]*tdata[[#This Row],[Weight_KG]]</f>
        <v>28100</v>
      </c>
      <c r="Q1137" s="2" t="str">
        <f>VLOOKUP(tdata[[#This Row],[id_employee]],temployee[#All],2,0)</f>
        <v>Jefri Alamsyah</v>
      </c>
      <c r="R1137" s="2" t="str">
        <f>VLOOKUP(tdata[[#This Row],[id_employee]],temployee[#All],4,0)</f>
        <v>internal</v>
      </c>
      <c r="S1137" s="9" t="str">
        <f>VLOOKUP(tdata[[#This Row],[id_employee]],temployee[#All],5,0)</f>
        <v>driver</v>
      </c>
    </row>
    <row r="1138" spans="2:19" x14ac:dyDescent="0.35">
      <c r="B1138" s="8" t="s">
        <v>1157</v>
      </c>
      <c r="C1138" s="2" t="s">
        <v>1307</v>
      </c>
      <c r="D1138" s="5">
        <v>44950</v>
      </c>
      <c r="E1138" s="5">
        <v>44959</v>
      </c>
      <c r="F1138" s="2" t="s">
        <v>12</v>
      </c>
      <c r="G1138" s="2" t="s">
        <v>22</v>
      </c>
      <c r="H1138" s="2" t="s">
        <v>1224</v>
      </c>
      <c r="I1138" s="2" t="s">
        <v>13</v>
      </c>
      <c r="J1138" s="2">
        <v>1.06</v>
      </c>
      <c r="K1138" s="2" t="str">
        <f t="shared" si="46"/>
        <v>&lt; 5kg</v>
      </c>
      <c r="L1138" s="2">
        <f>tdata[[#This Row],[Received_date]]-tdata[[#This Row],[Shipment_Date]]</f>
        <v>9</v>
      </c>
      <c r="M1138" s="2">
        <f>VLOOKUP(tdata[[#This Row],[Service_Type]],Table2[#All],2,0)</f>
        <v>3</v>
      </c>
      <c r="N1138" s="2" t="str">
        <f>IF(tdata[[#This Row],[Delivery_Days]]&lt;=tdata[[#This Row],[SLA_Days]],"On Time","Late")</f>
        <v>Late</v>
      </c>
      <c r="O1138" s="2">
        <f>VLOOKUP(tdata[[#This Row],[Service_Type]],Table2[#All],4,0)</f>
        <v>10000</v>
      </c>
      <c r="P1138" s="2">
        <f>tdata[[#This Row],[price_per_kilo]]*tdata[[#This Row],[Weight_KG]]</f>
        <v>10600</v>
      </c>
      <c r="Q1138" s="2" t="str">
        <f>VLOOKUP(tdata[[#This Row],[id_employee]],temployee[#All],2,0)</f>
        <v>Kartika Sari</v>
      </c>
      <c r="R1138" s="2" t="str">
        <f>VLOOKUP(tdata[[#This Row],[id_employee]],temployee[#All],4,0)</f>
        <v>crowd source</v>
      </c>
      <c r="S1138" s="9" t="str">
        <f>VLOOKUP(tdata[[#This Row],[id_employee]],temployee[#All],5,0)</f>
        <v>rider</v>
      </c>
    </row>
    <row r="1139" spans="2:19" x14ac:dyDescent="0.35">
      <c r="B1139" s="8" t="s">
        <v>1158</v>
      </c>
      <c r="C1139" s="2" t="s">
        <v>1308</v>
      </c>
      <c r="D1139" s="5">
        <v>45432</v>
      </c>
      <c r="E1139" s="5">
        <v>45432</v>
      </c>
      <c r="F1139" s="2" t="s">
        <v>30</v>
      </c>
      <c r="G1139" s="2" t="s">
        <v>32</v>
      </c>
      <c r="H1139" s="2" t="s">
        <v>23</v>
      </c>
      <c r="I1139" s="2" t="s">
        <v>13</v>
      </c>
      <c r="J1139" s="2">
        <v>3.97</v>
      </c>
      <c r="K1139" s="2" t="str">
        <f t="shared" si="46"/>
        <v>&lt; 5kg</v>
      </c>
      <c r="L1139" s="2">
        <f>tdata[[#This Row],[Received_date]]-tdata[[#This Row],[Shipment_Date]]</f>
        <v>0</v>
      </c>
      <c r="M1139" s="2">
        <f>VLOOKUP(tdata[[#This Row],[Service_Type]],Table2[#All],2,0)</f>
        <v>5</v>
      </c>
      <c r="N1139" s="2" t="str">
        <f>IF(tdata[[#This Row],[Delivery_Days]]&lt;=tdata[[#This Row],[SLA_Days]],"On Time","Late")</f>
        <v>On Time</v>
      </c>
      <c r="O1139" s="2">
        <f>VLOOKUP(tdata[[#This Row],[Service_Type]],Table2[#All],4,0)</f>
        <v>9000</v>
      </c>
      <c r="P1139" s="2">
        <f>tdata[[#This Row],[price_per_kilo]]*tdata[[#This Row],[Weight_KG]]</f>
        <v>35730</v>
      </c>
      <c r="Q1139" s="2" t="str">
        <f>VLOOKUP(tdata[[#This Row],[id_employee]],temployee[#All],2,0)</f>
        <v>Lukman Hakim</v>
      </c>
      <c r="R1139" s="2" t="str">
        <f>VLOOKUP(tdata[[#This Row],[id_employee]],temployee[#All],4,0)</f>
        <v>internal</v>
      </c>
      <c r="S1139" s="9" t="str">
        <f>VLOOKUP(tdata[[#This Row],[id_employee]],temployee[#All],5,0)</f>
        <v>driver</v>
      </c>
    </row>
    <row r="1140" spans="2:19" x14ac:dyDescent="0.35">
      <c r="B1140" s="8" t="s">
        <v>1159</v>
      </c>
      <c r="C1140" s="2" t="s">
        <v>1309</v>
      </c>
      <c r="D1140" s="5">
        <v>45546</v>
      </c>
      <c r="E1140" s="5">
        <v>45555</v>
      </c>
      <c r="F1140" s="2" t="s">
        <v>32</v>
      </c>
      <c r="G1140" s="2" t="s">
        <v>30</v>
      </c>
      <c r="H1140" s="2" t="s">
        <v>1223</v>
      </c>
      <c r="I1140" s="2" t="s">
        <v>13</v>
      </c>
      <c r="J1140" s="2">
        <v>1.45</v>
      </c>
      <c r="K1140" s="2" t="str">
        <f t="shared" si="46"/>
        <v>&lt; 5kg</v>
      </c>
      <c r="L1140" s="2">
        <f>tdata[[#This Row],[Received_date]]-tdata[[#This Row],[Shipment_Date]]</f>
        <v>9</v>
      </c>
      <c r="M1140" s="2">
        <f>VLOOKUP(tdata[[#This Row],[Service_Type]],Table2[#All],2,0)</f>
        <v>1</v>
      </c>
      <c r="N1140" s="2" t="str">
        <f>IF(tdata[[#This Row],[Delivery_Days]]&lt;=tdata[[#This Row],[SLA_Days]],"On Time","Late")</f>
        <v>Late</v>
      </c>
      <c r="O1140" s="2">
        <f>VLOOKUP(tdata[[#This Row],[Service_Type]],Table2[#All],4,0)</f>
        <v>12000</v>
      </c>
      <c r="P1140" s="2">
        <f>tdata[[#This Row],[price_per_kilo]]*tdata[[#This Row],[Weight_KG]]</f>
        <v>17400</v>
      </c>
      <c r="Q1140" s="2" t="str">
        <f>VLOOKUP(tdata[[#This Row],[id_employee]],temployee[#All],2,0)</f>
        <v>Mega Puspitasari</v>
      </c>
      <c r="R1140" s="2" t="str">
        <f>VLOOKUP(tdata[[#This Row],[id_employee]],temployee[#All],4,0)</f>
        <v>internal</v>
      </c>
      <c r="S1140" s="9" t="str">
        <f>VLOOKUP(tdata[[#This Row],[id_employee]],temployee[#All],5,0)</f>
        <v>rider</v>
      </c>
    </row>
    <row r="1141" spans="2:19" x14ac:dyDescent="0.35">
      <c r="B1141" s="8" t="s">
        <v>1160</v>
      </c>
      <c r="C1141" s="2" t="s">
        <v>1310</v>
      </c>
      <c r="D1141" s="5">
        <v>45375</v>
      </c>
      <c r="E1141" s="5">
        <v>45382</v>
      </c>
      <c r="F1141" s="2" t="s">
        <v>16</v>
      </c>
      <c r="G1141" s="2" t="s">
        <v>30</v>
      </c>
      <c r="H1141" s="2" t="s">
        <v>1223</v>
      </c>
      <c r="I1141" s="2" t="s">
        <v>13</v>
      </c>
      <c r="J1141" s="2">
        <v>4.46</v>
      </c>
      <c r="K1141" s="2" t="str">
        <f t="shared" si="46"/>
        <v>&lt; 5kg</v>
      </c>
      <c r="L1141" s="2">
        <f>tdata[[#This Row],[Received_date]]-tdata[[#This Row],[Shipment_Date]]</f>
        <v>7</v>
      </c>
      <c r="M1141" s="2">
        <f>VLOOKUP(tdata[[#This Row],[Service_Type]],Table2[#All],2,0)</f>
        <v>1</v>
      </c>
      <c r="N1141" s="2" t="str">
        <f>IF(tdata[[#This Row],[Delivery_Days]]&lt;=tdata[[#This Row],[SLA_Days]],"On Time","Late")</f>
        <v>Late</v>
      </c>
      <c r="O1141" s="2">
        <f>VLOOKUP(tdata[[#This Row],[Service_Type]],Table2[#All],4,0)</f>
        <v>12000</v>
      </c>
      <c r="P1141" s="2">
        <f>tdata[[#This Row],[price_per_kilo]]*tdata[[#This Row],[Weight_KG]]</f>
        <v>53520</v>
      </c>
      <c r="Q1141" s="2" t="str">
        <f>VLOOKUP(tdata[[#This Row],[id_employee]],temployee[#All],2,0)</f>
        <v>Niko Prasetyo</v>
      </c>
      <c r="R1141" s="2" t="str">
        <f>VLOOKUP(tdata[[#This Row],[id_employee]],temployee[#All],4,0)</f>
        <v>crowd source</v>
      </c>
      <c r="S1141" s="9" t="str">
        <f>VLOOKUP(tdata[[#This Row],[id_employee]],temployee[#All],5,0)</f>
        <v>driver</v>
      </c>
    </row>
    <row r="1142" spans="2:19" x14ac:dyDescent="0.35">
      <c r="B1142" s="8" t="s">
        <v>1161</v>
      </c>
      <c r="C1142" s="2" t="s">
        <v>1311</v>
      </c>
      <c r="D1142" s="5">
        <v>45368</v>
      </c>
      <c r="E1142" s="5">
        <f>D1142+4</f>
        <v>45372</v>
      </c>
      <c r="F1142" s="2" t="s">
        <v>26</v>
      </c>
      <c r="G1142" s="2" t="s">
        <v>15</v>
      </c>
      <c r="H1142" s="2" t="s">
        <v>1224</v>
      </c>
      <c r="I1142" s="2" t="s">
        <v>13</v>
      </c>
      <c r="J1142" s="2">
        <v>10.31</v>
      </c>
      <c r="K1142" s="2" t="str">
        <f t="shared" si="46"/>
        <v>&gt;5kg</v>
      </c>
      <c r="L1142" s="2">
        <f>tdata[[#This Row],[Received_date]]-tdata[[#This Row],[Shipment_Date]]</f>
        <v>4</v>
      </c>
      <c r="M1142" s="2">
        <f>VLOOKUP(tdata[[#This Row],[Service_Type]],Table2[#All],2,0)</f>
        <v>3</v>
      </c>
      <c r="N1142" s="2" t="str">
        <f>IF(tdata[[#This Row],[Delivery_Days]]&lt;=tdata[[#This Row],[SLA_Days]],"On Time","Late")</f>
        <v>Late</v>
      </c>
      <c r="O1142" s="2">
        <f>VLOOKUP(tdata[[#This Row],[Service_Type]],Table2[#All],4,0)</f>
        <v>10000</v>
      </c>
      <c r="P1142" s="2">
        <f>tdata[[#This Row],[price_per_kilo]]*tdata[[#This Row],[Weight_KG]]</f>
        <v>103100</v>
      </c>
      <c r="Q1142" s="2" t="str">
        <f>VLOOKUP(tdata[[#This Row],[id_employee]],temployee[#All],2,0)</f>
        <v>Olivia Putri</v>
      </c>
      <c r="R1142" s="2" t="str">
        <f>VLOOKUP(tdata[[#This Row],[id_employee]],temployee[#All],4,0)</f>
        <v>internal</v>
      </c>
      <c r="S1142" s="9" t="str">
        <f>VLOOKUP(tdata[[#This Row],[id_employee]],temployee[#All],5,0)</f>
        <v>rider</v>
      </c>
    </row>
    <row r="1143" spans="2:19" x14ac:dyDescent="0.35">
      <c r="B1143" s="8" t="s">
        <v>1162</v>
      </c>
      <c r="C1143" s="2" t="s">
        <v>1312</v>
      </c>
      <c r="D1143" s="5">
        <v>45149</v>
      </c>
      <c r="E1143" s="5">
        <v>45153</v>
      </c>
      <c r="F1143" s="2" t="s">
        <v>49</v>
      </c>
      <c r="G1143" s="2" t="s">
        <v>30</v>
      </c>
      <c r="H1143" s="2" t="s">
        <v>1223</v>
      </c>
      <c r="I1143" s="2" t="s">
        <v>17</v>
      </c>
      <c r="J1143" s="2">
        <v>8.06</v>
      </c>
      <c r="K1143" s="2" t="str">
        <f t="shared" si="46"/>
        <v>&gt;5kg</v>
      </c>
      <c r="L1143" s="2">
        <f>tdata[[#This Row],[Received_date]]-tdata[[#This Row],[Shipment_Date]]</f>
        <v>4</v>
      </c>
      <c r="M1143" s="2">
        <f>VLOOKUP(tdata[[#This Row],[Service_Type]],Table2[#All],2,0)</f>
        <v>1</v>
      </c>
      <c r="N1143" s="2" t="str">
        <f>IF(tdata[[#This Row],[Delivery_Days]]&lt;=tdata[[#This Row],[SLA_Days]],"On Time","Late")</f>
        <v>Late</v>
      </c>
      <c r="O1143" s="2">
        <f>VLOOKUP(tdata[[#This Row],[Service_Type]],Table2[#All],4,0)</f>
        <v>12000</v>
      </c>
      <c r="P1143" s="2">
        <f>tdata[[#This Row],[price_per_kilo]]*tdata[[#This Row],[Weight_KG]]</f>
        <v>96720</v>
      </c>
      <c r="Q1143" s="2" t="str">
        <f>VLOOKUP(tdata[[#This Row],[id_employee]],temployee[#All],2,0)</f>
        <v>Prasetyo Utomo</v>
      </c>
      <c r="R1143" s="2" t="str">
        <f>VLOOKUP(tdata[[#This Row],[id_employee]],temployee[#All],4,0)</f>
        <v>internal</v>
      </c>
      <c r="S1143" s="9" t="str">
        <f>VLOOKUP(tdata[[#This Row],[id_employee]],temployee[#All],5,0)</f>
        <v>driver</v>
      </c>
    </row>
    <row r="1144" spans="2:19" x14ac:dyDescent="0.35">
      <c r="B1144" s="8" t="s">
        <v>1163</v>
      </c>
      <c r="C1144" s="2" t="s">
        <v>1313</v>
      </c>
      <c r="D1144" s="5">
        <v>45607</v>
      </c>
      <c r="E1144" s="5">
        <v>45615</v>
      </c>
      <c r="F1144" s="2" t="s">
        <v>11</v>
      </c>
      <c r="G1144" s="2" t="s">
        <v>20</v>
      </c>
      <c r="H1144" s="2" t="s">
        <v>23</v>
      </c>
      <c r="I1144" s="2" t="s">
        <v>17</v>
      </c>
      <c r="J1144" s="2">
        <v>5.19</v>
      </c>
      <c r="K1144" s="2" t="str">
        <f t="shared" si="46"/>
        <v>&gt;5kg</v>
      </c>
      <c r="L1144" s="2">
        <f>tdata[[#This Row],[Received_date]]-tdata[[#This Row],[Shipment_Date]]</f>
        <v>8</v>
      </c>
      <c r="M1144" s="2">
        <f>VLOOKUP(tdata[[#This Row],[Service_Type]],Table2[#All],2,0)</f>
        <v>5</v>
      </c>
      <c r="N1144" s="2" t="str">
        <f>IF(tdata[[#This Row],[Delivery_Days]]&lt;=tdata[[#This Row],[SLA_Days]],"On Time","Late")</f>
        <v>Late</v>
      </c>
      <c r="O1144" s="2">
        <f>VLOOKUP(tdata[[#This Row],[Service_Type]],Table2[#All],4,0)</f>
        <v>9000</v>
      </c>
      <c r="P1144" s="2">
        <f>tdata[[#This Row],[price_per_kilo]]*tdata[[#This Row],[Weight_KG]]</f>
        <v>46710</v>
      </c>
      <c r="Q1144" s="2" t="str">
        <f>VLOOKUP(tdata[[#This Row],[id_employee]],temployee[#All],2,0)</f>
        <v>Qori Annisa</v>
      </c>
      <c r="R1144" s="2" t="str">
        <f>VLOOKUP(tdata[[#This Row],[id_employee]],temployee[#All],4,0)</f>
        <v>crowd source</v>
      </c>
      <c r="S1144" s="9" t="str">
        <f>VLOOKUP(tdata[[#This Row],[id_employee]],temployee[#All],5,0)</f>
        <v>rider</v>
      </c>
    </row>
    <row r="1145" spans="2:19" x14ac:dyDescent="0.35">
      <c r="B1145" s="8" t="s">
        <v>1164</v>
      </c>
      <c r="C1145" s="2" t="s">
        <v>1314</v>
      </c>
      <c r="D1145" s="5">
        <v>45483</v>
      </c>
      <c r="E1145" s="5">
        <v>45494</v>
      </c>
      <c r="F1145" s="2" t="s">
        <v>15</v>
      </c>
      <c r="G1145" s="2" t="s">
        <v>49</v>
      </c>
      <c r="H1145" s="2" t="s">
        <v>23</v>
      </c>
      <c r="I1145" s="2" t="s">
        <v>13</v>
      </c>
      <c r="J1145" s="2">
        <v>4.3099999999999996</v>
      </c>
      <c r="K1145" s="2" t="str">
        <f t="shared" si="46"/>
        <v>&lt; 5kg</v>
      </c>
      <c r="L1145" s="2">
        <f>tdata[[#This Row],[Received_date]]-tdata[[#This Row],[Shipment_Date]]</f>
        <v>11</v>
      </c>
      <c r="M1145" s="2">
        <f>VLOOKUP(tdata[[#This Row],[Service_Type]],Table2[#All],2,0)</f>
        <v>5</v>
      </c>
      <c r="N1145" s="2" t="str">
        <f>IF(tdata[[#This Row],[Delivery_Days]]&lt;=tdata[[#This Row],[SLA_Days]],"On Time","Late")</f>
        <v>Late</v>
      </c>
      <c r="O1145" s="2">
        <f>VLOOKUP(tdata[[#This Row],[Service_Type]],Table2[#All],4,0)</f>
        <v>9000</v>
      </c>
      <c r="P1145" s="2">
        <f>tdata[[#This Row],[price_per_kilo]]*tdata[[#This Row],[Weight_KG]]</f>
        <v>38790</v>
      </c>
      <c r="Q1145" s="2" t="str">
        <f>VLOOKUP(tdata[[#This Row],[id_employee]],temployee[#All],2,0)</f>
        <v>Rangga Saptonugroho</v>
      </c>
      <c r="R1145" s="2" t="str">
        <f>VLOOKUP(tdata[[#This Row],[id_employee]],temployee[#All],4,0)</f>
        <v>crowd source</v>
      </c>
      <c r="S1145" s="9" t="str">
        <f>VLOOKUP(tdata[[#This Row],[id_employee]],temployee[#All],5,0)</f>
        <v>driver</v>
      </c>
    </row>
    <row r="1146" spans="2:19" x14ac:dyDescent="0.35">
      <c r="B1146" s="8" t="s">
        <v>1165</v>
      </c>
      <c r="C1146" s="2" t="s">
        <v>1315</v>
      </c>
      <c r="D1146" s="5">
        <v>45640</v>
      </c>
      <c r="E1146" s="5">
        <v>45645</v>
      </c>
      <c r="F1146" s="2" t="s">
        <v>20</v>
      </c>
      <c r="G1146" s="2" t="s">
        <v>49</v>
      </c>
      <c r="H1146" s="2" t="s">
        <v>1224</v>
      </c>
      <c r="I1146" s="2" t="s">
        <v>13</v>
      </c>
      <c r="J1146" s="2">
        <v>8.7100000000000009</v>
      </c>
      <c r="K1146" s="2" t="str">
        <f t="shared" si="46"/>
        <v>&gt;5kg</v>
      </c>
      <c r="L1146" s="2">
        <f>tdata[[#This Row],[Received_date]]-tdata[[#This Row],[Shipment_Date]]</f>
        <v>5</v>
      </c>
      <c r="M1146" s="2">
        <f>VLOOKUP(tdata[[#This Row],[Service_Type]],Table2[#All],2,0)</f>
        <v>3</v>
      </c>
      <c r="N1146" s="2" t="str">
        <f>IF(tdata[[#This Row],[Delivery_Days]]&lt;=tdata[[#This Row],[SLA_Days]],"On Time","Late")</f>
        <v>Late</v>
      </c>
      <c r="O1146" s="2">
        <f>VLOOKUP(tdata[[#This Row],[Service_Type]],Table2[#All],4,0)</f>
        <v>10000</v>
      </c>
      <c r="P1146" s="2">
        <f>tdata[[#This Row],[price_per_kilo]]*tdata[[#This Row],[Weight_KG]]</f>
        <v>87100.000000000015</v>
      </c>
      <c r="Q1146" s="2" t="str">
        <f>VLOOKUP(tdata[[#This Row],[id_employee]],temployee[#All],2,0)</f>
        <v>Sinta Dewi</v>
      </c>
      <c r="R1146" s="2" t="str">
        <f>VLOOKUP(tdata[[#This Row],[id_employee]],temployee[#All],4,0)</f>
        <v>internal</v>
      </c>
      <c r="S1146" s="9" t="str">
        <f>VLOOKUP(tdata[[#This Row],[id_employee]],temployee[#All],5,0)</f>
        <v>rider</v>
      </c>
    </row>
    <row r="1147" spans="2:19" x14ac:dyDescent="0.35">
      <c r="B1147" s="8" t="s">
        <v>1166</v>
      </c>
      <c r="C1147" s="2" t="s">
        <v>1316</v>
      </c>
      <c r="D1147" s="5">
        <v>45229</v>
      </c>
      <c r="E1147" s="5">
        <v>45236</v>
      </c>
      <c r="F1147" s="2" t="s">
        <v>22</v>
      </c>
      <c r="G1147" s="2" t="s">
        <v>30</v>
      </c>
      <c r="H1147" s="2" t="s">
        <v>1224</v>
      </c>
      <c r="I1147" s="2" t="s">
        <v>13</v>
      </c>
      <c r="J1147" s="2">
        <v>3.11</v>
      </c>
      <c r="K1147" s="2" t="str">
        <f t="shared" si="46"/>
        <v>&lt; 5kg</v>
      </c>
      <c r="L1147" s="2">
        <f>tdata[[#This Row],[Received_date]]-tdata[[#This Row],[Shipment_Date]]</f>
        <v>7</v>
      </c>
      <c r="M1147" s="2">
        <f>VLOOKUP(tdata[[#This Row],[Service_Type]],Table2[#All],2,0)</f>
        <v>3</v>
      </c>
      <c r="N1147" s="2" t="str">
        <f>IF(tdata[[#This Row],[Delivery_Days]]&lt;=tdata[[#This Row],[SLA_Days]],"On Time","Late")</f>
        <v>Late</v>
      </c>
      <c r="O1147" s="2">
        <f>VLOOKUP(tdata[[#This Row],[Service_Type]],Table2[#All],4,0)</f>
        <v>10000</v>
      </c>
      <c r="P1147" s="2">
        <f>tdata[[#This Row],[price_per_kilo]]*tdata[[#This Row],[Weight_KG]]</f>
        <v>31100</v>
      </c>
      <c r="Q1147" s="2" t="str">
        <f>VLOOKUP(tdata[[#This Row],[id_employee]],temployee[#All],2,0)</f>
        <v>Taufik Hidayat</v>
      </c>
      <c r="R1147" s="2" t="str">
        <f>VLOOKUP(tdata[[#This Row],[id_employee]],temployee[#All],4,0)</f>
        <v>internal</v>
      </c>
      <c r="S1147" s="9" t="str">
        <f>VLOOKUP(tdata[[#This Row],[id_employee]],temployee[#All],5,0)</f>
        <v>driver</v>
      </c>
    </row>
    <row r="1148" spans="2:19" x14ac:dyDescent="0.35">
      <c r="B1148" s="8" t="s">
        <v>1167</v>
      </c>
      <c r="C1148" s="2" t="s">
        <v>1317</v>
      </c>
      <c r="D1148" s="5">
        <v>45249</v>
      </c>
      <c r="E1148" s="5">
        <v>45249</v>
      </c>
      <c r="F1148" s="2" t="s">
        <v>12</v>
      </c>
      <c r="G1148" s="2" t="s">
        <v>11</v>
      </c>
      <c r="H1148" s="2" t="s">
        <v>1223</v>
      </c>
      <c r="I1148" s="2" t="s">
        <v>13</v>
      </c>
      <c r="J1148" s="2">
        <v>4.59</v>
      </c>
      <c r="K1148" s="2" t="str">
        <f t="shared" si="46"/>
        <v>&lt; 5kg</v>
      </c>
      <c r="L1148" s="2">
        <f>tdata[[#This Row],[Received_date]]-tdata[[#This Row],[Shipment_Date]]</f>
        <v>0</v>
      </c>
      <c r="M1148" s="2">
        <f>VLOOKUP(tdata[[#This Row],[Service_Type]],Table2[#All],2,0)</f>
        <v>1</v>
      </c>
      <c r="N1148" s="2" t="str">
        <f>IF(tdata[[#This Row],[Delivery_Days]]&lt;=tdata[[#This Row],[SLA_Days]],"On Time","Late")</f>
        <v>On Time</v>
      </c>
      <c r="O1148" s="2">
        <f>VLOOKUP(tdata[[#This Row],[Service_Type]],Table2[#All],4,0)</f>
        <v>12000</v>
      </c>
      <c r="P1148" s="2">
        <f>tdata[[#This Row],[price_per_kilo]]*tdata[[#This Row],[Weight_KG]]</f>
        <v>55080</v>
      </c>
      <c r="Q1148" s="2" t="str">
        <f>VLOOKUP(tdata[[#This Row],[id_employee]],temployee[#All],2,0)</f>
        <v>Usman Ali</v>
      </c>
      <c r="R1148" s="2" t="str">
        <f>VLOOKUP(tdata[[#This Row],[id_employee]],temployee[#All],4,0)</f>
        <v>crowd source</v>
      </c>
      <c r="S1148" s="9" t="str">
        <f>VLOOKUP(tdata[[#This Row],[id_employee]],temployee[#All],5,0)</f>
        <v>rider</v>
      </c>
    </row>
    <row r="1149" spans="2:19" x14ac:dyDescent="0.35">
      <c r="B1149" s="8" t="s">
        <v>1168</v>
      </c>
      <c r="C1149" s="2" t="s">
        <v>1318</v>
      </c>
      <c r="D1149" s="5">
        <v>45333</v>
      </c>
      <c r="E1149" s="5">
        <f>D1149+4</f>
        <v>45337</v>
      </c>
      <c r="F1149" s="2" t="s">
        <v>30</v>
      </c>
      <c r="G1149" s="2" t="s">
        <v>49</v>
      </c>
      <c r="H1149" s="2" t="s">
        <v>23</v>
      </c>
      <c r="I1149" s="2" t="s">
        <v>13</v>
      </c>
      <c r="J1149" s="2">
        <v>10.220000000000001</v>
      </c>
      <c r="K1149" s="2" t="str">
        <f t="shared" si="46"/>
        <v>&gt;5kg</v>
      </c>
      <c r="L1149" s="2">
        <f>tdata[[#This Row],[Received_date]]-tdata[[#This Row],[Shipment_Date]]</f>
        <v>4</v>
      </c>
      <c r="M1149" s="2">
        <f>VLOOKUP(tdata[[#This Row],[Service_Type]],Table2[#All],2,0)</f>
        <v>5</v>
      </c>
      <c r="N1149" s="2" t="str">
        <f>IF(tdata[[#This Row],[Delivery_Days]]&lt;=tdata[[#This Row],[SLA_Days]],"On Time","Late")</f>
        <v>On Time</v>
      </c>
      <c r="O1149" s="2">
        <f>VLOOKUP(tdata[[#This Row],[Service_Type]],Table2[#All],4,0)</f>
        <v>9000</v>
      </c>
      <c r="P1149" s="2">
        <f>tdata[[#This Row],[price_per_kilo]]*tdata[[#This Row],[Weight_KG]]</f>
        <v>91980</v>
      </c>
      <c r="Q1149" s="2" t="str">
        <f>VLOOKUP(tdata[[#This Row],[id_employee]],temployee[#All],2,0)</f>
        <v>Vivi Lestari</v>
      </c>
      <c r="R1149" s="2" t="str">
        <f>VLOOKUP(tdata[[#This Row],[id_employee]],temployee[#All],4,0)</f>
        <v>internal</v>
      </c>
      <c r="S1149" s="9" t="str">
        <f>VLOOKUP(tdata[[#This Row],[id_employee]],temployee[#All],5,0)</f>
        <v>rider</v>
      </c>
    </row>
    <row r="1150" spans="2:19" x14ac:dyDescent="0.35">
      <c r="B1150" s="8" t="s">
        <v>1169</v>
      </c>
      <c r="C1150" s="2" t="s">
        <v>1319</v>
      </c>
      <c r="D1150" s="5">
        <v>45215</v>
      </c>
      <c r="E1150" s="5">
        <v>45218</v>
      </c>
      <c r="F1150" s="2" t="s">
        <v>32</v>
      </c>
      <c r="G1150" s="2" t="s">
        <v>30</v>
      </c>
      <c r="H1150" s="2" t="s">
        <v>23</v>
      </c>
      <c r="I1150" s="2" t="s">
        <v>13</v>
      </c>
      <c r="J1150" s="2">
        <v>2.87</v>
      </c>
      <c r="K1150" s="2" t="str">
        <f t="shared" si="46"/>
        <v>&lt; 5kg</v>
      </c>
      <c r="L1150" s="2">
        <f>tdata[[#This Row],[Received_date]]-tdata[[#This Row],[Shipment_Date]]</f>
        <v>3</v>
      </c>
      <c r="M1150" s="2">
        <f>VLOOKUP(tdata[[#This Row],[Service_Type]],Table2[#All],2,0)</f>
        <v>5</v>
      </c>
      <c r="N1150" s="2" t="str">
        <f>IF(tdata[[#This Row],[Delivery_Days]]&lt;=tdata[[#This Row],[SLA_Days]],"On Time","Late")</f>
        <v>On Time</v>
      </c>
      <c r="O1150" s="2">
        <f>VLOOKUP(tdata[[#This Row],[Service_Type]],Table2[#All],4,0)</f>
        <v>9000</v>
      </c>
      <c r="P1150" s="2">
        <f>tdata[[#This Row],[price_per_kilo]]*tdata[[#This Row],[Weight_KG]]</f>
        <v>25830</v>
      </c>
      <c r="Q1150" s="2" t="str">
        <f>VLOOKUP(tdata[[#This Row],[id_employee]],temployee[#All],2,0)</f>
        <v>Wawan Setiabudi</v>
      </c>
      <c r="R1150" s="2" t="str">
        <f>VLOOKUP(tdata[[#This Row],[id_employee]],temployee[#All],4,0)</f>
        <v>internal</v>
      </c>
      <c r="S1150" s="9" t="str">
        <f>VLOOKUP(tdata[[#This Row],[id_employee]],temployee[#All],5,0)</f>
        <v>driver</v>
      </c>
    </row>
    <row r="1151" spans="2:19" x14ac:dyDescent="0.35">
      <c r="B1151" s="8" t="s">
        <v>1170</v>
      </c>
      <c r="C1151" s="2" t="s">
        <v>1320</v>
      </c>
      <c r="D1151" s="5">
        <v>45567</v>
      </c>
      <c r="E1151" s="5">
        <f>D1151+4</f>
        <v>45571</v>
      </c>
      <c r="F1151" s="2" t="s">
        <v>16</v>
      </c>
      <c r="G1151" s="2" t="s">
        <v>15</v>
      </c>
      <c r="H1151" s="2" t="s">
        <v>1224</v>
      </c>
      <c r="I1151" s="2" t="s">
        <v>17</v>
      </c>
      <c r="J1151" s="2">
        <v>6.68</v>
      </c>
      <c r="K1151" s="2" t="str">
        <f t="shared" si="46"/>
        <v>&gt;5kg</v>
      </c>
      <c r="L1151" s="2">
        <f>tdata[[#This Row],[Received_date]]-tdata[[#This Row],[Shipment_Date]]</f>
        <v>4</v>
      </c>
      <c r="M1151" s="2">
        <f>VLOOKUP(tdata[[#This Row],[Service_Type]],Table2[#All],2,0)</f>
        <v>3</v>
      </c>
      <c r="N1151" s="2" t="str">
        <f>IF(tdata[[#This Row],[Delivery_Days]]&lt;=tdata[[#This Row],[SLA_Days]],"On Time","Late")</f>
        <v>Late</v>
      </c>
      <c r="O1151" s="2">
        <f>VLOOKUP(tdata[[#This Row],[Service_Type]],Table2[#All],4,0)</f>
        <v>10000</v>
      </c>
      <c r="P1151" s="2">
        <f>tdata[[#This Row],[price_per_kilo]]*tdata[[#This Row],[Weight_KG]]</f>
        <v>66800</v>
      </c>
      <c r="Q1151" s="2" t="str">
        <f>VLOOKUP(tdata[[#This Row],[id_employee]],temployee[#All],2,0)</f>
        <v>Xenia Maharani</v>
      </c>
      <c r="R1151" s="2" t="str">
        <f>VLOOKUP(tdata[[#This Row],[id_employee]],temployee[#All],4,0)</f>
        <v>crowd source</v>
      </c>
      <c r="S1151" s="9" t="str">
        <f>VLOOKUP(tdata[[#This Row],[id_employee]],temployee[#All],5,0)</f>
        <v>rider</v>
      </c>
    </row>
    <row r="1152" spans="2:19" x14ac:dyDescent="0.35">
      <c r="B1152" s="8" t="s">
        <v>1171</v>
      </c>
      <c r="C1152" s="2" t="s">
        <v>1321</v>
      </c>
      <c r="D1152" s="5">
        <v>45509</v>
      </c>
      <c r="E1152" s="5">
        <v>45510</v>
      </c>
      <c r="F1152" s="2" t="s">
        <v>26</v>
      </c>
      <c r="G1152" s="2" t="s">
        <v>15</v>
      </c>
      <c r="H1152" s="2" t="s">
        <v>1224</v>
      </c>
      <c r="I1152" s="2" t="s">
        <v>13</v>
      </c>
      <c r="J1152" s="2">
        <v>4.3</v>
      </c>
      <c r="K1152" s="2" t="str">
        <f t="shared" si="46"/>
        <v>&lt; 5kg</v>
      </c>
      <c r="L1152" s="2">
        <f>tdata[[#This Row],[Received_date]]-tdata[[#This Row],[Shipment_Date]]</f>
        <v>1</v>
      </c>
      <c r="M1152" s="2">
        <f>VLOOKUP(tdata[[#This Row],[Service_Type]],Table2[#All],2,0)</f>
        <v>3</v>
      </c>
      <c r="N1152" s="2" t="str">
        <f>IF(tdata[[#This Row],[Delivery_Days]]&lt;=tdata[[#This Row],[SLA_Days]],"On Time","Late")</f>
        <v>On Time</v>
      </c>
      <c r="O1152" s="2">
        <f>VLOOKUP(tdata[[#This Row],[Service_Type]],Table2[#All],4,0)</f>
        <v>10000</v>
      </c>
      <c r="P1152" s="2">
        <f>tdata[[#This Row],[price_per_kilo]]*tdata[[#This Row],[Weight_KG]]</f>
        <v>43000</v>
      </c>
      <c r="Q1152" s="2" t="str">
        <f>VLOOKUP(tdata[[#This Row],[id_employee]],temployee[#All],2,0)</f>
        <v>Yoga Pradana</v>
      </c>
      <c r="R1152" s="2" t="str">
        <f>VLOOKUP(tdata[[#This Row],[id_employee]],temployee[#All],4,0)</f>
        <v>internal</v>
      </c>
      <c r="S1152" s="9" t="str">
        <f>VLOOKUP(tdata[[#This Row],[id_employee]],temployee[#All],5,0)</f>
        <v>rider</v>
      </c>
    </row>
    <row r="1153" spans="2:19" x14ac:dyDescent="0.35">
      <c r="B1153" s="8" t="s">
        <v>1172</v>
      </c>
      <c r="C1153" s="2" t="s">
        <v>1322</v>
      </c>
      <c r="D1153" s="5">
        <v>45261</v>
      </c>
      <c r="E1153" s="5">
        <v>45265</v>
      </c>
      <c r="F1153" s="2" t="s">
        <v>49</v>
      </c>
      <c r="G1153" s="2" t="s">
        <v>20</v>
      </c>
      <c r="H1153" s="2" t="s">
        <v>1224</v>
      </c>
      <c r="I1153" s="2" t="s">
        <v>17</v>
      </c>
      <c r="J1153" s="2">
        <v>3.88</v>
      </c>
      <c r="K1153" s="2" t="str">
        <f t="shared" si="46"/>
        <v>&lt; 5kg</v>
      </c>
      <c r="L1153" s="2">
        <f>tdata[[#This Row],[Received_date]]-tdata[[#This Row],[Shipment_Date]]</f>
        <v>4</v>
      </c>
      <c r="M1153" s="2">
        <f>VLOOKUP(tdata[[#This Row],[Service_Type]],Table2[#All],2,0)</f>
        <v>3</v>
      </c>
      <c r="N1153" s="2" t="str">
        <f>IF(tdata[[#This Row],[Delivery_Days]]&lt;=tdata[[#This Row],[SLA_Days]],"On Time","Late")</f>
        <v>Late</v>
      </c>
      <c r="O1153" s="2">
        <f>VLOOKUP(tdata[[#This Row],[Service_Type]],Table2[#All],4,0)</f>
        <v>10000</v>
      </c>
      <c r="P1153" s="2">
        <f>tdata[[#This Row],[price_per_kilo]]*tdata[[#This Row],[Weight_KG]]</f>
        <v>38800</v>
      </c>
      <c r="Q1153" s="2" t="str">
        <f>VLOOKUP(tdata[[#This Row],[id_employee]],temployee[#All],2,0)</f>
        <v>Zulfikar Ramadhan</v>
      </c>
      <c r="R1153" s="2" t="str">
        <f>VLOOKUP(tdata[[#This Row],[id_employee]],temployee[#All],4,0)</f>
        <v>crowd source</v>
      </c>
      <c r="S1153" s="9" t="str">
        <f>VLOOKUP(tdata[[#This Row],[id_employee]],temployee[#All],5,0)</f>
        <v>driver</v>
      </c>
    </row>
    <row r="1154" spans="2:19" x14ac:dyDescent="0.35">
      <c r="B1154" s="8" t="s">
        <v>1173</v>
      </c>
      <c r="C1154" s="2" t="s">
        <v>1323</v>
      </c>
      <c r="D1154" s="5">
        <v>45073</v>
      </c>
      <c r="E1154" s="5">
        <v>45073</v>
      </c>
      <c r="F1154" s="2" t="s">
        <v>11</v>
      </c>
      <c r="G1154" s="2" t="s">
        <v>12</v>
      </c>
      <c r="H1154" s="2" t="s">
        <v>1223</v>
      </c>
      <c r="I1154" s="2" t="s">
        <v>13</v>
      </c>
      <c r="J1154" s="2">
        <v>0.85</v>
      </c>
      <c r="K1154" s="2" t="str">
        <f t="shared" si="46"/>
        <v>&lt; 5kg</v>
      </c>
      <c r="L1154" s="2">
        <f>tdata[[#This Row],[Received_date]]-tdata[[#This Row],[Shipment_Date]]</f>
        <v>0</v>
      </c>
      <c r="M1154" s="2">
        <f>VLOOKUP(tdata[[#This Row],[Service_Type]],Table2[#All],2,0)</f>
        <v>1</v>
      </c>
      <c r="N1154" s="2" t="str">
        <f>IF(tdata[[#This Row],[Delivery_Days]]&lt;=tdata[[#This Row],[SLA_Days]],"On Time","Late")</f>
        <v>On Time</v>
      </c>
      <c r="O1154" s="2">
        <f>VLOOKUP(tdata[[#This Row],[Service_Type]],Table2[#All],4,0)</f>
        <v>12000</v>
      </c>
      <c r="P1154" s="2">
        <f>tdata[[#This Row],[price_per_kilo]]*tdata[[#This Row],[Weight_KG]]</f>
        <v>10200</v>
      </c>
      <c r="Q1154" s="2" t="str">
        <f>VLOOKUP(tdata[[#This Row],[id_employee]],temployee[#All],2,0)</f>
        <v>Aditya Saputra</v>
      </c>
      <c r="R1154" s="2" t="str">
        <f>VLOOKUP(tdata[[#This Row],[id_employee]],temployee[#All],4,0)</f>
        <v>internal</v>
      </c>
      <c r="S1154" s="9" t="str">
        <f>VLOOKUP(tdata[[#This Row],[id_employee]],temployee[#All],5,0)</f>
        <v>rider</v>
      </c>
    </row>
    <row r="1155" spans="2:19" x14ac:dyDescent="0.35">
      <c r="B1155" s="8" t="s">
        <v>1174</v>
      </c>
      <c r="C1155" s="2" t="s">
        <v>1324</v>
      </c>
      <c r="D1155" s="5">
        <v>45131</v>
      </c>
      <c r="E1155" s="5">
        <v>45133</v>
      </c>
      <c r="F1155" s="2" t="s">
        <v>15</v>
      </c>
      <c r="G1155" s="2" t="s">
        <v>16</v>
      </c>
      <c r="H1155" s="2" t="s">
        <v>1224</v>
      </c>
      <c r="I1155" s="2" t="s">
        <v>13</v>
      </c>
      <c r="J1155" s="2">
        <v>4.8600000000000003</v>
      </c>
      <c r="K1155" s="2" t="str">
        <f t="shared" si="46"/>
        <v>&lt; 5kg</v>
      </c>
      <c r="L1155" s="2">
        <f>tdata[[#This Row],[Received_date]]-tdata[[#This Row],[Shipment_Date]]</f>
        <v>2</v>
      </c>
      <c r="M1155" s="2">
        <f>VLOOKUP(tdata[[#This Row],[Service_Type]],Table2[#All],2,0)</f>
        <v>3</v>
      </c>
      <c r="N1155" s="2" t="str">
        <f>IF(tdata[[#This Row],[Delivery_Days]]&lt;=tdata[[#This Row],[SLA_Days]],"On Time","Late")</f>
        <v>On Time</v>
      </c>
      <c r="O1155" s="2">
        <f>VLOOKUP(tdata[[#This Row],[Service_Type]],Table2[#All],4,0)</f>
        <v>10000</v>
      </c>
      <c r="P1155" s="2">
        <f>tdata[[#This Row],[price_per_kilo]]*tdata[[#This Row],[Weight_KG]]</f>
        <v>48600</v>
      </c>
      <c r="Q1155" s="2" t="str">
        <f>VLOOKUP(tdata[[#This Row],[id_employee]],temployee[#All],2,0)</f>
        <v>Bella Oktaviani</v>
      </c>
      <c r="R1155" s="2" t="str">
        <f>VLOOKUP(tdata[[#This Row],[id_employee]],temployee[#All],4,0)</f>
        <v>internal</v>
      </c>
      <c r="S1155" s="9" t="str">
        <f>VLOOKUP(tdata[[#This Row],[id_employee]],temployee[#All],5,0)</f>
        <v>rider</v>
      </c>
    </row>
    <row r="1156" spans="2:19" x14ac:dyDescent="0.35">
      <c r="B1156" s="8" t="s">
        <v>1175</v>
      </c>
      <c r="C1156" s="2" t="s">
        <v>1325</v>
      </c>
      <c r="D1156" s="5">
        <v>45534</v>
      </c>
      <c r="E1156" s="5">
        <v>45537</v>
      </c>
      <c r="F1156" s="2" t="s">
        <v>20</v>
      </c>
      <c r="G1156" s="2" t="s">
        <v>30</v>
      </c>
      <c r="H1156" s="2" t="s">
        <v>1224</v>
      </c>
      <c r="I1156" s="2" t="s">
        <v>13</v>
      </c>
      <c r="J1156" s="2">
        <v>9.9499999999999993</v>
      </c>
      <c r="K1156" s="2" t="str">
        <f t="shared" si="46"/>
        <v>&gt;5kg</v>
      </c>
      <c r="L1156" s="2">
        <f>tdata[[#This Row],[Received_date]]-tdata[[#This Row],[Shipment_Date]]</f>
        <v>3</v>
      </c>
      <c r="M1156" s="2">
        <f>VLOOKUP(tdata[[#This Row],[Service_Type]],Table2[#All],2,0)</f>
        <v>3</v>
      </c>
      <c r="N1156" s="2" t="str">
        <f>IF(tdata[[#This Row],[Delivery_Days]]&lt;=tdata[[#This Row],[SLA_Days]],"On Time","Late")</f>
        <v>On Time</v>
      </c>
      <c r="O1156" s="2">
        <f>VLOOKUP(tdata[[#This Row],[Service_Type]],Table2[#All],4,0)</f>
        <v>10000</v>
      </c>
      <c r="P1156" s="2">
        <f>tdata[[#This Row],[price_per_kilo]]*tdata[[#This Row],[Weight_KG]]</f>
        <v>99500</v>
      </c>
      <c r="Q1156" s="2" t="str">
        <f>VLOOKUP(tdata[[#This Row],[id_employee]],temployee[#All],2,0)</f>
        <v>Chandra Wijaya</v>
      </c>
      <c r="R1156" s="2" t="str">
        <f>VLOOKUP(tdata[[#This Row],[id_employee]],temployee[#All],4,0)</f>
        <v>crowd source</v>
      </c>
      <c r="S1156" s="9" t="str">
        <f>VLOOKUP(tdata[[#This Row],[id_employee]],temployee[#All],5,0)</f>
        <v>driver</v>
      </c>
    </row>
    <row r="1157" spans="2:19" x14ac:dyDescent="0.35">
      <c r="B1157" s="8" t="s">
        <v>1176</v>
      </c>
      <c r="C1157" s="2" t="s">
        <v>1326</v>
      </c>
      <c r="D1157" s="5">
        <v>45571</v>
      </c>
      <c r="E1157" s="5">
        <v>45582</v>
      </c>
      <c r="F1157" s="2" t="s">
        <v>22</v>
      </c>
      <c r="G1157" s="2" t="s">
        <v>26</v>
      </c>
      <c r="H1157" s="2" t="s">
        <v>1223</v>
      </c>
      <c r="I1157" s="2" t="s">
        <v>13</v>
      </c>
      <c r="J1157" s="2">
        <v>8.14</v>
      </c>
      <c r="K1157" s="2" t="str">
        <f t="shared" ref="K1157:K1203" si="48">IF(J1157&lt;5,"&lt; 5kg", "&gt;5kg")</f>
        <v>&gt;5kg</v>
      </c>
      <c r="L1157" s="2">
        <f>tdata[[#This Row],[Received_date]]-tdata[[#This Row],[Shipment_Date]]</f>
        <v>11</v>
      </c>
      <c r="M1157" s="2">
        <f>VLOOKUP(tdata[[#This Row],[Service_Type]],Table2[#All],2,0)</f>
        <v>1</v>
      </c>
      <c r="N1157" s="2" t="str">
        <f>IF(tdata[[#This Row],[Delivery_Days]]&lt;=tdata[[#This Row],[SLA_Days]],"On Time","Late")</f>
        <v>Late</v>
      </c>
      <c r="O1157" s="2">
        <f>VLOOKUP(tdata[[#This Row],[Service_Type]],Table2[#All],4,0)</f>
        <v>12000</v>
      </c>
      <c r="P1157" s="2">
        <f>tdata[[#This Row],[price_per_kilo]]*tdata[[#This Row],[Weight_KG]]</f>
        <v>97680</v>
      </c>
      <c r="Q1157" s="2" t="str">
        <f>VLOOKUP(tdata[[#This Row],[id_employee]],temployee[#All],2,0)</f>
        <v>Dewi Sartika</v>
      </c>
      <c r="R1157" s="2" t="str">
        <f>VLOOKUP(tdata[[#This Row],[id_employee]],temployee[#All],4,0)</f>
        <v>internal</v>
      </c>
      <c r="S1157" s="9" t="str">
        <f>VLOOKUP(tdata[[#This Row],[id_employee]],temployee[#All],5,0)</f>
        <v>rider</v>
      </c>
    </row>
    <row r="1158" spans="2:19" x14ac:dyDescent="0.35">
      <c r="B1158" s="8" t="s">
        <v>1177</v>
      </c>
      <c r="C1158" s="2" t="s">
        <v>1327</v>
      </c>
      <c r="D1158" s="5">
        <v>45001</v>
      </c>
      <c r="E1158" s="5">
        <v>45004</v>
      </c>
      <c r="F1158" s="2" t="s">
        <v>12</v>
      </c>
      <c r="G1158" s="2" t="s">
        <v>49</v>
      </c>
      <c r="H1158" s="2" t="s">
        <v>1224</v>
      </c>
      <c r="I1158" s="2" t="s">
        <v>13</v>
      </c>
      <c r="J1158" s="2">
        <v>9.01</v>
      </c>
      <c r="K1158" s="2" t="str">
        <f t="shared" si="48"/>
        <v>&gt;5kg</v>
      </c>
      <c r="L1158" s="2">
        <f>tdata[[#This Row],[Received_date]]-tdata[[#This Row],[Shipment_Date]]</f>
        <v>3</v>
      </c>
      <c r="M1158" s="2">
        <f>VLOOKUP(tdata[[#This Row],[Service_Type]],Table2[#All],2,0)</f>
        <v>3</v>
      </c>
      <c r="N1158" s="2" t="str">
        <f>IF(tdata[[#This Row],[Delivery_Days]]&lt;=tdata[[#This Row],[SLA_Days]],"On Time","Late")</f>
        <v>On Time</v>
      </c>
      <c r="O1158" s="2">
        <f>VLOOKUP(tdata[[#This Row],[Service_Type]],Table2[#All],4,0)</f>
        <v>10000</v>
      </c>
      <c r="P1158" s="2">
        <f>tdata[[#This Row],[price_per_kilo]]*tdata[[#This Row],[Weight_KG]]</f>
        <v>90100</v>
      </c>
      <c r="Q1158" s="2" t="str">
        <f>VLOOKUP(tdata[[#This Row],[id_employee]],temployee[#All],2,0)</f>
        <v>Edi Kurniawan</v>
      </c>
      <c r="R1158" s="2" t="str">
        <f>VLOOKUP(tdata[[#This Row],[id_employee]],temployee[#All],4,0)</f>
        <v>internal</v>
      </c>
      <c r="S1158" s="9" t="str">
        <f>VLOOKUP(tdata[[#This Row],[id_employee]],temployee[#All],5,0)</f>
        <v>driver</v>
      </c>
    </row>
    <row r="1159" spans="2:19" x14ac:dyDescent="0.35">
      <c r="B1159" s="8" t="s">
        <v>1178</v>
      </c>
      <c r="C1159" s="2" t="s">
        <v>1328</v>
      </c>
      <c r="D1159" s="5">
        <v>45443</v>
      </c>
      <c r="E1159" s="5">
        <v>45444</v>
      </c>
      <c r="F1159" s="2" t="s">
        <v>30</v>
      </c>
      <c r="G1159" s="2" t="s">
        <v>26</v>
      </c>
      <c r="H1159" s="2" t="s">
        <v>1223</v>
      </c>
      <c r="I1159" s="2" t="s">
        <v>13</v>
      </c>
      <c r="J1159" s="2">
        <v>3.74</v>
      </c>
      <c r="K1159" s="2" t="str">
        <f t="shared" si="48"/>
        <v>&lt; 5kg</v>
      </c>
      <c r="L1159" s="2">
        <f>tdata[[#This Row],[Received_date]]-tdata[[#This Row],[Shipment_Date]]</f>
        <v>1</v>
      </c>
      <c r="M1159" s="2">
        <f>VLOOKUP(tdata[[#This Row],[Service_Type]],Table2[#All],2,0)</f>
        <v>1</v>
      </c>
      <c r="N1159" s="2" t="str">
        <f>IF(tdata[[#This Row],[Delivery_Days]]&lt;=tdata[[#This Row],[SLA_Days]],"On Time","Late")</f>
        <v>On Time</v>
      </c>
      <c r="O1159" s="2">
        <f>VLOOKUP(tdata[[#This Row],[Service_Type]],Table2[#All],4,0)</f>
        <v>12000</v>
      </c>
      <c r="P1159" s="2">
        <f>tdata[[#This Row],[price_per_kilo]]*tdata[[#This Row],[Weight_KG]]</f>
        <v>44880</v>
      </c>
      <c r="Q1159" s="2" t="str">
        <f>VLOOKUP(tdata[[#This Row],[id_employee]],temployee[#All],2,0)</f>
        <v>Farah Nabila</v>
      </c>
      <c r="R1159" s="2" t="str">
        <f>VLOOKUP(tdata[[#This Row],[id_employee]],temployee[#All],4,0)</f>
        <v>crowd source</v>
      </c>
      <c r="S1159" s="9" t="str">
        <f>VLOOKUP(tdata[[#This Row],[id_employee]],temployee[#All],5,0)</f>
        <v>rider</v>
      </c>
    </row>
    <row r="1160" spans="2:19" x14ac:dyDescent="0.35">
      <c r="B1160" s="8" t="s">
        <v>1179</v>
      </c>
      <c r="C1160" s="2" t="s">
        <v>1329</v>
      </c>
      <c r="D1160" s="5">
        <v>45418</v>
      </c>
      <c r="E1160" s="5">
        <v>45429</v>
      </c>
      <c r="F1160" s="2" t="s">
        <v>32</v>
      </c>
      <c r="G1160" s="2" t="s">
        <v>30</v>
      </c>
      <c r="H1160" s="2" t="s">
        <v>1224</v>
      </c>
      <c r="I1160" s="2" t="s">
        <v>17</v>
      </c>
      <c r="J1160" s="2">
        <v>0.84</v>
      </c>
      <c r="K1160" s="2" t="str">
        <f t="shared" si="48"/>
        <v>&lt; 5kg</v>
      </c>
      <c r="L1160" s="2">
        <f>tdata[[#This Row],[Received_date]]-tdata[[#This Row],[Shipment_Date]]</f>
        <v>11</v>
      </c>
      <c r="M1160" s="2">
        <f>VLOOKUP(tdata[[#This Row],[Service_Type]],Table2[#All],2,0)</f>
        <v>3</v>
      </c>
      <c r="N1160" s="2" t="str">
        <f>IF(tdata[[#This Row],[Delivery_Days]]&lt;=tdata[[#This Row],[SLA_Days]],"On Time","Late")</f>
        <v>Late</v>
      </c>
      <c r="O1160" s="2">
        <f>VLOOKUP(tdata[[#This Row],[Service_Type]],Table2[#All],4,0)</f>
        <v>10000</v>
      </c>
      <c r="P1160" s="2">
        <f>tdata[[#This Row],[price_per_kilo]]*tdata[[#This Row],[Weight_KG]]</f>
        <v>8400</v>
      </c>
      <c r="Q1160" s="2" t="str">
        <f>VLOOKUP(tdata[[#This Row],[id_employee]],temployee[#All],2,0)</f>
        <v>Galih Pratomo</v>
      </c>
      <c r="R1160" s="2" t="str">
        <f>VLOOKUP(tdata[[#This Row],[id_employee]],temployee[#All],4,0)</f>
        <v>internal</v>
      </c>
      <c r="S1160" s="9" t="str">
        <f>VLOOKUP(tdata[[#This Row],[id_employee]],temployee[#All],5,0)</f>
        <v>rider</v>
      </c>
    </row>
    <row r="1161" spans="2:19" x14ac:dyDescent="0.35">
      <c r="B1161" s="8" t="s">
        <v>1180</v>
      </c>
      <c r="C1161" s="2" t="s">
        <v>1330</v>
      </c>
      <c r="D1161" s="5">
        <v>45136</v>
      </c>
      <c r="E1161" s="5">
        <v>45136</v>
      </c>
      <c r="F1161" s="2" t="s">
        <v>16</v>
      </c>
      <c r="G1161" s="2" t="s">
        <v>11</v>
      </c>
      <c r="H1161" s="2" t="s">
        <v>1224</v>
      </c>
      <c r="I1161" s="2" t="s">
        <v>13</v>
      </c>
      <c r="J1161" s="2">
        <v>8.2799999999999994</v>
      </c>
      <c r="K1161" s="2" t="str">
        <f t="shared" si="48"/>
        <v>&gt;5kg</v>
      </c>
      <c r="L1161" s="2">
        <f>tdata[[#This Row],[Received_date]]-tdata[[#This Row],[Shipment_Date]]</f>
        <v>0</v>
      </c>
      <c r="M1161" s="2">
        <f>VLOOKUP(tdata[[#This Row],[Service_Type]],Table2[#All],2,0)</f>
        <v>3</v>
      </c>
      <c r="N1161" s="2" t="str">
        <f>IF(tdata[[#This Row],[Delivery_Days]]&lt;=tdata[[#This Row],[SLA_Days]],"On Time","Late")</f>
        <v>On Time</v>
      </c>
      <c r="O1161" s="2">
        <f>VLOOKUP(tdata[[#This Row],[Service_Type]],Table2[#All],4,0)</f>
        <v>10000</v>
      </c>
      <c r="P1161" s="2">
        <f>tdata[[#This Row],[price_per_kilo]]*tdata[[#This Row],[Weight_KG]]</f>
        <v>82800</v>
      </c>
      <c r="Q1161" s="2" t="str">
        <f>VLOOKUP(tdata[[#This Row],[id_employee]],temployee[#All],2,0)</f>
        <v>Hadi Purnomo</v>
      </c>
      <c r="R1161" s="2" t="str">
        <f>VLOOKUP(tdata[[#This Row],[id_employee]],temployee[#All],4,0)</f>
        <v>crowd source</v>
      </c>
      <c r="S1161" s="9" t="str">
        <f>VLOOKUP(tdata[[#This Row],[id_employee]],temployee[#All],5,0)</f>
        <v>driver</v>
      </c>
    </row>
    <row r="1162" spans="2:19" x14ac:dyDescent="0.35">
      <c r="B1162" s="8" t="s">
        <v>1181</v>
      </c>
      <c r="C1162" s="2" t="s">
        <v>1331</v>
      </c>
      <c r="D1162" s="5">
        <v>44986</v>
      </c>
      <c r="E1162" s="5">
        <v>44994</v>
      </c>
      <c r="F1162" s="2" t="s">
        <v>26</v>
      </c>
      <c r="G1162" s="2" t="s">
        <v>12</v>
      </c>
      <c r="H1162" s="2" t="s">
        <v>23</v>
      </c>
      <c r="I1162" s="2" t="s">
        <v>13</v>
      </c>
      <c r="J1162" s="2">
        <v>8.65</v>
      </c>
      <c r="K1162" s="2" t="str">
        <f t="shared" si="48"/>
        <v>&gt;5kg</v>
      </c>
      <c r="L1162" s="2">
        <f>tdata[[#This Row],[Received_date]]-tdata[[#This Row],[Shipment_Date]]</f>
        <v>8</v>
      </c>
      <c r="M1162" s="2">
        <f>VLOOKUP(tdata[[#This Row],[Service_Type]],Table2[#All],2,0)</f>
        <v>5</v>
      </c>
      <c r="N1162" s="2" t="str">
        <f>IF(tdata[[#This Row],[Delivery_Days]]&lt;=tdata[[#This Row],[SLA_Days]],"On Time","Late")</f>
        <v>Late</v>
      </c>
      <c r="O1162" s="2">
        <f>VLOOKUP(tdata[[#This Row],[Service_Type]],Table2[#All],4,0)</f>
        <v>9000</v>
      </c>
      <c r="P1162" s="2">
        <f>tdata[[#This Row],[price_per_kilo]]*tdata[[#This Row],[Weight_KG]]</f>
        <v>77850</v>
      </c>
      <c r="Q1162" s="2" t="str">
        <f>VLOOKUP(tdata[[#This Row],[id_employee]],temployee[#All],2,0)</f>
        <v>Ika Lestari</v>
      </c>
      <c r="R1162" s="2" t="str">
        <f>VLOOKUP(tdata[[#This Row],[id_employee]],temployee[#All],4,0)</f>
        <v>internal</v>
      </c>
      <c r="S1162" s="9" t="str">
        <f>VLOOKUP(tdata[[#This Row],[id_employee]],temployee[#All],5,0)</f>
        <v>rider</v>
      </c>
    </row>
    <row r="1163" spans="2:19" x14ac:dyDescent="0.35">
      <c r="B1163" s="8" t="s">
        <v>1182</v>
      </c>
      <c r="C1163" s="2" t="s">
        <v>1332</v>
      </c>
      <c r="D1163" s="5">
        <v>45569</v>
      </c>
      <c r="E1163" s="5">
        <v>45570</v>
      </c>
      <c r="F1163" s="2" t="s">
        <v>49</v>
      </c>
      <c r="G1163" s="2" t="s">
        <v>15</v>
      </c>
      <c r="H1163" s="2" t="s">
        <v>1223</v>
      </c>
      <c r="I1163" s="2" t="s">
        <v>17</v>
      </c>
      <c r="J1163" s="2">
        <v>4.4800000000000004</v>
      </c>
      <c r="K1163" s="2" t="str">
        <f t="shared" si="48"/>
        <v>&lt; 5kg</v>
      </c>
      <c r="L1163" s="2">
        <f>tdata[[#This Row],[Received_date]]-tdata[[#This Row],[Shipment_Date]]</f>
        <v>1</v>
      </c>
      <c r="M1163" s="2">
        <f>VLOOKUP(tdata[[#This Row],[Service_Type]],Table2[#All],2,0)</f>
        <v>1</v>
      </c>
      <c r="N1163" s="2" t="str">
        <f>IF(tdata[[#This Row],[Delivery_Days]]&lt;=tdata[[#This Row],[SLA_Days]],"On Time","Late")</f>
        <v>On Time</v>
      </c>
      <c r="O1163" s="2">
        <f>VLOOKUP(tdata[[#This Row],[Service_Type]],Table2[#All],4,0)</f>
        <v>12000</v>
      </c>
      <c r="P1163" s="2">
        <f>tdata[[#This Row],[price_per_kilo]]*tdata[[#This Row],[Weight_KG]]</f>
        <v>53760.000000000007</v>
      </c>
      <c r="Q1163" s="2" t="str">
        <f>VLOOKUP(tdata[[#This Row],[id_employee]],temployee[#All],2,0)</f>
        <v>Jamil Akbar</v>
      </c>
      <c r="R1163" s="2" t="str">
        <f>VLOOKUP(tdata[[#This Row],[id_employee]],temployee[#All],4,0)</f>
        <v>internal</v>
      </c>
      <c r="S1163" s="9" t="str">
        <f>VLOOKUP(tdata[[#This Row],[id_employee]],temployee[#All],5,0)</f>
        <v>driver</v>
      </c>
    </row>
    <row r="1164" spans="2:19" x14ac:dyDescent="0.35">
      <c r="B1164" s="8" t="s">
        <v>1183</v>
      </c>
      <c r="C1164" s="2" t="s">
        <v>1333</v>
      </c>
      <c r="D1164" s="5">
        <v>45214</v>
      </c>
      <c r="E1164" s="5">
        <f>D1164+4</f>
        <v>45218</v>
      </c>
      <c r="F1164" s="2" t="s">
        <v>11</v>
      </c>
      <c r="G1164" s="2" t="s">
        <v>26</v>
      </c>
      <c r="H1164" s="2" t="s">
        <v>23</v>
      </c>
      <c r="I1164" s="2" t="s">
        <v>13</v>
      </c>
      <c r="J1164" s="2">
        <v>8.36</v>
      </c>
      <c r="K1164" s="2" t="str">
        <f t="shared" si="48"/>
        <v>&gt;5kg</v>
      </c>
      <c r="L1164" s="2">
        <f>tdata[[#This Row],[Received_date]]-tdata[[#This Row],[Shipment_Date]]</f>
        <v>4</v>
      </c>
      <c r="M1164" s="2">
        <f>VLOOKUP(tdata[[#This Row],[Service_Type]],Table2[#All],2,0)</f>
        <v>5</v>
      </c>
      <c r="N1164" s="2" t="str">
        <f>IF(tdata[[#This Row],[Delivery_Days]]&lt;=tdata[[#This Row],[SLA_Days]],"On Time","Late")</f>
        <v>On Time</v>
      </c>
      <c r="O1164" s="2">
        <f>VLOOKUP(tdata[[#This Row],[Service_Type]],Table2[#All],4,0)</f>
        <v>9000</v>
      </c>
      <c r="P1164" s="2">
        <f>tdata[[#This Row],[price_per_kilo]]*tdata[[#This Row],[Weight_KG]]</f>
        <v>75240</v>
      </c>
      <c r="Q1164" s="2" t="str">
        <f>VLOOKUP(tdata[[#This Row],[id_employee]],temployee[#All],2,0)</f>
        <v>Kevin Sanjaya</v>
      </c>
      <c r="R1164" s="2" t="str">
        <f>VLOOKUP(tdata[[#This Row],[id_employee]],temployee[#All],4,0)</f>
        <v>crowd source</v>
      </c>
      <c r="S1164" s="9" t="str">
        <f>VLOOKUP(tdata[[#This Row],[id_employee]],temployee[#All],5,0)</f>
        <v>rider</v>
      </c>
    </row>
    <row r="1165" spans="2:19" x14ac:dyDescent="0.35">
      <c r="B1165" s="8" t="s">
        <v>1184</v>
      </c>
      <c r="C1165" s="2" t="s">
        <v>1334</v>
      </c>
      <c r="D1165" s="5">
        <v>45589</v>
      </c>
      <c r="E1165" s="5">
        <v>45600</v>
      </c>
      <c r="F1165" s="2" t="s">
        <v>15</v>
      </c>
      <c r="G1165" s="2" t="s">
        <v>12</v>
      </c>
      <c r="H1165" s="2" t="s">
        <v>23</v>
      </c>
      <c r="I1165" s="2" t="s">
        <v>17</v>
      </c>
      <c r="J1165" s="2">
        <v>7.24</v>
      </c>
      <c r="K1165" s="2" t="str">
        <f t="shared" si="48"/>
        <v>&gt;5kg</v>
      </c>
      <c r="L1165" s="2">
        <f>tdata[[#This Row],[Received_date]]-tdata[[#This Row],[Shipment_Date]]</f>
        <v>11</v>
      </c>
      <c r="M1165" s="2">
        <f>VLOOKUP(tdata[[#This Row],[Service_Type]],Table2[#All],2,0)</f>
        <v>5</v>
      </c>
      <c r="N1165" s="2" t="str">
        <f>IF(tdata[[#This Row],[Delivery_Days]]&lt;=tdata[[#This Row],[SLA_Days]],"On Time","Late")</f>
        <v>Late</v>
      </c>
      <c r="O1165" s="2">
        <f>VLOOKUP(tdata[[#This Row],[Service_Type]],Table2[#All],4,0)</f>
        <v>9000</v>
      </c>
      <c r="P1165" s="2">
        <f>tdata[[#This Row],[price_per_kilo]]*tdata[[#This Row],[Weight_KG]]</f>
        <v>65160</v>
      </c>
      <c r="Q1165" s="2" t="str">
        <f>VLOOKUP(tdata[[#This Row],[id_employee]],temployee[#All],2,0)</f>
        <v>Laila Nuraini</v>
      </c>
      <c r="R1165" s="2" t="str">
        <f>VLOOKUP(tdata[[#This Row],[id_employee]],temployee[#All],4,0)</f>
        <v>internal</v>
      </c>
      <c r="S1165" s="9" t="str">
        <f>VLOOKUP(tdata[[#This Row],[id_employee]],temployee[#All],5,0)</f>
        <v>rider</v>
      </c>
    </row>
    <row r="1166" spans="2:19" x14ac:dyDescent="0.35">
      <c r="B1166" s="8" t="s">
        <v>1185</v>
      </c>
      <c r="C1166" s="2" t="s">
        <v>1335</v>
      </c>
      <c r="D1166" s="5">
        <v>44969</v>
      </c>
      <c r="E1166" s="5">
        <v>44969</v>
      </c>
      <c r="F1166" s="2" t="s">
        <v>20</v>
      </c>
      <c r="G1166" s="2" t="s">
        <v>16</v>
      </c>
      <c r="H1166" s="2" t="s">
        <v>23</v>
      </c>
      <c r="I1166" s="2" t="s">
        <v>13</v>
      </c>
      <c r="J1166" s="2">
        <v>6.01</v>
      </c>
      <c r="K1166" s="2" t="str">
        <f t="shared" si="48"/>
        <v>&gt;5kg</v>
      </c>
      <c r="L1166" s="2">
        <f>tdata[[#This Row],[Received_date]]-tdata[[#This Row],[Shipment_Date]]</f>
        <v>0</v>
      </c>
      <c r="M1166" s="2">
        <f>VLOOKUP(tdata[[#This Row],[Service_Type]],Table2[#All],2,0)</f>
        <v>5</v>
      </c>
      <c r="N1166" s="2" t="str">
        <f>IF(tdata[[#This Row],[Delivery_Days]]&lt;=tdata[[#This Row],[SLA_Days]],"On Time","Late")</f>
        <v>On Time</v>
      </c>
      <c r="O1166" s="2">
        <f>VLOOKUP(tdata[[#This Row],[Service_Type]],Table2[#All],4,0)</f>
        <v>9000</v>
      </c>
      <c r="P1166" s="2">
        <f>tdata[[#This Row],[price_per_kilo]]*tdata[[#This Row],[Weight_KG]]</f>
        <v>54090</v>
      </c>
      <c r="Q1166" s="2" t="str">
        <f>VLOOKUP(tdata[[#This Row],[id_employee]],temployee[#All],2,0)</f>
        <v>Miko Setiawan</v>
      </c>
      <c r="R1166" s="2" t="str">
        <f>VLOOKUP(tdata[[#This Row],[id_employee]],temployee[#All],4,0)</f>
        <v>crowd source</v>
      </c>
      <c r="S1166" s="9" t="str">
        <f>VLOOKUP(tdata[[#This Row],[id_employee]],temployee[#All],5,0)</f>
        <v>driver</v>
      </c>
    </row>
    <row r="1167" spans="2:19" x14ac:dyDescent="0.35">
      <c r="B1167" s="8" t="s">
        <v>1186</v>
      </c>
      <c r="C1167" s="2" t="s">
        <v>1336</v>
      </c>
      <c r="D1167" s="5">
        <v>45249</v>
      </c>
      <c r="E1167" s="5">
        <f>D1167+4</f>
        <v>45253</v>
      </c>
      <c r="F1167" s="2" t="s">
        <v>22</v>
      </c>
      <c r="G1167" s="2" t="s">
        <v>12</v>
      </c>
      <c r="H1167" s="2" t="s">
        <v>1224</v>
      </c>
      <c r="I1167" s="2" t="s">
        <v>17</v>
      </c>
      <c r="J1167" s="2">
        <v>6.65</v>
      </c>
      <c r="K1167" s="2" t="str">
        <f t="shared" si="48"/>
        <v>&gt;5kg</v>
      </c>
      <c r="L1167" s="2">
        <f>tdata[[#This Row],[Received_date]]-tdata[[#This Row],[Shipment_Date]]</f>
        <v>4</v>
      </c>
      <c r="M1167" s="2">
        <f>VLOOKUP(tdata[[#This Row],[Service_Type]],Table2[#All],2,0)</f>
        <v>3</v>
      </c>
      <c r="N1167" s="2" t="str">
        <f>IF(tdata[[#This Row],[Delivery_Days]]&lt;=tdata[[#This Row],[SLA_Days]],"On Time","Late")</f>
        <v>Late</v>
      </c>
      <c r="O1167" s="2">
        <f>VLOOKUP(tdata[[#This Row],[Service_Type]],Table2[#All],4,0)</f>
        <v>10000</v>
      </c>
      <c r="P1167" s="2">
        <f>tdata[[#This Row],[price_per_kilo]]*tdata[[#This Row],[Weight_KG]]</f>
        <v>66500</v>
      </c>
      <c r="Q1167" s="2" t="str">
        <f>VLOOKUP(tdata[[#This Row],[id_employee]],temployee[#All],2,0)</f>
        <v>Nisa Aulia</v>
      </c>
      <c r="R1167" s="2" t="str">
        <f>VLOOKUP(tdata[[#This Row],[id_employee]],temployee[#All],4,0)</f>
        <v>internal</v>
      </c>
      <c r="S1167" s="9" t="str">
        <f>VLOOKUP(tdata[[#This Row],[id_employee]],temployee[#All],5,0)</f>
        <v>rider</v>
      </c>
    </row>
    <row r="1168" spans="2:19" x14ac:dyDescent="0.35">
      <c r="B1168" s="8" t="s">
        <v>1187</v>
      </c>
      <c r="C1168" s="2" t="s">
        <v>1337</v>
      </c>
      <c r="D1168" s="5">
        <v>45085</v>
      </c>
      <c r="E1168" s="5">
        <v>45085</v>
      </c>
      <c r="F1168" s="2" t="s">
        <v>12</v>
      </c>
      <c r="G1168" s="2" t="s">
        <v>11</v>
      </c>
      <c r="H1168" s="2" t="s">
        <v>1224</v>
      </c>
      <c r="I1168" s="2" t="s">
        <v>17</v>
      </c>
      <c r="J1168" s="2">
        <v>7.71</v>
      </c>
      <c r="K1168" s="2" t="str">
        <f t="shared" si="48"/>
        <v>&gt;5kg</v>
      </c>
      <c r="L1168" s="2">
        <f>tdata[[#This Row],[Received_date]]-tdata[[#This Row],[Shipment_Date]]</f>
        <v>0</v>
      </c>
      <c r="M1168" s="2">
        <f>VLOOKUP(tdata[[#This Row],[Service_Type]],Table2[#All],2,0)</f>
        <v>3</v>
      </c>
      <c r="N1168" s="2" t="str">
        <f>IF(tdata[[#This Row],[Delivery_Days]]&lt;=tdata[[#This Row],[SLA_Days]],"On Time","Late")</f>
        <v>On Time</v>
      </c>
      <c r="O1168" s="2">
        <f>VLOOKUP(tdata[[#This Row],[Service_Type]],Table2[#All],4,0)</f>
        <v>10000</v>
      </c>
      <c r="P1168" s="2">
        <f>tdata[[#This Row],[price_per_kilo]]*tdata[[#This Row],[Weight_KG]]</f>
        <v>77100</v>
      </c>
      <c r="Q1168" s="2" t="str">
        <f>VLOOKUP(tdata[[#This Row],[id_employee]],temployee[#All],2,0)</f>
        <v>Oki Pramono</v>
      </c>
      <c r="R1168" s="2" t="str">
        <f>VLOOKUP(tdata[[#This Row],[id_employee]],temployee[#All],4,0)</f>
        <v>internal</v>
      </c>
      <c r="S1168" s="9" t="str">
        <f>VLOOKUP(tdata[[#This Row],[id_employee]],temployee[#All],5,0)</f>
        <v>driver</v>
      </c>
    </row>
    <row r="1169" spans="2:19" x14ac:dyDescent="0.35">
      <c r="B1169" s="8" t="s">
        <v>1188</v>
      </c>
      <c r="C1169" s="2" t="s">
        <v>1338</v>
      </c>
      <c r="D1169" s="5">
        <v>45252</v>
      </c>
      <c r="E1169" s="5">
        <v>45254</v>
      </c>
      <c r="F1169" s="2" t="s">
        <v>30</v>
      </c>
      <c r="G1169" s="2" t="s">
        <v>26</v>
      </c>
      <c r="H1169" s="2" t="s">
        <v>23</v>
      </c>
      <c r="I1169" s="2" t="s">
        <v>13</v>
      </c>
      <c r="J1169" s="2">
        <v>4.87</v>
      </c>
      <c r="K1169" s="2" t="str">
        <f t="shared" si="48"/>
        <v>&lt; 5kg</v>
      </c>
      <c r="L1169" s="2">
        <f>tdata[[#This Row],[Received_date]]-tdata[[#This Row],[Shipment_Date]]</f>
        <v>2</v>
      </c>
      <c r="M1169" s="2">
        <f>VLOOKUP(tdata[[#This Row],[Service_Type]],Table2[#All],2,0)</f>
        <v>5</v>
      </c>
      <c r="N1169" s="2" t="str">
        <f>IF(tdata[[#This Row],[Delivery_Days]]&lt;=tdata[[#This Row],[SLA_Days]],"On Time","Late")</f>
        <v>On Time</v>
      </c>
      <c r="O1169" s="2">
        <f>VLOOKUP(tdata[[#This Row],[Service_Type]],Table2[#All],4,0)</f>
        <v>9000</v>
      </c>
      <c r="P1169" s="2">
        <f>tdata[[#This Row],[price_per_kilo]]*tdata[[#This Row],[Weight_KG]]</f>
        <v>43830</v>
      </c>
      <c r="Q1169" s="2" t="str">
        <f>VLOOKUP(tdata[[#This Row],[id_employee]],temployee[#All],2,0)</f>
        <v>Putra Mahendra</v>
      </c>
      <c r="R1169" s="2" t="str">
        <f>VLOOKUP(tdata[[#This Row],[id_employee]],temployee[#All],4,0)</f>
        <v>crowd source</v>
      </c>
      <c r="S1169" s="9" t="str">
        <f>VLOOKUP(tdata[[#This Row],[id_employee]],temployee[#All],5,0)</f>
        <v>rider</v>
      </c>
    </row>
    <row r="1170" spans="2:19" x14ac:dyDescent="0.35">
      <c r="B1170" s="8" t="s">
        <v>1189</v>
      </c>
      <c r="C1170" s="2" t="s">
        <v>1339</v>
      </c>
      <c r="D1170" s="5">
        <v>45402</v>
      </c>
      <c r="E1170" s="5">
        <f>D1170+4</f>
        <v>45406</v>
      </c>
      <c r="F1170" s="2" t="s">
        <v>32</v>
      </c>
      <c r="G1170" s="2" t="s">
        <v>16</v>
      </c>
      <c r="H1170" s="2" t="s">
        <v>1223</v>
      </c>
      <c r="I1170" s="2" t="s">
        <v>13</v>
      </c>
      <c r="J1170" s="2">
        <v>9.08</v>
      </c>
      <c r="K1170" s="2" t="str">
        <f t="shared" si="48"/>
        <v>&gt;5kg</v>
      </c>
      <c r="L1170" s="2">
        <f>tdata[[#This Row],[Received_date]]-tdata[[#This Row],[Shipment_Date]]</f>
        <v>4</v>
      </c>
      <c r="M1170" s="2">
        <f>VLOOKUP(tdata[[#This Row],[Service_Type]],Table2[#All],2,0)</f>
        <v>1</v>
      </c>
      <c r="N1170" s="2" t="str">
        <f>IF(tdata[[#This Row],[Delivery_Days]]&lt;=tdata[[#This Row],[SLA_Days]],"On Time","Late")</f>
        <v>Late</v>
      </c>
      <c r="O1170" s="2">
        <f>VLOOKUP(tdata[[#This Row],[Service_Type]],Table2[#All],4,0)</f>
        <v>12000</v>
      </c>
      <c r="P1170" s="2">
        <f>tdata[[#This Row],[price_per_kilo]]*tdata[[#This Row],[Weight_KG]]</f>
        <v>108960</v>
      </c>
      <c r="Q1170" s="2" t="str">
        <f>VLOOKUP(tdata[[#This Row],[id_employee]],temployee[#All],2,0)</f>
        <v>Qolbi Ramadhani</v>
      </c>
      <c r="R1170" s="2" t="str">
        <f>VLOOKUP(tdata[[#This Row],[id_employee]],temployee[#All],4,0)</f>
        <v>internal</v>
      </c>
      <c r="S1170" s="9" t="str">
        <f>VLOOKUP(tdata[[#This Row],[id_employee]],temployee[#All],5,0)</f>
        <v>rider</v>
      </c>
    </row>
    <row r="1171" spans="2:19" x14ac:dyDescent="0.35">
      <c r="B1171" s="8" t="s">
        <v>1190</v>
      </c>
      <c r="C1171" s="2" t="s">
        <v>1340</v>
      </c>
      <c r="D1171" s="5">
        <v>45553</v>
      </c>
      <c r="E1171" s="5">
        <v>45555</v>
      </c>
      <c r="F1171" s="2" t="s">
        <v>16</v>
      </c>
      <c r="G1171" s="2" t="s">
        <v>15</v>
      </c>
      <c r="H1171" s="2" t="s">
        <v>1224</v>
      </c>
      <c r="I1171" s="2" t="s">
        <v>13</v>
      </c>
      <c r="J1171" s="2">
        <v>6.24</v>
      </c>
      <c r="K1171" s="2" t="str">
        <f t="shared" si="48"/>
        <v>&gt;5kg</v>
      </c>
      <c r="L1171" s="2">
        <f>tdata[[#This Row],[Received_date]]-tdata[[#This Row],[Shipment_Date]]</f>
        <v>2</v>
      </c>
      <c r="M1171" s="2">
        <f>VLOOKUP(tdata[[#This Row],[Service_Type]],Table2[#All],2,0)</f>
        <v>3</v>
      </c>
      <c r="N1171" s="2" t="str">
        <f>IF(tdata[[#This Row],[Delivery_Days]]&lt;=tdata[[#This Row],[SLA_Days]],"On Time","Late")</f>
        <v>On Time</v>
      </c>
      <c r="O1171" s="2">
        <f>VLOOKUP(tdata[[#This Row],[Service_Type]],Table2[#All],4,0)</f>
        <v>10000</v>
      </c>
      <c r="P1171" s="2">
        <f>tdata[[#This Row],[price_per_kilo]]*tdata[[#This Row],[Weight_KG]]</f>
        <v>62400</v>
      </c>
      <c r="Q1171" s="2" t="str">
        <f>VLOOKUP(tdata[[#This Row],[id_employee]],temployee[#All],2,0)</f>
        <v>Reza Firmansyah</v>
      </c>
      <c r="R1171" s="2" t="str">
        <f>VLOOKUP(tdata[[#This Row],[id_employee]],temployee[#All],4,0)</f>
        <v>crowd source</v>
      </c>
      <c r="S1171" s="9" t="str">
        <f>VLOOKUP(tdata[[#This Row],[id_employee]],temployee[#All],5,0)</f>
        <v>driver</v>
      </c>
    </row>
    <row r="1172" spans="2:19" x14ac:dyDescent="0.35">
      <c r="B1172" s="8" t="s">
        <v>1191</v>
      </c>
      <c r="C1172" s="2" t="s">
        <v>1341</v>
      </c>
      <c r="D1172" s="5">
        <v>45155</v>
      </c>
      <c r="E1172" s="5">
        <f>D1172+4</f>
        <v>45159</v>
      </c>
      <c r="F1172" s="2" t="s">
        <v>26</v>
      </c>
      <c r="G1172" s="2" t="s">
        <v>26</v>
      </c>
      <c r="H1172" s="2" t="s">
        <v>1224</v>
      </c>
      <c r="I1172" s="2" t="s">
        <v>17</v>
      </c>
      <c r="J1172" s="2">
        <v>7.69</v>
      </c>
      <c r="K1172" s="2" t="str">
        <f t="shared" si="48"/>
        <v>&gt;5kg</v>
      </c>
      <c r="L1172" s="2">
        <f>tdata[[#This Row],[Received_date]]-tdata[[#This Row],[Shipment_Date]]</f>
        <v>4</v>
      </c>
      <c r="M1172" s="2">
        <f>VLOOKUP(tdata[[#This Row],[Service_Type]],Table2[#All],2,0)</f>
        <v>3</v>
      </c>
      <c r="N1172" s="2" t="str">
        <f>IF(tdata[[#This Row],[Delivery_Days]]&lt;=tdata[[#This Row],[SLA_Days]],"On Time","Late")</f>
        <v>Late</v>
      </c>
      <c r="O1172" s="2">
        <f>VLOOKUP(tdata[[#This Row],[Service_Type]],Table2[#All],4,0)</f>
        <v>10000</v>
      </c>
      <c r="P1172" s="2">
        <f>tdata[[#This Row],[price_per_kilo]]*tdata[[#This Row],[Weight_KG]]</f>
        <v>76900</v>
      </c>
      <c r="Q1172" s="2" t="str">
        <f>VLOOKUP(tdata[[#This Row],[id_employee]],temployee[#All],2,0)</f>
        <v>Siska Amelia</v>
      </c>
      <c r="R1172" s="2" t="str">
        <f>VLOOKUP(tdata[[#This Row],[id_employee]],temployee[#All],4,0)</f>
        <v>internal</v>
      </c>
      <c r="S1172" s="9" t="str">
        <f>VLOOKUP(tdata[[#This Row],[id_employee]],temployee[#All],5,0)</f>
        <v>rider</v>
      </c>
    </row>
    <row r="1173" spans="2:19" x14ac:dyDescent="0.35">
      <c r="B1173" s="8" t="s">
        <v>1192</v>
      </c>
      <c r="C1173" s="2" t="s">
        <v>1342</v>
      </c>
      <c r="D1173" s="5">
        <v>45124</v>
      </c>
      <c r="E1173" s="5">
        <v>45124</v>
      </c>
      <c r="F1173" s="2" t="s">
        <v>49</v>
      </c>
      <c r="G1173" s="2" t="s">
        <v>11</v>
      </c>
      <c r="H1173" s="2" t="s">
        <v>1224</v>
      </c>
      <c r="I1173" s="2" t="s">
        <v>17</v>
      </c>
      <c r="J1173" s="2">
        <v>4.0999999999999996</v>
      </c>
      <c r="K1173" s="2" t="str">
        <f t="shared" si="48"/>
        <v>&lt; 5kg</v>
      </c>
      <c r="L1173" s="2">
        <f>tdata[[#This Row],[Received_date]]-tdata[[#This Row],[Shipment_Date]]</f>
        <v>0</v>
      </c>
      <c r="M1173" s="2">
        <f>VLOOKUP(tdata[[#This Row],[Service_Type]],Table2[#All],2,0)</f>
        <v>3</v>
      </c>
      <c r="N1173" s="2" t="str">
        <f>IF(tdata[[#This Row],[Delivery_Days]]&lt;=tdata[[#This Row],[SLA_Days]],"On Time","Late")</f>
        <v>On Time</v>
      </c>
      <c r="O1173" s="2">
        <f>VLOOKUP(tdata[[#This Row],[Service_Type]],Table2[#All],4,0)</f>
        <v>10000</v>
      </c>
      <c r="P1173" s="2">
        <f>tdata[[#This Row],[price_per_kilo]]*tdata[[#This Row],[Weight_KG]]</f>
        <v>41000</v>
      </c>
      <c r="Q1173" s="2" t="str">
        <f>VLOOKUP(tdata[[#This Row],[id_employee]],temployee[#All],2,0)</f>
        <v>Tri Wibowo</v>
      </c>
      <c r="R1173" s="2" t="str">
        <f>VLOOKUP(tdata[[#This Row],[id_employee]],temployee[#All],4,0)</f>
        <v>internal</v>
      </c>
      <c r="S1173" s="9" t="str">
        <f>VLOOKUP(tdata[[#This Row],[id_employee]],temployee[#All],5,0)</f>
        <v>driver</v>
      </c>
    </row>
    <row r="1174" spans="2:19" x14ac:dyDescent="0.35">
      <c r="B1174" s="8" t="s">
        <v>1193</v>
      </c>
      <c r="C1174" s="2" t="s">
        <v>1343</v>
      </c>
      <c r="D1174" s="5">
        <v>45428</v>
      </c>
      <c r="E1174" s="5">
        <v>45428</v>
      </c>
      <c r="F1174" s="2" t="s">
        <v>11</v>
      </c>
      <c r="G1174" s="2" t="s">
        <v>15</v>
      </c>
      <c r="H1174" s="2" t="s">
        <v>1224</v>
      </c>
      <c r="I1174" s="2" t="s">
        <v>17</v>
      </c>
      <c r="J1174" s="2">
        <v>1.05</v>
      </c>
      <c r="K1174" s="2" t="str">
        <f t="shared" si="48"/>
        <v>&lt; 5kg</v>
      </c>
      <c r="L1174" s="2">
        <f>tdata[[#This Row],[Received_date]]-tdata[[#This Row],[Shipment_Date]]</f>
        <v>0</v>
      </c>
      <c r="M1174" s="2">
        <f>VLOOKUP(tdata[[#This Row],[Service_Type]],Table2[#All],2,0)</f>
        <v>3</v>
      </c>
      <c r="N1174" s="2" t="str">
        <f>IF(tdata[[#This Row],[Delivery_Days]]&lt;=tdata[[#This Row],[SLA_Days]],"On Time","Late")</f>
        <v>On Time</v>
      </c>
      <c r="O1174" s="2">
        <f>VLOOKUP(tdata[[#This Row],[Service_Type]],Table2[#All],4,0)</f>
        <v>10000</v>
      </c>
      <c r="P1174" s="2">
        <f>tdata[[#This Row],[price_per_kilo]]*tdata[[#This Row],[Weight_KG]]</f>
        <v>10500</v>
      </c>
      <c r="Q1174" s="2" t="str">
        <f>VLOOKUP(tdata[[#This Row],[id_employee]],temployee[#All],2,0)</f>
        <v>Ubay Prakoso</v>
      </c>
      <c r="R1174" s="2" t="str">
        <f>VLOOKUP(tdata[[#This Row],[id_employee]],temployee[#All],4,0)</f>
        <v>crowd source</v>
      </c>
      <c r="S1174" s="9" t="str">
        <f>VLOOKUP(tdata[[#This Row],[id_employee]],temployee[#All],5,0)</f>
        <v>rider</v>
      </c>
    </row>
    <row r="1175" spans="2:19" x14ac:dyDescent="0.35">
      <c r="B1175" s="8" t="s">
        <v>1194</v>
      </c>
      <c r="C1175" s="2" t="s">
        <v>1344</v>
      </c>
      <c r="D1175" s="5">
        <v>45656</v>
      </c>
      <c r="E1175" s="5">
        <v>45656</v>
      </c>
      <c r="F1175" s="2" t="s">
        <v>15</v>
      </c>
      <c r="G1175" s="2" t="s">
        <v>22</v>
      </c>
      <c r="H1175" s="2" t="s">
        <v>1224</v>
      </c>
      <c r="I1175" s="2" t="s">
        <v>17</v>
      </c>
      <c r="J1175" s="2">
        <v>1.29</v>
      </c>
      <c r="K1175" s="2" t="str">
        <f t="shared" si="48"/>
        <v>&lt; 5kg</v>
      </c>
      <c r="L1175" s="2">
        <f>tdata[[#This Row],[Received_date]]-tdata[[#This Row],[Shipment_Date]]</f>
        <v>0</v>
      </c>
      <c r="M1175" s="2">
        <f>VLOOKUP(tdata[[#This Row],[Service_Type]],Table2[#All],2,0)</f>
        <v>3</v>
      </c>
      <c r="N1175" s="2" t="str">
        <f>IF(tdata[[#This Row],[Delivery_Days]]&lt;=tdata[[#This Row],[SLA_Days]],"On Time","Late")</f>
        <v>On Time</v>
      </c>
      <c r="O1175" s="2">
        <f>VLOOKUP(tdata[[#This Row],[Service_Type]],Table2[#All],4,0)</f>
        <v>10000</v>
      </c>
      <c r="P1175" s="2">
        <f>tdata[[#This Row],[price_per_kilo]]*tdata[[#This Row],[Weight_KG]]</f>
        <v>12900</v>
      </c>
      <c r="Q1175" s="2" t="str">
        <f>VLOOKUP(tdata[[#This Row],[id_employee]],temployee[#All],2,0)</f>
        <v>Vania Putri</v>
      </c>
      <c r="R1175" s="2" t="str">
        <f>VLOOKUP(tdata[[#This Row],[id_employee]],temployee[#All],4,0)</f>
        <v>internal</v>
      </c>
      <c r="S1175" s="9" t="str">
        <f>VLOOKUP(tdata[[#This Row],[id_employee]],temployee[#All],5,0)</f>
        <v>rider</v>
      </c>
    </row>
    <row r="1176" spans="2:19" x14ac:dyDescent="0.35">
      <c r="B1176" s="8" t="s">
        <v>1195</v>
      </c>
      <c r="C1176" s="2" t="s">
        <v>1345</v>
      </c>
      <c r="D1176" s="5">
        <v>45584</v>
      </c>
      <c r="E1176" s="5">
        <v>45584</v>
      </c>
      <c r="F1176" s="2" t="s">
        <v>20</v>
      </c>
      <c r="G1176" s="2" t="s">
        <v>11</v>
      </c>
      <c r="H1176" s="2" t="s">
        <v>1224</v>
      </c>
      <c r="I1176" s="2" t="s">
        <v>17</v>
      </c>
      <c r="J1176" s="2">
        <v>6.34</v>
      </c>
      <c r="K1176" s="2" t="str">
        <f t="shared" si="48"/>
        <v>&gt;5kg</v>
      </c>
      <c r="L1176" s="2">
        <f>tdata[[#This Row],[Received_date]]-tdata[[#This Row],[Shipment_Date]]</f>
        <v>0</v>
      </c>
      <c r="M1176" s="2">
        <f>VLOOKUP(tdata[[#This Row],[Service_Type]],Table2[#All],2,0)</f>
        <v>3</v>
      </c>
      <c r="N1176" s="2" t="str">
        <f>IF(tdata[[#This Row],[Delivery_Days]]&lt;=tdata[[#This Row],[SLA_Days]],"On Time","Late")</f>
        <v>On Time</v>
      </c>
      <c r="O1176" s="2">
        <f>VLOOKUP(tdata[[#This Row],[Service_Type]],Table2[#All],4,0)</f>
        <v>10000</v>
      </c>
      <c r="P1176" s="2">
        <f>tdata[[#This Row],[price_per_kilo]]*tdata[[#This Row],[Weight_KG]]</f>
        <v>63400</v>
      </c>
      <c r="Q1176" s="2" t="str">
        <f>VLOOKUP(tdata[[#This Row],[id_employee]],temployee[#All],2,0)</f>
        <v>Wira Nugraha</v>
      </c>
      <c r="R1176" s="2" t="str">
        <f>VLOOKUP(tdata[[#This Row],[id_employee]],temployee[#All],4,0)</f>
        <v>internal</v>
      </c>
      <c r="S1176" s="9" t="str">
        <f>VLOOKUP(tdata[[#This Row],[id_employee]],temployee[#All],5,0)</f>
        <v>driver</v>
      </c>
    </row>
    <row r="1177" spans="2:19" x14ac:dyDescent="0.35">
      <c r="B1177" s="8" t="s">
        <v>1196</v>
      </c>
      <c r="C1177" s="2" t="s">
        <v>1346</v>
      </c>
      <c r="D1177" s="5">
        <v>45253</v>
      </c>
      <c r="E1177" s="5">
        <v>45255</v>
      </c>
      <c r="F1177" s="2" t="s">
        <v>22</v>
      </c>
      <c r="G1177" s="2" t="s">
        <v>26</v>
      </c>
      <c r="H1177" s="2" t="s">
        <v>1224</v>
      </c>
      <c r="I1177" s="2" t="s">
        <v>17</v>
      </c>
      <c r="J1177" s="2">
        <v>5.6</v>
      </c>
      <c r="K1177" s="2" t="str">
        <f t="shared" si="48"/>
        <v>&gt;5kg</v>
      </c>
      <c r="L1177" s="2">
        <f>tdata[[#This Row],[Received_date]]-tdata[[#This Row],[Shipment_Date]]</f>
        <v>2</v>
      </c>
      <c r="M1177" s="2">
        <f>VLOOKUP(tdata[[#This Row],[Service_Type]],Table2[#All],2,0)</f>
        <v>3</v>
      </c>
      <c r="N1177" s="2" t="str">
        <f>IF(tdata[[#This Row],[Delivery_Days]]&lt;=tdata[[#This Row],[SLA_Days]],"On Time","Late")</f>
        <v>On Time</v>
      </c>
      <c r="O1177" s="2">
        <f>VLOOKUP(tdata[[#This Row],[Service_Type]],Table2[#All],4,0)</f>
        <v>10000</v>
      </c>
      <c r="P1177" s="2">
        <f>tdata[[#This Row],[price_per_kilo]]*tdata[[#This Row],[Weight_KG]]</f>
        <v>56000</v>
      </c>
      <c r="Q1177" s="2" t="str">
        <f>VLOOKUP(tdata[[#This Row],[id_employee]],temployee[#All],2,0)</f>
        <v>Xaverius Adi</v>
      </c>
      <c r="R1177" s="2" t="str">
        <f>VLOOKUP(tdata[[#This Row],[id_employee]],temployee[#All],4,0)</f>
        <v>crowd source</v>
      </c>
      <c r="S1177" s="9" t="str">
        <f>VLOOKUP(tdata[[#This Row],[id_employee]],temployee[#All],5,0)</f>
        <v>driver</v>
      </c>
    </row>
    <row r="1178" spans="2:19" x14ac:dyDescent="0.35">
      <c r="B1178" s="8" t="s">
        <v>1197</v>
      </c>
      <c r="C1178" s="2" t="s">
        <v>1347</v>
      </c>
      <c r="D1178" s="5">
        <v>45301</v>
      </c>
      <c r="E1178" s="5">
        <v>45302</v>
      </c>
      <c r="F1178" s="2" t="s">
        <v>12</v>
      </c>
      <c r="G1178" s="2" t="s">
        <v>12</v>
      </c>
      <c r="H1178" s="2" t="s">
        <v>23</v>
      </c>
      <c r="I1178" s="2" t="s">
        <v>17</v>
      </c>
      <c r="J1178" s="2">
        <v>0.91</v>
      </c>
      <c r="K1178" s="2" t="str">
        <f t="shared" si="48"/>
        <v>&lt; 5kg</v>
      </c>
      <c r="L1178" s="2">
        <f>tdata[[#This Row],[Received_date]]-tdata[[#This Row],[Shipment_Date]]</f>
        <v>1</v>
      </c>
      <c r="M1178" s="2">
        <f>VLOOKUP(tdata[[#This Row],[Service_Type]],Table2[#All],2,0)</f>
        <v>5</v>
      </c>
      <c r="N1178" s="2" t="str">
        <f>IF(tdata[[#This Row],[Delivery_Days]]&lt;=tdata[[#This Row],[SLA_Days]],"On Time","Late")</f>
        <v>On Time</v>
      </c>
      <c r="O1178" s="2">
        <f>VLOOKUP(tdata[[#This Row],[Service_Type]],Table2[#All],4,0)</f>
        <v>9000</v>
      </c>
      <c r="P1178" s="2">
        <f>tdata[[#This Row],[price_per_kilo]]*tdata[[#This Row],[Weight_KG]]</f>
        <v>8190</v>
      </c>
      <c r="Q1178" s="2" t="str">
        <f>VLOOKUP(tdata[[#This Row],[id_employee]],temployee[#All],2,0)</f>
        <v>Yuliana Kartini</v>
      </c>
      <c r="R1178" s="2" t="str">
        <f>VLOOKUP(tdata[[#This Row],[id_employee]],temployee[#All],4,0)</f>
        <v>internal</v>
      </c>
      <c r="S1178" s="9" t="str">
        <f>VLOOKUP(tdata[[#This Row],[id_employee]],temployee[#All],5,0)</f>
        <v>rider</v>
      </c>
    </row>
    <row r="1179" spans="2:19" x14ac:dyDescent="0.35">
      <c r="B1179" s="8" t="s">
        <v>1198</v>
      </c>
      <c r="C1179" s="2" t="s">
        <v>1348</v>
      </c>
      <c r="D1179" s="5">
        <v>45566</v>
      </c>
      <c r="E1179" s="5">
        <v>45576</v>
      </c>
      <c r="F1179" s="2" t="s">
        <v>30</v>
      </c>
      <c r="G1179" s="2" t="s">
        <v>49</v>
      </c>
      <c r="H1179" s="2" t="s">
        <v>1224</v>
      </c>
      <c r="I1179" s="2" t="s">
        <v>17</v>
      </c>
      <c r="J1179" s="2">
        <v>7.21</v>
      </c>
      <c r="K1179" s="2" t="str">
        <f t="shared" si="48"/>
        <v>&gt;5kg</v>
      </c>
      <c r="L1179" s="2">
        <f>tdata[[#This Row],[Received_date]]-tdata[[#This Row],[Shipment_Date]]</f>
        <v>10</v>
      </c>
      <c r="M1179" s="2">
        <f>VLOOKUP(tdata[[#This Row],[Service_Type]],Table2[#All],2,0)</f>
        <v>3</v>
      </c>
      <c r="N1179" s="2" t="str">
        <f>IF(tdata[[#This Row],[Delivery_Days]]&lt;=tdata[[#This Row],[SLA_Days]],"On Time","Late")</f>
        <v>Late</v>
      </c>
      <c r="O1179" s="2">
        <f>VLOOKUP(tdata[[#This Row],[Service_Type]],Table2[#All],4,0)</f>
        <v>10000</v>
      </c>
      <c r="P1179" s="2">
        <f>tdata[[#This Row],[price_per_kilo]]*tdata[[#This Row],[Weight_KG]]</f>
        <v>72100</v>
      </c>
      <c r="Q1179" s="2" t="str">
        <f>VLOOKUP(tdata[[#This Row],[id_employee]],temployee[#All],2,0)</f>
        <v>Zaki Alamsyah</v>
      </c>
      <c r="R1179" s="2" t="str">
        <f>VLOOKUP(tdata[[#This Row],[id_employee]],temployee[#All],4,0)</f>
        <v>internal</v>
      </c>
      <c r="S1179" s="9" t="str">
        <f>VLOOKUP(tdata[[#This Row],[id_employee]],temployee[#All],5,0)</f>
        <v>rider</v>
      </c>
    </row>
    <row r="1180" spans="2:19" x14ac:dyDescent="0.35">
      <c r="B1180" s="8" t="s">
        <v>1199</v>
      </c>
      <c r="C1180" s="2" t="s">
        <v>1349</v>
      </c>
      <c r="D1180" s="5">
        <v>45405</v>
      </c>
      <c r="E1180" s="5">
        <v>45405</v>
      </c>
      <c r="F1180" s="2" t="s">
        <v>32</v>
      </c>
      <c r="G1180" s="2" t="s">
        <v>16</v>
      </c>
      <c r="H1180" s="2" t="s">
        <v>23</v>
      </c>
      <c r="I1180" s="2" t="s">
        <v>17</v>
      </c>
      <c r="J1180" s="2">
        <v>1.1000000000000001</v>
      </c>
      <c r="K1180" s="2" t="str">
        <f t="shared" si="48"/>
        <v>&lt; 5kg</v>
      </c>
      <c r="L1180" s="2">
        <f>tdata[[#This Row],[Received_date]]-tdata[[#This Row],[Shipment_Date]]</f>
        <v>0</v>
      </c>
      <c r="M1180" s="2">
        <f>VLOOKUP(tdata[[#This Row],[Service_Type]],Table2[#All],2,0)</f>
        <v>5</v>
      </c>
      <c r="N1180" s="2" t="str">
        <f>IF(tdata[[#This Row],[Delivery_Days]]&lt;=tdata[[#This Row],[SLA_Days]],"On Time","Late")</f>
        <v>On Time</v>
      </c>
      <c r="O1180" s="2">
        <f>VLOOKUP(tdata[[#This Row],[Service_Type]],Table2[#All],4,0)</f>
        <v>9000</v>
      </c>
      <c r="P1180" s="2">
        <f>tdata[[#This Row],[price_per_kilo]]*tdata[[#This Row],[Weight_KG]]</f>
        <v>9900</v>
      </c>
      <c r="Q1180" s="2" t="str">
        <f>VLOOKUP(tdata[[#This Row],[id_employee]],temployee[#All],2,0)</f>
        <v>Arief Setyawan</v>
      </c>
      <c r="R1180" s="2" t="str">
        <f>VLOOKUP(tdata[[#This Row],[id_employee]],temployee[#All],4,0)</f>
        <v>crowd source</v>
      </c>
      <c r="S1180" s="9" t="str">
        <f>VLOOKUP(tdata[[#This Row],[id_employee]],temployee[#All],5,0)</f>
        <v>driver</v>
      </c>
    </row>
    <row r="1181" spans="2:19" x14ac:dyDescent="0.35">
      <c r="B1181" s="8" t="s">
        <v>1200</v>
      </c>
      <c r="C1181" s="2" t="s">
        <v>1350</v>
      </c>
      <c r="D1181" s="5">
        <v>45428</v>
      </c>
      <c r="E1181" s="5">
        <v>45429</v>
      </c>
      <c r="F1181" s="2" t="s">
        <v>16</v>
      </c>
      <c r="G1181" s="2" t="s">
        <v>11</v>
      </c>
      <c r="H1181" s="2" t="s">
        <v>1224</v>
      </c>
      <c r="I1181" s="2" t="s">
        <v>17</v>
      </c>
      <c r="J1181" s="2">
        <v>2.71</v>
      </c>
      <c r="K1181" s="2" t="str">
        <f t="shared" si="48"/>
        <v>&lt; 5kg</v>
      </c>
      <c r="L1181" s="2">
        <f>tdata[[#This Row],[Received_date]]-tdata[[#This Row],[Shipment_Date]]</f>
        <v>1</v>
      </c>
      <c r="M1181" s="2">
        <f>VLOOKUP(tdata[[#This Row],[Service_Type]],Table2[#All],2,0)</f>
        <v>3</v>
      </c>
      <c r="N1181" s="2" t="str">
        <f>IF(tdata[[#This Row],[Delivery_Days]]&lt;=tdata[[#This Row],[SLA_Days]],"On Time","Late")</f>
        <v>On Time</v>
      </c>
      <c r="O1181" s="2">
        <f>VLOOKUP(tdata[[#This Row],[Service_Type]],Table2[#All],4,0)</f>
        <v>10000</v>
      </c>
      <c r="P1181" s="2">
        <f>tdata[[#This Row],[price_per_kilo]]*tdata[[#This Row],[Weight_KG]]</f>
        <v>27100</v>
      </c>
      <c r="Q1181" s="2" t="str">
        <f>VLOOKUP(tdata[[#This Row],[id_employee]],temployee[#All],2,0)</f>
        <v>Bunga Cahyani</v>
      </c>
      <c r="R1181" s="2" t="str">
        <f>VLOOKUP(tdata[[#This Row],[id_employee]],temployee[#All],4,0)</f>
        <v>internal</v>
      </c>
      <c r="S1181" s="9" t="str">
        <f>VLOOKUP(tdata[[#This Row],[id_employee]],temployee[#All],5,0)</f>
        <v>rider</v>
      </c>
    </row>
    <row r="1182" spans="2:19" x14ac:dyDescent="0.35">
      <c r="B1182" s="8" t="s">
        <v>1201</v>
      </c>
      <c r="C1182" s="2" t="s">
        <v>1351</v>
      </c>
      <c r="D1182" s="5">
        <v>45120</v>
      </c>
      <c r="E1182" s="5">
        <v>45125</v>
      </c>
      <c r="F1182" s="2" t="s">
        <v>26</v>
      </c>
      <c r="G1182" s="2" t="s">
        <v>32</v>
      </c>
      <c r="H1182" s="2" t="s">
        <v>1224</v>
      </c>
      <c r="I1182" s="2" t="s">
        <v>17</v>
      </c>
      <c r="J1182" s="2">
        <v>5.84</v>
      </c>
      <c r="K1182" s="2" t="str">
        <f t="shared" si="48"/>
        <v>&gt;5kg</v>
      </c>
      <c r="L1182" s="2">
        <f>tdata[[#This Row],[Received_date]]-tdata[[#This Row],[Shipment_Date]]</f>
        <v>5</v>
      </c>
      <c r="M1182" s="2">
        <f>VLOOKUP(tdata[[#This Row],[Service_Type]],Table2[#All],2,0)</f>
        <v>3</v>
      </c>
      <c r="N1182" s="2" t="str">
        <f>IF(tdata[[#This Row],[Delivery_Days]]&lt;=tdata[[#This Row],[SLA_Days]],"On Time","Late")</f>
        <v>Late</v>
      </c>
      <c r="O1182" s="2">
        <f>VLOOKUP(tdata[[#This Row],[Service_Type]],Table2[#All],4,0)</f>
        <v>10000</v>
      </c>
      <c r="P1182" s="2">
        <f>tdata[[#This Row],[price_per_kilo]]*tdata[[#This Row],[Weight_KG]]</f>
        <v>58400</v>
      </c>
      <c r="Q1182" s="2" t="str">
        <f>VLOOKUP(tdata[[#This Row],[id_employee]],temployee[#All],2,0)</f>
        <v>Cahyo Prabowo</v>
      </c>
      <c r="R1182" s="2" t="str">
        <f>VLOOKUP(tdata[[#This Row],[id_employee]],temployee[#All],4,0)</f>
        <v>internal</v>
      </c>
      <c r="S1182" s="9" t="str">
        <f>VLOOKUP(tdata[[#This Row],[id_employee]],temployee[#All],5,0)</f>
        <v>driver</v>
      </c>
    </row>
    <row r="1183" spans="2:19" x14ac:dyDescent="0.35">
      <c r="B1183" s="8" t="s">
        <v>1202</v>
      </c>
      <c r="C1183" s="2" t="s">
        <v>1352</v>
      </c>
      <c r="D1183" s="5">
        <v>45011</v>
      </c>
      <c r="E1183" s="5">
        <v>45021</v>
      </c>
      <c r="F1183" s="2" t="s">
        <v>49</v>
      </c>
      <c r="G1183" s="2" t="s">
        <v>49</v>
      </c>
      <c r="H1183" s="2" t="s">
        <v>1224</v>
      </c>
      <c r="I1183" s="2" t="s">
        <v>13</v>
      </c>
      <c r="J1183" s="2">
        <v>4.59</v>
      </c>
      <c r="K1183" s="2" t="str">
        <f t="shared" si="48"/>
        <v>&lt; 5kg</v>
      </c>
      <c r="L1183" s="2">
        <f>tdata[[#This Row],[Received_date]]-tdata[[#This Row],[Shipment_Date]]</f>
        <v>10</v>
      </c>
      <c r="M1183" s="2">
        <f>VLOOKUP(tdata[[#This Row],[Service_Type]],Table2[#All],2,0)</f>
        <v>3</v>
      </c>
      <c r="N1183" s="2" t="str">
        <f>IF(tdata[[#This Row],[Delivery_Days]]&lt;=tdata[[#This Row],[SLA_Days]],"On Time","Late")</f>
        <v>Late</v>
      </c>
      <c r="O1183" s="2">
        <f>VLOOKUP(tdata[[#This Row],[Service_Type]],Table2[#All],4,0)</f>
        <v>10000</v>
      </c>
      <c r="P1183" s="2">
        <f>tdata[[#This Row],[price_per_kilo]]*tdata[[#This Row],[Weight_KG]]</f>
        <v>45900</v>
      </c>
      <c r="Q1183" s="2" t="str">
        <f>VLOOKUP(tdata[[#This Row],[id_employee]],temployee[#All],2,0)</f>
        <v>Diah Permata</v>
      </c>
      <c r="R1183" s="2" t="str">
        <f>VLOOKUP(tdata[[#This Row],[id_employee]],temployee[#All],4,0)</f>
        <v>crowd source</v>
      </c>
      <c r="S1183" s="9" t="str">
        <f>VLOOKUP(tdata[[#This Row],[id_employee]],temployee[#All],5,0)</f>
        <v>rider</v>
      </c>
    </row>
    <row r="1184" spans="2:19" x14ac:dyDescent="0.35">
      <c r="B1184" s="8" t="s">
        <v>1203</v>
      </c>
      <c r="C1184" s="2" t="s">
        <v>1353</v>
      </c>
      <c r="D1184" s="5">
        <v>45364</v>
      </c>
      <c r="E1184" s="5">
        <f>D1184+4</f>
        <v>45368</v>
      </c>
      <c r="F1184" s="2" t="s">
        <v>11</v>
      </c>
      <c r="G1184" s="2" t="s">
        <v>12</v>
      </c>
      <c r="H1184" s="2" t="s">
        <v>23</v>
      </c>
      <c r="I1184" s="2" t="s">
        <v>17</v>
      </c>
      <c r="J1184" s="2">
        <v>9.41</v>
      </c>
      <c r="K1184" s="2" t="str">
        <f t="shared" si="48"/>
        <v>&gt;5kg</v>
      </c>
      <c r="L1184" s="2">
        <f>tdata[[#This Row],[Received_date]]-tdata[[#This Row],[Shipment_Date]]</f>
        <v>4</v>
      </c>
      <c r="M1184" s="2">
        <f>VLOOKUP(tdata[[#This Row],[Service_Type]],Table2[#All],2,0)</f>
        <v>5</v>
      </c>
      <c r="N1184" s="2" t="str">
        <f>IF(tdata[[#This Row],[Delivery_Days]]&lt;=tdata[[#This Row],[SLA_Days]],"On Time","Late")</f>
        <v>On Time</v>
      </c>
      <c r="O1184" s="2">
        <f>VLOOKUP(tdata[[#This Row],[Service_Type]],Table2[#All],4,0)</f>
        <v>9000</v>
      </c>
      <c r="P1184" s="2">
        <f>tdata[[#This Row],[price_per_kilo]]*tdata[[#This Row],[Weight_KG]]</f>
        <v>84690</v>
      </c>
      <c r="Q1184" s="2" t="str">
        <f>VLOOKUP(tdata[[#This Row],[id_employee]],temployee[#All],2,0)</f>
        <v>Evania Putri</v>
      </c>
      <c r="R1184" s="2" t="str">
        <f>VLOOKUP(tdata[[#This Row],[id_employee]],temployee[#All],4,0)</f>
        <v>internal</v>
      </c>
      <c r="S1184" s="9" t="str">
        <f>VLOOKUP(tdata[[#This Row],[id_employee]],temployee[#All],5,0)</f>
        <v>rider</v>
      </c>
    </row>
    <row r="1185" spans="2:19" x14ac:dyDescent="0.35">
      <c r="B1185" s="8" t="s">
        <v>1204</v>
      </c>
      <c r="C1185" s="2" t="s">
        <v>1354</v>
      </c>
      <c r="D1185" s="5">
        <v>45268</v>
      </c>
      <c r="E1185" s="5">
        <v>45268</v>
      </c>
      <c r="F1185" s="2" t="s">
        <v>15</v>
      </c>
      <c r="G1185" s="2" t="s">
        <v>15</v>
      </c>
      <c r="H1185" s="2" t="s">
        <v>1223</v>
      </c>
      <c r="I1185" s="2" t="s">
        <v>13</v>
      </c>
      <c r="J1185" s="2">
        <v>10.42</v>
      </c>
      <c r="K1185" s="2" t="str">
        <f t="shared" si="48"/>
        <v>&gt;5kg</v>
      </c>
      <c r="L1185" s="2">
        <f>tdata[[#This Row],[Received_date]]-tdata[[#This Row],[Shipment_Date]]</f>
        <v>0</v>
      </c>
      <c r="M1185" s="2">
        <f>VLOOKUP(tdata[[#This Row],[Service_Type]],Table2[#All],2,0)</f>
        <v>1</v>
      </c>
      <c r="N1185" s="2" t="str">
        <f>IF(tdata[[#This Row],[Delivery_Days]]&lt;=tdata[[#This Row],[SLA_Days]],"On Time","Late")</f>
        <v>On Time</v>
      </c>
      <c r="O1185" s="2">
        <f>VLOOKUP(tdata[[#This Row],[Service_Type]],Table2[#All],4,0)</f>
        <v>12000</v>
      </c>
      <c r="P1185" s="2">
        <f>tdata[[#This Row],[price_per_kilo]]*tdata[[#This Row],[Weight_KG]]</f>
        <v>125040</v>
      </c>
      <c r="Q1185" s="2" t="str">
        <f>VLOOKUP(tdata[[#This Row],[id_employee]],temployee[#All],2,0)</f>
        <v>Fikri Ramadhan</v>
      </c>
      <c r="R1185" s="2" t="str">
        <f>VLOOKUP(tdata[[#This Row],[id_employee]],temployee[#All],4,0)</f>
        <v>crowd source</v>
      </c>
      <c r="S1185" s="9" t="str">
        <f>VLOOKUP(tdata[[#This Row],[id_employee]],temployee[#All],5,0)</f>
        <v>driver</v>
      </c>
    </row>
    <row r="1186" spans="2:19" x14ac:dyDescent="0.35">
      <c r="B1186" s="8" t="s">
        <v>1205</v>
      </c>
      <c r="C1186" s="2" t="s">
        <v>1355</v>
      </c>
      <c r="D1186" s="5">
        <v>45176</v>
      </c>
      <c r="E1186" s="5">
        <f t="shared" ref="E1186:E1187" si="49">D1186+4</f>
        <v>45180</v>
      </c>
      <c r="F1186" s="2" t="s">
        <v>20</v>
      </c>
      <c r="G1186" s="2" t="s">
        <v>30</v>
      </c>
      <c r="H1186" s="2" t="s">
        <v>1223</v>
      </c>
      <c r="I1186" s="2" t="s">
        <v>17</v>
      </c>
      <c r="J1186" s="2">
        <v>8.67</v>
      </c>
      <c r="K1186" s="2" t="str">
        <f t="shared" si="48"/>
        <v>&gt;5kg</v>
      </c>
      <c r="L1186" s="2">
        <f>tdata[[#This Row],[Received_date]]-tdata[[#This Row],[Shipment_Date]]</f>
        <v>4</v>
      </c>
      <c r="M1186" s="2">
        <f>VLOOKUP(tdata[[#This Row],[Service_Type]],Table2[#All],2,0)</f>
        <v>1</v>
      </c>
      <c r="N1186" s="2" t="str">
        <f>IF(tdata[[#This Row],[Delivery_Days]]&lt;=tdata[[#This Row],[SLA_Days]],"On Time","Late")</f>
        <v>Late</v>
      </c>
      <c r="O1186" s="2">
        <f>VLOOKUP(tdata[[#This Row],[Service_Type]],Table2[#All],4,0)</f>
        <v>12000</v>
      </c>
      <c r="P1186" s="2">
        <f>tdata[[#This Row],[price_per_kilo]]*tdata[[#This Row],[Weight_KG]]</f>
        <v>104040</v>
      </c>
      <c r="Q1186" s="2" t="str">
        <f>VLOOKUP(tdata[[#This Row],[id_employee]],temployee[#All],2,0)</f>
        <v>Gilang Ramli</v>
      </c>
      <c r="R1186" s="2" t="str">
        <f>VLOOKUP(tdata[[#This Row],[id_employee]],temployee[#All],4,0)</f>
        <v>internal</v>
      </c>
      <c r="S1186" s="9" t="str">
        <f>VLOOKUP(tdata[[#This Row],[id_employee]],temployee[#All],5,0)</f>
        <v>rider</v>
      </c>
    </row>
    <row r="1187" spans="2:19" x14ac:dyDescent="0.35">
      <c r="B1187" s="8" t="s">
        <v>1206</v>
      </c>
      <c r="C1187" s="2" t="s">
        <v>1356</v>
      </c>
      <c r="D1187" s="5">
        <v>45310</v>
      </c>
      <c r="E1187" s="5">
        <f t="shared" si="49"/>
        <v>45314</v>
      </c>
      <c r="F1187" s="2" t="s">
        <v>22</v>
      </c>
      <c r="G1187" s="2" t="s">
        <v>20</v>
      </c>
      <c r="H1187" s="2" t="s">
        <v>23</v>
      </c>
      <c r="I1187" s="2" t="s">
        <v>13</v>
      </c>
      <c r="J1187" s="2">
        <v>6.23</v>
      </c>
      <c r="K1187" s="2" t="str">
        <f t="shared" si="48"/>
        <v>&gt;5kg</v>
      </c>
      <c r="L1187" s="2">
        <f>tdata[[#This Row],[Received_date]]-tdata[[#This Row],[Shipment_Date]]</f>
        <v>4</v>
      </c>
      <c r="M1187" s="2">
        <f>VLOOKUP(tdata[[#This Row],[Service_Type]],Table2[#All],2,0)</f>
        <v>5</v>
      </c>
      <c r="N1187" s="2" t="str">
        <f>IF(tdata[[#This Row],[Delivery_Days]]&lt;=tdata[[#This Row],[SLA_Days]],"On Time","Late")</f>
        <v>On Time</v>
      </c>
      <c r="O1187" s="2">
        <f>VLOOKUP(tdata[[#This Row],[Service_Type]],Table2[#All],4,0)</f>
        <v>9000</v>
      </c>
      <c r="P1187" s="2">
        <f>tdata[[#This Row],[price_per_kilo]]*tdata[[#This Row],[Weight_KG]]</f>
        <v>56070.000000000007</v>
      </c>
      <c r="Q1187" s="2" t="str">
        <f>VLOOKUP(tdata[[#This Row],[id_employee]],temployee[#All],2,0)</f>
        <v>Hana Zahra</v>
      </c>
      <c r="R1187" s="2" t="str">
        <f>VLOOKUP(tdata[[#This Row],[id_employee]],temployee[#All],4,0)</f>
        <v>internal</v>
      </c>
      <c r="S1187" s="9" t="str">
        <f>VLOOKUP(tdata[[#This Row],[id_employee]],temployee[#All],5,0)</f>
        <v>rider</v>
      </c>
    </row>
    <row r="1188" spans="2:19" x14ac:dyDescent="0.35">
      <c r="B1188" s="8" t="s">
        <v>1207</v>
      </c>
      <c r="C1188" s="2" t="s">
        <v>1357</v>
      </c>
      <c r="D1188" s="5">
        <v>45399</v>
      </c>
      <c r="E1188" s="5">
        <v>45400</v>
      </c>
      <c r="F1188" s="2" t="s">
        <v>12</v>
      </c>
      <c r="G1188" s="2" t="s">
        <v>11</v>
      </c>
      <c r="H1188" s="2" t="s">
        <v>1224</v>
      </c>
      <c r="I1188" s="2" t="s">
        <v>13</v>
      </c>
      <c r="J1188" s="2">
        <v>2.1800000000000002</v>
      </c>
      <c r="K1188" s="2" t="str">
        <f t="shared" si="48"/>
        <v>&lt; 5kg</v>
      </c>
      <c r="L1188" s="2">
        <f>tdata[[#This Row],[Received_date]]-tdata[[#This Row],[Shipment_Date]]</f>
        <v>1</v>
      </c>
      <c r="M1188" s="2">
        <f>VLOOKUP(tdata[[#This Row],[Service_Type]],Table2[#All],2,0)</f>
        <v>3</v>
      </c>
      <c r="N1188" s="2" t="str">
        <f>IF(tdata[[#This Row],[Delivery_Days]]&lt;=tdata[[#This Row],[SLA_Days]],"On Time","Late")</f>
        <v>On Time</v>
      </c>
      <c r="O1188" s="2">
        <f>VLOOKUP(tdata[[#This Row],[Service_Type]],Table2[#All],4,0)</f>
        <v>10000</v>
      </c>
      <c r="P1188" s="2">
        <f>tdata[[#This Row],[price_per_kilo]]*tdata[[#This Row],[Weight_KG]]</f>
        <v>21800</v>
      </c>
      <c r="Q1188" s="2" t="str">
        <f>VLOOKUP(tdata[[#This Row],[id_employee]],temployee[#All],2,0)</f>
        <v>Irfan Maulana</v>
      </c>
      <c r="R1188" s="2" t="str">
        <f>VLOOKUP(tdata[[#This Row],[id_employee]],temployee[#All],4,0)</f>
        <v>internal</v>
      </c>
      <c r="S1188" s="9" t="str">
        <f>VLOOKUP(tdata[[#This Row],[id_employee]],temployee[#All],5,0)</f>
        <v>driver</v>
      </c>
    </row>
    <row r="1189" spans="2:19" x14ac:dyDescent="0.35">
      <c r="B1189" s="8" t="s">
        <v>1208</v>
      </c>
      <c r="C1189" s="2" t="s">
        <v>1358</v>
      </c>
      <c r="D1189" s="5">
        <v>45613</v>
      </c>
      <c r="E1189" s="5">
        <f>D1189+4</f>
        <v>45617</v>
      </c>
      <c r="F1189" s="2" t="s">
        <v>30</v>
      </c>
      <c r="G1189" s="2" t="s">
        <v>16</v>
      </c>
      <c r="H1189" s="2" t="s">
        <v>1224</v>
      </c>
      <c r="I1189" s="2" t="s">
        <v>13</v>
      </c>
      <c r="J1189" s="2">
        <v>5.42</v>
      </c>
      <c r="K1189" s="2" t="str">
        <f t="shared" si="48"/>
        <v>&gt;5kg</v>
      </c>
      <c r="L1189" s="2">
        <f>tdata[[#This Row],[Received_date]]-tdata[[#This Row],[Shipment_Date]]</f>
        <v>4</v>
      </c>
      <c r="M1189" s="2">
        <f>VLOOKUP(tdata[[#This Row],[Service_Type]],Table2[#All],2,0)</f>
        <v>3</v>
      </c>
      <c r="N1189" s="2" t="str">
        <f>IF(tdata[[#This Row],[Delivery_Days]]&lt;=tdata[[#This Row],[SLA_Days]],"On Time","Late")</f>
        <v>Late</v>
      </c>
      <c r="O1189" s="2">
        <f>VLOOKUP(tdata[[#This Row],[Service_Type]],Table2[#All],4,0)</f>
        <v>10000</v>
      </c>
      <c r="P1189" s="2">
        <f>tdata[[#This Row],[price_per_kilo]]*tdata[[#This Row],[Weight_KG]]</f>
        <v>54200</v>
      </c>
      <c r="Q1189" s="2" t="str">
        <f>VLOOKUP(tdata[[#This Row],[id_employee]],temployee[#All],2,0)</f>
        <v>Jihan Salsabila</v>
      </c>
      <c r="R1189" s="2" t="str">
        <f>VLOOKUP(tdata[[#This Row],[id_employee]],temployee[#All],4,0)</f>
        <v>crowd source</v>
      </c>
      <c r="S1189" s="9" t="str">
        <f>VLOOKUP(tdata[[#This Row],[id_employee]],temployee[#All],5,0)</f>
        <v>rider</v>
      </c>
    </row>
    <row r="1190" spans="2:19" x14ac:dyDescent="0.35">
      <c r="B1190" s="8" t="s">
        <v>1209</v>
      </c>
      <c r="C1190" s="2" t="s">
        <v>1359</v>
      </c>
      <c r="D1190" s="5">
        <v>45642</v>
      </c>
      <c r="E1190" s="5">
        <v>45643</v>
      </c>
      <c r="F1190" s="2" t="s">
        <v>32</v>
      </c>
      <c r="G1190" s="2" t="s">
        <v>22</v>
      </c>
      <c r="H1190" s="2" t="s">
        <v>1224</v>
      </c>
      <c r="I1190" s="2" t="s">
        <v>17</v>
      </c>
      <c r="J1190" s="2">
        <v>3.7</v>
      </c>
      <c r="K1190" s="2" t="str">
        <f t="shared" si="48"/>
        <v>&lt; 5kg</v>
      </c>
      <c r="L1190" s="2">
        <f>tdata[[#This Row],[Received_date]]-tdata[[#This Row],[Shipment_Date]]</f>
        <v>1</v>
      </c>
      <c r="M1190" s="2">
        <f>VLOOKUP(tdata[[#This Row],[Service_Type]],Table2[#All],2,0)</f>
        <v>3</v>
      </c>
      <c r="N1190" s="2" t="str">
        <f>IF(tdata[[#This Row],[Delivery_Days]]&lt;=tdata[[#This Row],[SLA_Days]],"On Time","Late")</f>
        <v>On Time</v>
      </c>
      <c r="O1190" s="2">
        <f>VLOOKUP(tdata[[#This Row],[Service_Type]],Table2[#All],4,0)</f>
        <v>10000</v>
      </c>
      <c r="P1190" s="2">
        <f>tdata[[#This Row],[price_per_kilo]]*tdata[[#This Row],[Weight_KG]]</f>
        <v>37000</v>
      </c>
      <c r="Q1190" s="2" t="str">
        <f>VLOOKUP(tdata[[#This Row],[id_employee]],temployee[#All],2,0)</f>
        <v>Koko Santoso</v>
      </c>
      <c r="R1190" s="2" t="str">
        <f>VLOOKUP(tdata[[#This Row],[id_employee]],temployee[#All],4,0)</f>
        <v>internal</v>
      </c>
      <c r="S1190" s="9" t="str">
        <f>VLOOKUP(tdata[[#This Row],[id_employee]],temployee[#All],5,0)</f>
        <v>rider</v>
      </c>
    </row>
    <row r="1191" spans="2:19" x14ac:dyDescent="0.35">
      <c r="B1191" s="8" t="s">
        <v>1210</v>
      </c>
      <c r="C1191" s="2" t="s">
        <v>1360</v>
      </c>
      <c r="D1191" s="5">
        <v>45032</v>
      </c>
      <c r="E1191" s="5">
        <v>45033</v>
      </c>
      <c r="F1191" s="2" t="s">
        <v>16</v>
      </c>
      <c r="G1191" s="2" t="s">
        <v>22</v>
      </c>
      <c r="H1191" s="2" t="s">
        <v>1223</v>
      </c>
      <c r="I1191" s="2" t="s">
        <v>17</v>
      </c>
      <c r="J1191" s="2">
        <v>6.13</v>
      </c>
      <c r="K1191" s="2" t="str">
        <f t="shared" si="48"/>
        <v>&gt;5kg</v>
      </c>
      <c r="L1191" s="2">
        <f>tdata[[#This Row],[Received_date]]-tdata[[#This Row],[Shipment_Date]]</f>
        <v>1</v>
      </c>
      <c r="M1191" s="2">
        <f>VLOOKUP(tdata[[#This Row],[Service_Type]],Table2[#All],2,0)</f>
        <v>1</v>
      </c>
      <c r="N1191" s="2" t="str">
        <f>IF(tdata[[#This Row],[Delivery_Days]]&lt;=tdata[[#This Row],[SLA_Days]],"On Time","Late")</f>
        <v>On Time</v>
      </c>
      <c r="O1191" s="2">
        <f>VLOOKUP(tdata[[#This Row],[Service_Type]],Table2[#All],4,0)</f>
        <v>12000</v>
      </c>
      <c r="P1191" s="2">
        <f>tdata[[#This Row],[price_per_kilo]]*tdata[[#This Row],[Weight_KG]]</f>
        <v>73560</v>
      </c>
      <c r="Q1191" s="2" t="str">
        <f>VLOOKUP(tdata[[#This Row],[id_employee]],temployee[#All],2,0)</f>
        <v>Luthfi Hakim</v>
      </c>
      <c r="R1191" s="2" t="str">
        <f>VLOOKUP(tdata[[#This Row],[id_employee]],temployee[#All],4,0)</f>
        <v>crowd source</v>
      </c>
      <c r="S1191" s="9" t="str">
        <f>VLOOKUP(tdata[[#This Row],[id_employee]],temployee[#All],5,0)</f>
        <v>driver</v>
      </c>
    </row>
    <row r="1192" spans="2:19" x14ac:dyDescent="0.35">
      <c r="B1192" s="8" t="s">
        <v>1211</v>
      </c>
      <c r="C1192" s="2" t="s">
        <v>1361</v>
      </c>
      <c r="D1192" s="5">
        <v>45079</v>
      </c>
      <c r="E1192" s="5">
        <f>D1192+4</f>
        <v>45083</v>
      </c>
      <c r="F1192" s="2" t="s">
        <v>26</v>
      </c>
      <c r="G1192" s="2" t="s">
        <v>49</v>
      </c>
      <c r="H1192" s="2" t="s">
        <v>23</v>
      </c>
      <c r="I1192" s="2" t="s">
        <v>17</v>
      </c>
      <c r="J1192" s="2">
        <v>5.31</v>
      </c>
      <c r="K1192" s="2" t="str">
        <f t="shared" si="48"/>
        <v>&gt;5kg</v>
      </c>
      <c r="L1192" s="2">
        <f>tdata[[#This Row],[Received_date]]-tdata[[#This Row],[Shipment_Date]]</f>
        <v>4</v>
      </c>
      <c r="M1192" s="2">
        <f>VLOOKUP(tdata[[#This Row],[Service_Type]],Table2[#All],2,0)</f>
        <v>5</v>
      </c>
      <c r="N1192" s="2" t="str">
        <f>IF(tdata[[#This Row],[Delivery_Days]]&lt;=tdata[[#This Row],[SLA_Days]],"On Time","Late")</f>
        <v>On Time</v>
      </c>
      <c r="O1192" s="2">
        <f>VLOOKUP(tdata[[#This Row],[Service_Type]],Table2[#All],4,0)</f>
        <v>9000</v>
      </c>
      <c r="P1192" s="2">
        <f>tdata[[#This Row],[price_per_kilo]]*tdata[[#This Row],[Weight_KG]]</f>
        <v>47790</v>
      </c>
      <c r="Q1192" s="2" t="str">
        <f>VLOOKUP(tdata[[#This Row],[id_employee]],temployee[#All],2,0)</f>
        <v>Melati Anggraini</v>
      </c>
      <c r="R1192" s="2" t="str">
        <f>VLOOKUP(tdata[[#This Row],[id_employee]],temployee[#All],4,0)</f>
        <v>internal</v>
      </c>
      <c r="S1192" s="9" t="str">
        <f>VLOOKUP(tdata[[#This Row],[id_employee]],temployee[#All],5,0)</f>
        <v>rider</v>
      </c>
    </row>
    <row r="1193" spans="2:19" x14ac:dyDescent="0.35">
      <c r="B1193" s="8" t="s">
        <v>1212</v>
      </c>
      <c r="C1193" s="2" t="s">
        <v>1362</v>
      </c>
      <c r="D1193" s="5">
        <v>45420</v>
      </c>
      <c r="E1193" s="5">
        <v>45420</v>
      </c>
      <c r="F1193" s="2" t="s">
        <v>49</v>
      </c>
      <c r="G1193" s="2" t="s">
        <v>32</v>
      </c>
      <c r="H1193" s="2" t="s">
        <v>23</v>
      </c>
      <c r="I1193" s="2" t="s">
        <v>13</v>
      </c>
      <c r="J1193" s="2">
        <v>4.1399999999999997</v>
      </c>
      <c r="K1193" s="2" t="str">
        <f t="shared" si="48"/>
        <v>&lt; 5kg</v>
      </c>
      <c r="L1193" s="2">
        <f>tdata[[#This Row],[Received_date]]-tdata[[#This Row],[Shipment_Date]]</f>
        <v>0</v>
      </c>
      <c r="M1193" s="2">
        <f>VLOOKUP(tdata[[#This Row],[Service_Type]],Table2[#All],2,0)</f>
        <v>5</v>
      </c>
      <c r="N1193" s="2" t="str">
        <f>IF(tdata[[#This Row],[Delivery_Days]]&lt;=tdata[[#This Row],[SLA_Days]],"On Time","Late")</f>
        <v>On Time</v>
      </c>
      <c r="O1193" s="2">
        <f>VLOOKUP(tdata[[#This Row],[Service_Type]],Table2[#All],4,0)</f>
        <v>9000</v>
      </c>
      <c r="P1193" s="2">
        <f>tdata[[#This Row],[price_per_kilo]]*tdata[[#This Row],[Weight_KG]]</f>
        <v>37260</v>
      </c>
      <c r="Q1193" s="2" t="str">
        <f>VLOOKUP(tdata[[#This Row],[id_employee]],temployee[#All],2,0)</f>
        <v>Naufal Rizky</v>
      </c>
      <c r="R1193" s="2" t="str">
        <f>VLOOKUP(tdata[[#This Row],[id_employee]],temployee[#All],4,0)</f>
        <v>internal</v>
      </c>
      <c r="S1193" s="9" t="str">
        <f>VLOOKUP(tdata[[#This Row],[id_employee]],temployee[#All],5,0)</f>
        <v>driver</v>
      </c>
    </row>
    <row r="1194" spans="2:19" x14ac:dyDescent="0.35">
      <c r="B1194" s="8" t="s">
        <v>1213</v>
      </c>
      <c r="C1194" s="2" t="s">
        <v>1363</v>
      </c>
      <c r="D1194" s="5">
        <v>45649</v>
      </c>
      <c r="E1194" s="5">
        <f>D1194+4</f>
        <v>45653</v>
      </c>
      <c r="F1194" s="2" t="s">
        <v>11</v>
      </c>
      <c r="G1194" s="2" t="s">
        <v>16</v>
      </c>
      <c r="H1194" s="2" t="s">
        <v>1224</v>
      </c>
      <c r="I1194" s="2" t="s">
        <v>13</v>
      </c>
      <c r="J1194" s="2">
        <v>9.26</v>
      </c>
      <c r="K1194" s="2" t="str">
        <f t="shared" si="48"/>
        <v>&gt;5kg</v>
      </c>
      <c r="L1194" s="2">
        <f>tdata[[#This Row],[Received_date]]-tdata[[#This Row],[Shipment_Date]]</f>
        <v>4</v>
      </c>
      <c r="M1194" s="2">
        <f>VLOOKUP(tdata[[#This Row],[Service_Type]],Table2[#All],2,0)</f>
        <v>3</v>
      </c>
      <c r="N1194" s="2" t="str">
        <f>IF(tdata[[#This Row],[Delivery_Days]]&lt;=tdata[[#This Row],[SLA_Days]],"On Time","Late")</f>
        <v>Late</v>
      </c>
      <c r="O1194" s="2">
        <f>VLOOKUP(tdata[[#This Row],[Service_Type]],Table2[#All],4,0)</f>
        <v>10000</v>
      </c>
      <c r="P1194" s="2">
        <f>tdata[[#This Row],[price_per_kilo]]*tdata[[#This Row],[Weight_KG]]</f>
        <v>92600</v>
      </c>
      <c r="Q1194" s="2" t="str">
        <f>VLOOKUP(tdata[[#This Row],[id_employee]],temployee[#All],2,0)</f>
        <v>Olin Febriani</v>
      </c>
      <c r="R1194" s="2" t="str">
        <f>VLOOKUP(tdata[[#This Row],[id_employee]],temployee[#All],4,0)</f>
        <v>crowd source</v>
      </c>
      <c r="S1194" s="9" t="str">
        <f>VLOOKUP(tdata[[#This Row],[id_employee]],temployee[#All],5,0)</f>
        <v>rider</v>
      </c>
    </row>
    <row r="1195" spans="2:19" x14ac:dyDescent="0.35">
      <c r="B1195" s="8" t="s">
        <v>1214</v>
      </c>
      <c r="C1195" s="2" t="s">
        <v>1364</v>
      </c>
      <c r="D1195" s="5">
        <v>44989</v>
      </c>
      <c r="E1195" s="5">
        <v>44997</v>
      </c>
      <c r="F1195" s="2" t="s">
        <v>15</v>
      </c>
      <c r="G1195" s="2" t="s">
        <v>49</v>
      </c>
      <c r="H1195" s="2" t="s">
        <v>23</v>
      </c>
      <c r="I1195" s="2" t="s">
        <v>17</v>
      </c>
      <c r="J1195" s="2">
        <v>5.5</v>
      </c>
      <c r="K1195" s="2" t="str">
        <f t="shared" si="48"/>
        <v>&gt;5kg</v>
      </c>
      <c r="L1195" s="2">
        <f>tdata[[#This Row],[Received_date]]-tdata[[#This Row],[Shipment_Date]]</f>
        <v>8</v>
      </c>
      <c r="M1195" s="2">
        <f>VLOOKUP(tdata[[#This Row],[Service_Type]],Table2[#All],2,0)</f>
        <v>5</v>
      </c>
      <c r="N1195" s="2" t="str">
        <f>IF(tdata[[#This Row],[Delivery_Days]]&lt;=tdata[[#This Row],[SLA_Days]],"On Time","Late")</f>
        <v>Late</v>
      </c>
      <c r="O1195" s="2">
        <f>VLOOKUP(tdata[[#This Row],[Service_Type]],Table2[#All],4,0)</f>
        <v>9000</v>
      </c>
      <c r="P1195" s="2">
        <f>tdata[[#This Row],[price_per_kilo]]*tdata[[#This Row],[Weight_KG]]</f>
        <v>49500</v>
      </c>
      <c r="Q1195" s="2" t="str">
        <f>VLOOKUP(tdata[[#This Row],[id_employee]],temployee[#All],2,0)</f>
        <v>Praditya Wicaksono</v>
      </c>
      <c r="R1195" s="2" t="str">
        <f>VLOOKUP(tdata[[#This Row],[id_employee]],temployee[#All],4,0)</f>
        <v>internal</v>
      </c>
      <c r="S1195" s="9" t="str">
        <f>VLOOKUP(tdata[[#This Row],[id_employee]],temployee[#All],5,0)</f>
        <v>driver</v>
      </c>
    </row>
    <row r="1196" spans="2:19" x14ac:dyDescent="0.35">
      <c r="B1196" s="8" t="s">
        <v>1215</v>
      </c>
      <c r="C1196" s="2" t="s">
        <v>1365</v>
      </c>
      <c r="D1196" s="5">
        <v>45119</v>
      </c>
      <c r="E1196" s="5">
        <f>D1196+4</f>
        <v>45123</v>
      </c>
      <c r="F1196" s="2" t="s">
        <v>20</v>
      </c>
      <c r="G1196" s="2" t="s">
        <v>16</v>
      </c>
      <c r="H1196" s="2" t="s">
        <v>1224</v>
      </c>
      <c r="I1196" s="2" t="s">
        <v>13</v>
      </c>
      <c r="J1196" s="2">
        <v>9.83</v>
      </c>
      <c r="K1196" s="2" t="str">
        <f t="shared" si="48"/>
        <v>&gt;5kg</v>
      </c>
      <c r="L1196" s="2">
        <f>tdata[[#This Row],[Received_date]]-tdata[[#This Row],[Shipment_Date]]</f>
        <v>4</v>
      </c>
      <c r="M1196" s="2">
        <f>VLOOKUP(tdata[[#This Row],[Service_Type]],Table2[#All],2,0)</f>
        <v>3</v>
      </c>
      <c r="N1196" s="2" t="str">
        <f>IF(tdata[[#This Row],[Delivery_Days]]&lt;=tdata[[#This Row],[SLA_Days]],"On Time","Late")</f>
        <v>Late</v>
      </c>
      <c r="O1196" s="2">
        <f>VLOOKUP(tdata[[#This Row],[Service_Type]],Table2[#All],4,0)</f>
        <v>10000</v>
      </c>
      <c r="P1196" s="2">
        <f>tdata[[#This Row],[price_per_kilo]]*tdata[[#This Row],[Weight_KG]]</f>
        <v>98300</v>
      </c>
      <c r="Q1196" s="2" t="str">
        <f>VLOOKUP(tdata[[#This Row],[id_employee]],temployee[#All],2,0)</f>
        <v>Qory Azzahra</v>
      </c>
      <c r="R1196" s="2" t="str">
        <f>VLOOKUP(tdata[[#This Row],[id_employee]],temployee[#All],4,0)</f>
        <v>internal</v>
      </c>
      <c r="S1196" s="9" t="str">
        <f>VLOOKUP(tdata[[#This Row],[id_employee]],temployee[#All],5,0)</f>
        <v>rider</v>
      </c>
    </row>
    <row r="1197" spans="2:19" x14ac:dyDescent="0.35">
      <c r="B1197" s="8" t="s">
        <v>1216</v>
      </c>
      <c r="C1197" s="2" t="s">
        <v>1366</v>
      </c>
      <c r="D1197" s="5">
        <v>45538</v>
      </c>
      <c r="E1197" s="5">
        <v>45539</v>
      </c>
      <c r="F1197" s="2" t="s">
        <v>22</v>
      </c>
      <c r="G1197" s="2" t="s">
        <v>16</v>
      </c>
      <c r="H1197" s="2" t="s">
        <v>1223</v>
      </c>
      <c r="I1197" s="2" t="s">
        <v>17</v>
      </c>
      <c r="J1197" s="2">
        <v>8.02</v>
      </c>
      <c r="K1197" s="2" t="str">
        <f t="shared" si="48"/>
        <v>&gt;5kg</v>
      </c>
      <c r="L1197" s="2">
        <f>tdata[[#This Row],[Received_date]]-tdata[[#This Row],[Shipment_Date]]</f>
        <v>1</v>
      </c>
      <c r="M1197" s="2">
        <f>VLOOKUP(tdata[[#This Row],[Service_Type]],Table2[#All],2,0)</f>
        <v>1</v>
      </c>
      <c r="N1197" s="2" t="str">
        <f>IF(tdata[[#This Row],[Delivery_Days]]&lt;=tdata[[#This Row],[SLA_Days]],"On Time","Late")</f>
        <v>On Time</v>
      </c>
      <c r="O1197" s="2">
        <f>VLOOKUP(tdata[[#This Row],[Service_Type]],Table2[#All],4,0)</f>
        <v>12000</v>
      </c>
      <c r="P1197" s="2">
        <f>tdata[[#This Row],[price_per_kilo]]*tdata[[#This Row],[Weight_KG]]</f>
        <v>96240</v>
      </c>
      <c r="Q1197" s="2" t="str">
        <f>VLOOKUP(tdata[[#This Row],[id_employee]],temployee[#All],2,0)</f>
        <v>Rendi Saputra</v>
      </c>
      <c r="R1197" s="2" t="str">
        <f>VLOOKUP(tdata[[#This Row],[id_employee]],temployee[#All],4,0)</f>
        <v>crowd source</v>
      </c>
      <c r="S1197" s="9" t="str">
        <f>VLOOKUP(tdata[[#This Row],[id_employee]],temployee[#All],5,0)</f>
        <v>driver</v>
      </c>
    </row>
    <row r="1198" spans="2:19" x14ac:dyDescent="0.35">
      <c r="B1198" s="8" t="s">
        <v>1217</v>
      </c>
      <c r="C1198" s="2" t="s">
        <v>1367</v>
      </c>
      <c r="D1198" s="5">
        <v>44985</v>
      </c>
      <c r="E1198" s="5">
        <f>D1198+4</f>
        <v>44989</v>
      </c>
      <c r="F1198" s="2" t="s">
        <v>12</v>
      </c>
      <c r="G1198" s="2" t="s">
        <v>16</v>
      </c>
      <c r="H1198" s="2" t="s">
        <v>1223</v>
      </c>
      <c r="I1198" s="2" t="s">
        <v>17</v>
      </c>
      <c r="J1198" s="2">
        <v>5.37</v>
      </c>
      <c r="K1198" s="2" t="str">
        <f t="shared" si="48"/>
        <v>&gt;5kg</v>
      </c>
      <c r="L1198" s="2">
        <f>tdata[[#This Row],[Received_date]]-tdata[[#This Row],[Shipment_Date]]</f>
        <v>4</v>
      </c>
      <c r="M1198" s="2">
        <f>VLOOKUP(tdata[[#This Row],[Service_Type]],Table2[#All],2,0)</f>
        <v>1</v>
      </c>
      <c r="N1198" s="2" t="str">
        <f>IF(tdata[[#This Row],[Delivery_Days]]&lt;=tdata[[#This Row],[SLA_Days]],"On Time","Late")</f>
        <v>Late</v>
      </c>
      <c r="O1198" s="2">
        <f>VLOOKUP(tdata[[#This Row],[Service_Type]],Table2[#All],4,0)</f>
        <v>12000</v>
      </c>
      <c r="P1198" s="2">
        <f>tdata[[#This Row],[price_per_kilo]]*tdata[[#This Row],[Weight_KG]]</f>
        <v>64440</v>
      </c>
      <c r="Q1198" s="2" t="str">
        <f>VLOOKUP(tdata[[#This Row],[id_employee]],temployee[#All],2,0)</f>
        <v>Salma Nuraini</v>
      </c>
      <c r="R1198" s="2" t="str">
        <f>VLOOKUP(tdata[[#This Row],[id_employee]],temployee[#All],4,0)</f>
        <v>internal</v>
      </c>
      <c r="S1198" s="9" t="str">
        <f>VLOOKUP(tdata[[#This Row],[id_employee]],temployee[#All],5,0)</f>
        <v>rider</v>
      </c>
    </row>
    <row r="1199" spans="2:19" x14ac:dyDescent="0.35">
      <c r="B1199" s="8" t="s">
        <v>1218</v>
      </c>
      <c r="C1199" s="2" t="s">
        <v>1368</v>
      </c>
      <c r="D1199" s="5">
        <v>45514</v>
      </c>
      <c r="E1199" s="5">
        <v>45516</v>
      </c>
      <c r="F1199" s="2" t="s">
        <v>30</v>
      </c>
      <c r="G1199" s="2" t="s">
        <v>22</v>
      </c>
      <c r="H1199" s="2" t="s">
        <v>1224</v>
      </c>
      <c r="I1199" s="2" t="s">
        <v>13</v>
      </c>
      <c r="J1199" s="2">
        <v>1.73</v>
      </c>
      <c r="K1199" s="2" t="str">
        <f t="shared" si="48"/>
        <v>&lt; 5kg</v>
      </c>
      <c r="L1199" s="2">
        <f>tdata[[#This Row],[Received_date]]-tdata[[#This Row],[Shipment_Date]]</f>
        <v>2</v>
      </c>
      <c r="M1199" s="2">
        <f>VLOOKUP(tdata[[#This Row],[Service_Type]],Table2[#All],2,0)</f>
        <v>3</v>
      </c>
      <c r="N1199" s="2" t="str">
        <f>IF(tdata[[#This Row],[Delivery_Days]]&lt;=tdata[[#This Row],[SLA_Days]],"On Time","Late")</f>
        <v>On Time</v>
      </c>
      <c r="O1199" s="2">
        <f>VLOOKUP(tdata[[#This Row],[Service_Type]],Table2[#All],4,0)</f>
        <v>10000</v>
      </c>
      <c r="P1199" s="2">
        <f>tdata[[#This Row],[price_per_kilo]]*tdata[[#This Row],[Weight_KG]]</f>
        <v>17300</v>
      </c>
      <c r="Q1199" s="2" t="str">
        <f>VLOOKUP(tdata[[#This Row],[id_employee]],temployee[#All],2,0)</f>
        <v>Tegar Prakoso</v>
      </c>
      <c r="R1199" s="2" t="str">
        <f>VLOOKUP(tdata[[#This Row],[id_employee]],temployee[#All],4,0)</f>
        <v>internal</v>
      </c>
      <c r="S1199" s="9" t="str">
        <f>VLOOKUP(tdata[[#This Row],[id_employee]],temployee[#All],5,0)</f>
        <v>driver</v>
      </c>
    </row>
    <row r="1200" spans="2:19" x14ac:dyDescent="0.35">
      <c r="B1200" s="8" t="s">
        <v>1219</v>
      </c>
      <c r="C1200" s="2" t="s">
        <v>1369</v>
      </c>
      <c r="D1200" s="5">
        <v>45545</v>
      </c>
      <c r="E1200" s="5">
        <f>D1200+4</f>
        <v>45549</v>
      </c>
      <c r="F1200" s="2" t="s">
        <v>32</v>
      </c>
      <c r="G1200" s="2" t="s">
        <v>20</v>
      </c>
      <c r="H1200" s="2" t="s">
        <v>1224</v>
      </c>
      <c r="I1200" s="2" t="s">
        <v>17</v>
      </c>
      <c r="J1200" s="2">
        <v>8.8000000000000007</v>
      </c>
      <c r="K1200" s="2" t="str">
        <f t="shared" si="48"/>
        <v>&gt;5kg</v>
      </c>
      <c r="L1200" s="2">
        <f>tdata[[#This Row],[Received_date]]-tdata[[#This Row],[Shipment_Date]]</f>
        <v>4</v>
      </c>
      <c r="M1200" s="2">
        <f>VLOOKUP(tdata[[#This Row],[Service_Type]],Table2[#All],2,0)</f>
        <v>3</v>
      </c>
      <c r="N1200" s="2" t="str">
        <f>IF(tdata[[#This Row],[Delivery_Days]]&lt;=tdata[[#This Row],[SLA_Days]],"On Time","Late")</f>
        <v>Late</v>
      </c>
      <c r="O1200" s="2">
        <f>VLOOKUP(tdata[[#This Row],[Service_Type]],Table2[#All],4,0)</f>
        <v>10000</v>
      </c>
      <c r="P1200" s="2">
        <f>tdata[[#This Row],[price_per_kilo]]*tdata[[#This Row],[Weight_KG]]</f>
        <v>88000</v>
      </c>
      <c r="Q1200" s="2" t="str">
        <f>VLOOKUP(tdata[[#This Row],[id_employee]],temployee[#All],2,0)</f>
        <v>Ulfa Khairunnisa</v>
      </c>
      <c r="R1200" s="2" t="str">
        <f>VLOOKUP(tdata[[#This Row],[id_employee]],temployee[#All],4,0)</f>
        <v>crowd source</v>
      </c>
      <c r="S1200" s="9" t="str">
        <f>VLOOKUP(tdata[[#This Row],[id_employee]],temployee[#All],5,0)</f>
        <v>rider</v>
      </c>
    </row>
    <row r="1201" spans="2:19" x14ac:dyDescent="0.35">
      <c r="B1201" s="8" t="s">
        <v>1220</v>
      </c>
      <c r="C1201" s="2" t="s">
        <v>1370</v>
      </c>
      <c r="D1201" s="5">
        <v>45374</v>
      </c>
      <c r="E1201" s="5">
        <v>45375</v>
      </c>
      <c r="F1201" s="2" t="s">
        <v>16</v>
      </c>
      <c r="G1201" s="2" t="s">
        <v>16</v>
      </c>
      <c r="H1201" s="2" t="s">
        <v>23</v>
      </c>
      <c r="I1201" s="2" t="s">
        <v>13</v>
      </c>
      <c r="J1201" s="2">
        <v>1.45</v>
      </c>
      <c r="K1201" s="2" t="str">
        <f t="shared" si="48"/>
        <v>&lt; 5kg</v>
      </c>
      <c r="L1201" s="2">
        <f>tdata[[#This Row],[Received_date]]-tdata[[#This Row],[Shipment_Date]]</f>
        <v>1</v>
      </c>
      <c r="M1201" s="2">
        <f>VLOOKUP(tdata[[#This Row],[Service_Type]],Table2[#All],2,0)</f>
        <v>5</v>
      </c>
      <c r="N1201" s="2" t="str">
        <f>IF(tdata[[#This Row],[Delivery_Days]]&lt;=tdata[[#This Row],[SLA_Days]],"On Time","Late")</f>
        <v>On Time</v>
      </c>
      <c r="O1201" s="2">
        <f>VLOOKUP(tdata[[#This Row],[Service_Type]],Table2[#All],4,0)</f>
        <v>9000</v>
      </c>
      <c r="P1201" s="2">
        <f>tdata[[#This Row],[price_per_kilo]]*tdata[[#This Row],[Weight_KG]]</f>
        <v>13050</v>
      </c>
      <c r="Q1201" s="2" t="str">
        <f>VLOOKUP(tdata[[#This Row],[id_employee]],temployee[#All],2,0)</f>
        <v>Vito Mahendra</v>
      </c>
      <c r="R1201" s="2" t="str">
        <f>VLOOKUP(tdata[[#This Row],[id_employee]],temployee[#All],4,0)</f>
        <v>internal</v>
      </c>
      <c r="S1201" s="9" t="str">
        <f>VLOOKUP(tdata[[#This Row],[id_employee]],temployee[#All],5,0)</f>
        <v>rider</v>
      </c>
    </row>
    <row r="1202" spans="2:19" x14ac:dyDescent="0.35">
      <c r="B1202" s="8" t="s">
        <v>1221</v>
      </c>
      <c r="C1202" s="2" t="s">
        <v>1371</v>
      </c>
      <c r="D1202" s="5">
        <v>45322</v>
      </c>
      <c r="E1202" s="5">
        <v>45327</v>
      </c>
      <c r="F1202" s="2" t="s">
        <v>26</v>
      </c>
      <c r="G1202" s="2" t="s">
        <v>26</v>
      </c>
      <c r="H1202" s="2" t="s">
        <v>1224</v>
      </c>
      <c r="I1202" s="2" t="s">
        <v>13</v>
      </c>
      <c r="J1202" s="2">
        <v>1.02</v>
      </c>
      <c r="K1202" s="2" t="str">
        <f t="shared" si="48"/>
        <v>&lt; 5kg</v>
      </c>
      <c r="L1202" s="2">
        <f>tdata[[#This Row],[Received_date]]-tdata[[#This Row],[Shipment_Date]]</f>
        <v>5</v>
      </c>
      <c r="M1202" s="2">
        <f>VLOOKUP(tdata[[#This Row],[Service_Type]],Table2[#All],2,0)</f>
        <v>3</v>
      </c>
      <c r="N1202" s="2" t="str">
        <f>IF(tdata[[#This Row],[Delivery_Days]]&lt;=tdata[[#This Row],[SLA_Days]],"On Time","Late")</f>
        <v>Late</v>
      </c>
      <c r="O1202" s="2">
        <f>VLOOKUP(tdata[[#This Row],[Service_Type]],Table2[#All],4,0)</f>
        <v>10000</v>
      </c>
      <c r="P1202" s="2">
        <f>tdata[[#This Row],[price_per_kilo]]*tdata[[#This Row],[Weight_KG]]</f>
        <v>10200</v>
      </c>
      <c r="Q1202" s="2" t="str">
        <f>VLOOKUP(tdata[[#This Row],[id_employee]],temployee[#All],2,0)</f>
        <v>Winda Sari</v>
      </c>
      <c r="R1202" s="2" t="str">
        <f>VLOOKUP(tdata[[#This Row],[id_employee]],temployee[#All],4,0)</f>
        <v>internal</v>
      </c>
      <c r="S1202" s="9" t="str">
        <f>VLOOKUP(tdata[[#This Row],[id_employee]],temployee[#All],5,0)</f>
        <v>rider</v>
      </c>
    </row>
    <row r="1203" spans="2:19" x14ac:dyDescent="0.35">
      <c r="B1203" s="12" t="s">
        <v>1222</v>
      </c>
      <c r="C1203" s="13" t="s">
        <v>1372</v>
      </c>
      <c r="D1203" s="14">
        <v>45616</v>
      </c>
      <c r="E1203" s="14">
        <v>45619</v>
      </c>
      <c r="F1203" s="13" t="s">
        <v>49</v>
      </c>
      <c r="G1203" s="13" t="s">
        <v>15</v>
      </c>
      <c r="H1203" s="13" t="s">
        <v>1224</v>
      </c>
      <c r="I1203" s="13" t="s">
        <v>17</v>
      </c>
      <c r="J1203" s="13">
        <v>9.84</v>
      </c>
      <c r="K1203" s="13" t="str">
        <f t="shared" si="48"/>
        <v>&gt;5kg</v>
      </c>
      <c r="L1203" s="13">
        <f>tdata[[#This Row],[Received_date]]-tdata[[#This Row],[Shipment_Date]]</f>
        <v>3</v>
      </c>
      <c r="M1203" s="13">
        <f>VLOOKUP(tdata[[#This Row],[Service_Type]],Table2[#All],2,0)</f>
        <v>3</v>
      </c>
      <c r="N1203" s="13" t="str">
        <f>IF(tdata[[#This Row],[Delivery_Days]]&lt;=tdata[[#This Row],[SLA_Days]],"On Time","Late")</f>
        <v>On Time</v>
      </c>
      <c r="O1203" s="13">
        <f>VLOOKUP(tdata[[#This Row],[Service_Type]],Table2[#All],4,0)</f>
        <v>10000</v>
      </c>
      <c r="P1203" s="13">
        <f>tdata[[#This Row],[price_per_kilo]]*tdata[[#This Row],[Weight_KG]]</f>
        <v>98400</v>
      </c>
      <c r="Q1203" s="13" t="str">
        <f>VLOOKUP(tdata[[#This Row],[id_employee]],temployee[#All],2,0)</f>
        <v>Yusuf Al Ghazali</v>
      </c>
      <c r="R1203" s="13" t="str">
        <f>VLOOKUP(tdata[[#This Row],[id_employee]],temployee[#All],4,0)</f>
        <v>crowd source</v>
      </c>
      <c r="S1203" s="15" t="str">
        <f>VLOOKUP(tdata[[#This Row],[id_employee]],temployee[#All],5,0)</f>
        <v>driver</v>
      </c>
    </row>
  </sheetData>
  <pageMargins left="0.75" right="0.75" top="1" bottom="1" header="0.5" footer="0.5"/>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783FB-CFC1-4E41-972C-F14D56A84BD4}">
  <dimension ref="A2:D12"/>
  <sheetViews>
    <sheetView workbookViewId="0">
      <selection activeCell="A2" sqref="A2:C12"/>
    </sheetView>
  </sheetViews>
  <sheetFormatPr defaultRowHeight="14.5" x14ac:dyDescent="0.35"/>
  <cols>
    <col min="1" max="1" width="16.7265625" bestFit="1" customWidth="1"/>
    <col min="2" max="2" width="9.7265625" customWidth="1"/>
    <col min="3" max="3" width="11.08984375" customWidth="1"/>
  </cols>
  <sheetData>
    <row r="2" spans="1:4" x14ac:dyDescent="0.35">
      <c r="A2" s="10" t="s">
        <v>1225</v>
      </c>
      <c r="B2" s="11" t="s">
        <v>1226</v>
      </c>
      <c r="C2" s="18" t="s">
        <v>1227</v>
      </c>
    </row>
    <row r="3" spans="1:4" x14ac:dyDescent="0.35">
      <c r="A3" s="8" t="s">
        <v>11</v>
      </c>
      <c r="B3" s="2">
        <v>-6.2681800000000001</v>
      </c>
      <c r="C3" s="9">
        <v>106.75060999999999</v>
      </c>
      <c r="D3" s="3"/>
    </row>
    <row r="4" spans="1:4" x14ac:dyDescent="0.35">
      <c r="A4" s="8" t="s">
        <v>15</v>
      </c>
      <c r="B4" s="2">
        <v>-6.3664699999999996</v>
      </c>
      <c r="C4" s="9">
        <v>106.82602</v>
      </c>
      <c r="D4" s="4"/>
    </row>
    <row r="5" spans="1:4" x14ac:dyDescent="0.35">
      <c r="A5" s="8" t="s">
        <v>20</v>
      </c>
      <c r="B5" s="2">
        <v>-8.5502400000000005</v>
      </c>
      <c r="C5" s="9">
        <v>115.18917999999999</v>
      </c>
      <c r="D5" s="4"/>
    </row>
    <row r="6" spans="1:4" x14ac:dyDescent="0.35">
      <c r="A6" s="8" t="s">
        <v>22</v>
      </c>
      <c r="B6" s="2">
        <v>-7.2459300000000004</v>
      </c>
      <c r="C6" s="9">
        <v>112.71486</v>
      </c>
    </row>
    <row r="7" spans="1:4" x14ac:dyDescent="0.35">
      <c r="A7" s="8" t="s">
        <v>12</v>
      </c>
      <c r="B7" s="2">
        <v>-5.1273999999999997</v>
      </c>
      <c r="C7" s="9">
        <v>119.43696</v>
      </c>
    </row>
    <row r="8" spans="1:4" x14ac:dyDescent="0.35">
      <c r="A8" s="8" t="s">
        <v>30</v>
      </c>
      <c r="B8" s="2">
        <v>3.5753300000000001</v>
      </c>
      <c r="C8" s="9">
        <v>98.695099999999996</v>
      </c>
    </row>
    <row r="9" spans="1:4" x14ac:dyDescent="0.35">
      <c r="A9" s="8" t="s">
        <v>32</v>
      </c>
      <c r="B9" s="2">
        <v>-3.7698100000000001</v>
      </c>
      <c r="C9" s="9">
        <v>103.56767000000001</v>
      </c>
    </row>
    <row r="10" spans="1:4" x14ac:dyDescent="0.35">
      <c r="A10" s="8" t="s">
        <v>16</v>
      </c>
      <c r="B10" s="2">
        <v>-6.2419599999999997</v>
      </c>
      <c r="C10" s="9">
        <v>106.78053</v>
      </c>
    </row>
    <row r="11" spans="1:4" x14ac:dyDescent="0.35">
      <c r="A11" s="8" t="s">
        <v>26</v>
      </c>
      <c r="B11" s="2">
        <v>-6.9144699999999997</v>
      </c>
      <c r="C11" s="9">
        <v>109.66204</v>
      </c>
    </row>
    <row r="12" spans="1:4" x14ac:dyDescent="0.35">
      <c r="A12" s="12" t="s">
        <v>49</v>
      </c>
      <c r="B12" s="13">
        <v>-1.24</v>
      </c>
      <c r="C12" s="15">
        <v>116.89913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ABA8C-06B3-40FC-9F60-AE83A78D118D}">
  <dimension ref="A3:F103"/>
  <sheetViews>
    <sheetView topLeftCell="A87" workbookViewId="0">
      <selection activeCell="A3" sqref="A3:F103"/>
    </sheetView>
  </sheetViews>
  <sheetFormatPr defaultRowHeight="14.5" x14ac:dyDescent="0.35"/>
  <cols>
    <col min="1" max="1" width="13.54296875" customWidth="1"/>
    <col min="2" max="2" width="20.453125" bestFit="1" customWidth="1"/>
    <col min="3" max="3" width="8.6328125" customWidth="1"/>
    <col min="4" max="4" width="17.1796875" customWidth="1"/>
    <col min="5" max="5" width="15.81640625" customWidth="1"/>
    <col min="6" max="6" width="16.7265625" bestFit="1" customWidth="1"/>
  </cols>
  <sheetData>
    <row r="3" spans="1:6" x14ac:dyDescent="0.35">
      <c r="A3" s="21" t="s">
        <v>1233</v>
      </c>
      <c r="B3" s="22" t="s">
        <v>1234</v>
      </c>
      <c r="C3" s="22" t="s">
        <v>1235</v>
      </c>
      <c r="D3" s="22" t="s">
        <v>1236</v>
      </c>
      <c r="E3" s="22" t="s">
        <v>1237</v>
      </c>
      <c r="F3" s="23" t="s">
        <v>1373</v>
      </c>
    </row>
    <row r="4" spans="1:6" x14ac:dyDescent="0.35">
      <c r="A4" s="19" t="s">
        <v>1273</v>
      </c>
      <c r="B4" s="1" t="s">
        <v>1238</v>
      </c>
      <c r="C4" s="1" t="s">
        <v>1239</v>
      </c>
      <c r="D4" s="1" t="s">
        <v>1240</v>
      </c>
      <c r="E4" s="1" t="s">
        <v>1241</v>
      </c>
      <c r="F4" s="20" t="s">
        <v>11</v>
      </c>
    </row>
    <row r="5" spans="1:6" x14ac:dyDescent="0.35">
      <c r="A5" s="19" t="s">
        <v>1274</v>
      </c>
      <c r="B5" s="1" t="s">
        <v>1242</v>
      </c>
      <c r="C5" s="1" t="s">
        <v>1239</v>
      </c>
      <c r="D5" s="1" t="s">
        <v>1240</v>
      </c>
      <c r="E5" s="1" t="s">
        <v>1243</v>
      </c>
      <c r="F5" s="20" t="s">
        <v>15</v>
      </c>
    </row>
    <row r="6" spans="1:6" x14ac:dyDescent="0.35">
      <c r="A6" s="19" t="s">
        <v>1275</v>
      </c>
      <c r="B6" s="1" t="s">
        <v>1244</v>
      </c>
      <c r="C6" s="1" t="s">
        <v>1245</v>
      </c>
      <c r="D6" s="1" t="s">
        <v>1246</v>
      </c>
      <c r="E6" s="1" t="s">
        <v>1241</v>
      </c>
      <c r="F6" s="20" t="s">
        <v>20</v>
      </c>
    </row>
    <row r="7" spans="1:6" x14ac:dyDescent="0.35">
      <c r="A7" s="19" t="s">
        <v>1276</v>
      </c>
      <c r="B7" s="1" t="s">
        <v>1247</v>
      </c>
      <c r="C7" s="1" t="s">
        <v>1239</v>
      </c>
      <c r="D7" s="1" t="s">
        <v>1246</v>
      </c>
      <c r="E7" s="1" t="s">
        <v>1243</v>
      </c>
      <c r="F7" s="20" t="s">
        <v>22</v>
      </c>
    </row>
    <row r="8" spans="1:6" x14ac:dyDescent="0.35">
      <c r="A8" s="19" t="s">
        <v>1277</v>
      </c>
      <c r="B8" s="1" t="s">
        <v>1248</v>
      </c>
      <c r="C8" s="1" t="s">
        <v>1239</v>
      </c>
      <c r="D8" s="1" t="s">
        <v>1240</v>
      </c>
      <c r="E8" s="1" t="s">
        <v>1241</v>
      </c>
      <c r="F8" s="20" t="s">
        <v>12</v>
      </c>
    </row>
    <row r="9" spans="1:6" x14ac:dyDescent="0.35">
      <c r="A9" s="19" t="s">
        <v>1278</v>
      </c>
      <c r="B9" s="1" t="s">
        <v>1249</v>
      </c>
      <c r="C9" s="1" t="s">
        <v>1239</v>
      </c>
      <c r="D9" s="1" t="s">
        <v>1240</v>
      </c>
      <c r="E9" s="1" t="s">
        <v>1243</v>
      </c>
      <c r="F9" s="20" t="s">
        <v>30</v>
      </c>
    </row>
    <row r="10" spans="1:6" x14ac:dyDescent="0.35">
      <c r="A10" s="19" t="s">
        <v>1279</v>
      </c>
      <c r="B10" s="1" t="s">
        <v>1250</v>
      </c>
      <c r="C10" s="1" t="s">
        <v>1245</v>
      </c>
      <c r="D10" s="1" t="s">
        <v>1246</v>
      </c>
      <c r="E10" s="1" t="s">
        <v>1241</v>
      </c>
      <c r="F10" s="20" t="s">
        <v>32</v>
      </c>
    </row>
    <row r="11" spans="1:6" x14ac:dyDescent="0.35">
      <c r="A11" s="19" t="s">
        <v>1280</v>
      </c>
      <c r="B11" s="1" t="s">
        <v>1251</v>
      </c>
      <c r="C11" s="1" t="s">
        <v>1239</v>
      </c>
      <c r="D11" s="1" t="s">
        <v>1240</v>
      </c>
      <c r="E11" s="1" t="s">
        <v>1243</v>
      </c>
      <c r="F11" s="20" t="s">
        <v>16</v>
      </c>
    </row>
    <row r="12" spans="1:6" x14ac:dyDescent="0.35">
      <c r="A12" s="19" t="s">
        <v>1281</v>
      </c>
      <c r="B12" s="1" t="s">
        <v>1252</v>
      </c>
      <c r="C12" s="1" t="s">
        <v>1245</v>
      </c>
      <c r="D12" s="1" t="s">
        <v>1246</v>
      </c>
      <c r="E12" s="1" t="s">
        <v>1241</v>
      </c>
      <c r="F12" s="20" t="s">
        <v>26</v>
      </c>
    </row>
    <row r="13" spans="1:6" x14ac:dyDescent="0.35">
      <c r="A13" s="19" t="s">
        <v>1282</v>
      </c>
      <c r="B13" s="1" t="s">
        <v>1253</v>
      </c>
      <c r="C13" s="1" t="s">
        <v>1239</v>
      </c>
      <c r="D13" s="1" t="s">
        <v>1240</v>
      </c>
      <c r="E13" s="1" t="s">
        <v>1243</v>
      </c>
      <c r="F13" s="20" t="s">
        <v>49</v>
      </c>
    </row>
    <row r="14" spans="1:6" x14ac:dyDescent="0.35">
      <c r="A14" s="19" t="s">
        <v>1283</v>
      </c>
      <c r="B14" s="1" t="s">
        <v>1254</v>
      </c>
      <c r="C14" s="1" t="s">
        <v>1239</v>
      </c>
      <c r="D14" s="1" t="s">
        <v>1246</v>
      </c>
      <c r="E14" s="1" t="s">
        <v>1243</v>
      </c>
      <c r="F14" s="20" t="s">
        <v>11</v>
      </c>
    </row>
    <row r="15" spans="1:6" x14ac:dyDescent="0.35">
      <c r="A15" s="19" t="s">
        <v>1284</v>
      </c>
      <c r="B15" s="1" t="s">
        <v>1255</v>
      </c>
      <c r="C15" s="1" t="s">
        <v>1245</v>
      </c>
      <c r="D15" s="1" t="s">
        <v>1240</v>
      </c>
      <c r="E15" s="1" t="s">
        <v>1241</v>
      </c>
      <c r="F15" s="20" t="s">
        <v>15</v>
      </c>
    </row>
    <row r="16" spans="1:6" x14ac:dyDescent="0.35">
      <c r="A16" s="19" t="s">
        <v>1285</v>
      </c>
      <c r="B16" s="1" t="s">
        <v>1374</v>
      </c>
      <c r="C16" s="1" t="s">
        <v>1239</v>
      </c>
      <c r="D16" s="1" t="s">
        <v>1246</v>
      </c>
      <c r="E16" s="1" t="s">
        <v>1241</v>
      </c>
      <c r="F16" s="20" t="s">
        <v>20</v>
      </c>
    </row>
    <row r="17" spans="1:6" x14ac:dyDescent="0.35">
      <c r="A17" s="19" t="s">
        <v>1286</v>
      </c>
      <c r="B17" s="1" t="s">
        <v>1256</v>
      </c>
      <c r="C17" s="1" t="s">
        <v>1239</v>
      </c>
      <c r="D17" s="1" t="s">
        <v>1240</v>
      </c>
      <c r="E17" s="1" t="s">
        <v>1243</v>
      </c>
      <c r="F17" s="20" t="s">
        <v>22</v>
      </c>
    </row>
    <row r="18" spans="1:6" x14ac:dyDescent="0.35">
      <c r="A18" s="19" t="s">
        <v>1287</v>
      </c>
      <c r="B18" s="1" t="s">
        <v>1257</v>
      </c>
      <c r="C18" s="1" t="s">
        <v>1239</v>
      </c>
      <c r="D18" s="1" t="s">
        <v>1246</v>
      </c>
      <c r="E18" s="1" t="s">
        <v>1243</v>
      </c>
      <c r="F18" s="20" t="s">
        <v>12</v>
      </c>
    </row>
    <row r="19" spans="1:6" x14ac:dyDescent="0.35">
      <c r="A19" s="19" t="s">
        <v>1288</v>
      </c>
      <c r="B19" s="1" t="s">
        <v>1258</v>
      </c>
      <c r="C19" s="1" t="s">
        <v>1245</v>
      </c>
      <c r="D19" s="1" t="s">
        <v>1240</v>
      </c>
      <c r="E19" s="1" t="s">
        <v>1241</v>
      </c>
      <c r="F19" s="20" t="s">
        <v>30</v>
      </c>
    </row>
    <row r="20" spans="1:6" x14ac:dyDescent="0.35">
      <c r="A20" s="19" t="s">
        <v>1289</v>
      </c>
      <c r="B20" s="1" t="s">
        <v>1259</v>
      </c>
      <c r="C20" s="1" t="s">
        <v>1239</v>
      </c>
      <c r="D20" s="1" t="s">
        <v>1240</v>
      </c>
      <c r="E20" s="1" t="s">
        <v>1241</v>
      </c>
      <c r="F20" s="20" t="s">
        <v>32</v>
      </c>
    </row>
    <row r="21" spans="1:6" x14ac:dyDescent="0.35">
      <c r="A21" s="19" t="s">
        <v>1290</v>
      </c>
      <c r="B21" s="1" t="s">
        <v>1260</v>
      </c>
      <c r="C21" s="1" t="s">
        <v>1245</v>
      </c>
      <c r="D21" s="1" t="s">
        <v>1246</v>
      </c>
      <c r="E21" s="1" t="s">
        <v>1241</v>
      </c>
      <c r="F21" s="20" t="s">
        <v>16</v>
      </c>
    </row>
    <row r="22" spans="1:6" x14ac:dyDescent="0.35">
      <c r="A22" s="19" t="s">
        <v>1291</v>
      </c>
      <c r="B22" s="1" t="s">
        <v>1261</v>
      </c>
      <c r="C22" s="1" t="s">
        <v>1239</v>
      </c>
      <c r="D22" s="1" t="s">
        <v>1240</v>
      </c>
      <c r="E22" s="1" t="s">
        <v>1243</v>
      </c>
      <c r="F22" s="20" t="s">
        <v>26</v>
      </c>
    </row>
    <row r="23" spans="1:6" x14ac:dyDescent="0.35">
      <c r="A23" s="19" t="s">
        <v>1292</v>
      </c>
      <c r="B23" s="1" t="s">
        <v>1262</v>
      </c>
      <c r="C23" s="1" t="s">
        <v>1245</v>
      </c>
      <c r="D23" s="1" t="s">
        <v>1246</v>
      </c>
      <c r="E23" s="1" t="s">
        <v>1241</v>
      </c>
      <c r="F23" s="20" t="s">
        <v>49</v>
      </c>
    </row>
    <row r="24" spans="1:6" x14ac:dyDescent="0.35">
      <c r="A24" s="19" t="s">
        <v>1293</v>
      </c>
      <c r="B24" s="1" t="s">
        <v>1263</v>
      </c>
      <c r="C24" s="1" t="s">
        <v>1245</v>
      </c>
      <c r="D24" s="1" t="s">
        <v>1240</v>
      </c>
      <c r="E24" s="1" t="s">
        <v>1241</v>
      </c>
      <c r="F24" s="20" t="s">
        <v>11</v>
      </c>
    </row>
    <row r="25" spans="1:6" x14ac:dyDescent="0.35">
      <c r="A25" s="19" t="s">
        <v>1294</v>
      </c>
      <c r="B25" s="1" t="s">
        <v>1264</v>
      </c>
      <c r="C25" s="1" t="s">
        <v>1239</v>
      </c>
      <c r="D25" s="1" t="s">
        <v>1246</v>
      </c>
      <c r="E25" s="1" t="s">
        <v>1243</v>
      </c>
      <c r="F25" s="20" t="s">
        <v>15</v>
      </c>
    </row>
    <row r="26" spans="1:6" x14ac:dyDescent="0.35">
      <c r="A26" s="19" t="s">
        <v>1295</v>
      </c>
      <c r="B26" s="1" t="s">
        <v>1265</v>
      </c>
      <c r="C26" s="1" t="s">
        <v>1239</v>
      </c>
      <c r="D26" s="1" t="s">
        <v>1240</v>
      </c>
      <c r="E26" s="1" t="s">
        <v>1243</v>
      </c>
      <c r="F26" s="20" t="s">
        <v>20</v>
      </c>
    </row>
    <row r="27" spans="1:6" x14ac:dyDescent="0.35">
      <c r="A27" s="19" t="s">
        <v>1296</v>
      </c>
      <c r="B27" s="1" t="s">
        <v>1266</v>
      </c>
      <c r="C27" s="1" t="s">
        <v>1239</v>
      </c>
      <c r="D27" s="1" t="s">
        <v>1246</v>
      </c>
      <c r="E27" s="1" t="s">
        <v>1243</v>
      </c>
      <c r="F27" s="20" t="s">
        <v>22</v>
      </c>
    </row>
    <row r="28" spans="1:6" x14ac:dyDescent="0.35">
      <c r="A28" s="19" t="s">
        <v>1297</v>
      </c>
      <c r="B28" s="1" t="s">
        <v>1267</v>
      </c>
      <c r="C28" s="1" t="s">
        <v>1239</v>
      </c>
      <c r="D28" s="1" t="s">
        <v>1240</v>
      </c>
      <c r="E28" s="1" t="s">
        <v>1241</v>
      </c>
      <c r="F28" s="20" t="s">
        <v>12</v>
      </c>
    </row>
    <row r="29" spans="1:6" x14ac:dyDescent="0.35">
      <c r="A29" s="19" t="s">
        <v>1298</v>
      </c>
      <c r="B29" s="1" t="s">
        <v>1268</v>
      </c>
      <c r="C29" s="1" t="s">
        <v>1239</v>
      </c>
      <c r="D29" s="1" t="s">
        <v>1246</v>
      </c>
      <c r="E29" s="1" t="s">
        <v>1241</v>
      </c>
      <c r="F29" s="20" t="s">
        <v>30</v>
      </c>
    </row>
    <row r="30" spans="1:6" x14ac:dyDescent="0.35">
      <c r="A30" s="19" t="s">
        <v>1299</v>
      </c>
      <c r="B30" s="1" t="s">
        <v>1269</v>
      </c>
      <c r="C30" s="1" t="s">
        <v>1245</v>
      </c>
      <c r="D30" s="1" t="s">
        <v>1240</v>
      </c>
      <c r="E30" s="1" t="s">
        <v>1241</v>
      </c>
      <c r="F30" s="20" t="s">
        <v>32</v>
      </c>
    </row>
    <row r="31" spans="1:6" x14ac:dyDescent="0.35">
      <c r="A31" s="19" t="s">
        <v>1300</v>
      </c>
      <c r="B31" s="1" t="s">
        <v>1270</v>
      </c>
      <c r="C31" s="1" t="s">
        <v>1239</v>
      </c>
      <c r="D31" s="1" t="s">
        <v>1246</v>
      </c>
      <c r="E31" s="1" t="s">
        <v>1243</v>
      </c>
      <c r="F31" s="20" t="s">
        <v>16</v>
      </c>
    </row>
    <row r="32" spans="1:6" x14ac:dyDescent="0.35">
      <c r="A32" s="19" t="s">
        <v>1301</v>
      </c>
      <c r="B32" s="1" t="s">
        <v>1271</v>
      </c>
      <c r="C32" s="1" t="s">
        <v>1239</v>
      </c>
      <c r="D32" s="1" t="s">
        <v>1240</v>
      </c>
      <c r="E32" s="1" t="s">
        <v>1243</v>
      </c>
      <c r="F32" s="20" t="s">
        <v>26</v>
      </c>
    </row>
    <row r="33" spans="1:6" x14ac:dyDescent="0.35">
      <c r="A33" s="19" t="s">
        <v>1302</v>
      </c>
      <c r="B33" s="1" t="s">
        <v>1272</v>
      </c>
      <c r="C33" s="1" t="s">
        <v>1245</v>
      </c>
      <c r="D33" s="1" t="s">
        <v>1246</v>
      </c>
      <c r="E33" s="1" t="s">
        <v>1241</v>
      </c>
      <c r="F33" s="20" t="s">
        <v>49</v>
      </c>
    </row>
    <row r="34" spans="1:6" x14ac:dyDescent="0.35">
      <c r="A34" s="19" t="s">
        <v>1303</v>
      </c>
      <c r="B34" s="1" t="s">
        <v>1375</v>
      </c>
      <c r="C34" s="1" t="s">
        <v>1239</v>
      </c>
      <c r="D34" s="1" t="s">
        <v>1240</v>
      </c>
      <c r="E34" s="1" t="s">
        <v>1241</v>
      </c>
      <c r="F34" s="20" t="s">
        <v>11</v>
      </c>
    </row>
    <row r="35" spans="1:6" x14ac:dyDescent="0.35">
      <c r="A35" s="19" t="s">
        <v>1304</v>
      </c>
      <c r="B35" s="1" t="s">
        <v>1376</v>
      </c>
      <c r="C35" s="1" t="s">
        <v>1239</v>
      </c>
      <c r="D35" s="1" t="s">
        <v>1246</v>
      </c>
      <c r="E35" s="1" t="s">
        <v>1243</v>
      </c>
      <c r="F35" s="20" t="s">
        <v>15</v>
      </c>
    </row>
    <row r="36" spans="1:6" x14ac:dyDescent="0.35">
      <c r="A36" s="19" t="s">
        <v>1305</v>
      </c>
      <c r="B36" s="1" t="s">
        <v>1377</v>
      </c>
      <c r="C36" s="1" t="s">
        <v>1245</v>
      </c>
      <c r="D36" s="1" t="s">
        <v>1240</v>
      </c>
      <c r="E36" s="1" t="s">
        <v>1241</v>
      </c>
      <c r="F36" s="20" t="s">
        <v>20</v>
      </c>
    </row>
    <row r="37" spans="1:6" x14ac:dyDescent="0.35">
      <c r="A37" s="19" t="s">
        <v>1306</v>
      </c>
      <c r="B37" s="1" t="s">
        <v>1378</v>
      </c>
      <c r="C37" s="1" t="s">
        <v>1239</v>
      </c>
      <c r="D37" s="1" t="s">
        <v>1240</v>
      </c>
      <c r="E37" s="1" t="s">
        <v>1243</v>
      </c>
      <c r="F37" s="20" t="s">
        <v>22</v>
      </c>
    </row>
    <row r="38" spans="1:6" x14ac:dyDescent="0.35">
      <c r="A38" s="19" t="s">
        <v>1307</v>
      </c>
      <c r="B38" s="1" t="s">
        <v>1379</v>
      </c>
      <c r="C38" s="1" t="s">
        <v>1245</v>
      </c>
      <c r="D38" s="1" t="s">
        <v>1246</v>
      </c>
      <c r="E38" s="1" t="s">
        <v>1241</v>
      </c>
      <c r="F38" s="20" t="s">
        <v>12</v>
      </c>
    </row>
    <row r="39" spans="1:6" x14ac:dyDescent="0.35">
      <c r="A39" s="19" t="s">
        <v>1308</v>
      </c>
      <c r="B39" s="1" t="s">
        <v>1380</v>
      </c>
      <c r="C39" s="1" t="s">
        <v>1239</v>
      </c>
      <c r="D39" s="1" t="s">
        <v>1240</v>
      </c>
      <c r="E39" s="1" t="s">
        <v>1243</v>
      </c>
      <c r="F39" s="20" t="s">
        <v>30</v>
      </c>
    </row>
    <row r="40" spans="1:6" x14ac:dyDescent="0.35">
      <c r="A40" s="19" t="s">
        <v>1309</v>
      </c>
      <c r="B40" s="1" t="s">
        <v>1381</v>
      </c>
      <c r="C40" s="1" t="s">
        <v>1245</v>
      </c>
      <c r="D40" s="1" t="s">
        <v>1240</v>
      </c>
      <c r="E40" s="1" t="s">
        <v>1241</v>
      </c>
      <c r="F40" s="20" t="s">
        <v>32</v>
      </c>
    </row>
    <row r="41" spans="1:6" x14ac:dyDescent="0.35">
      <c r="A41" s="19" t="s">
        <v>1310</v>
      </c>
      <c r="B41" s="1" t="s">
        <v>1382</v>
      </c>
      <c r="C41" s="1" t="s">
        <v>1239</v>
      </c>
      <c r="D41" s="1" t="s">
        <v>1246</v>
      </c>
      <c r="E41" s="1" t="s">
        <v>1243</v>
      </c>
      <c r="F41" s="20" t="s">
        <v>16</v>
      </c>
    </row>
    <row r="42" spans="1:6" x14ac:dyDescent="0.35">
      <c r="A42" s="19" t="s">
        <v>1311</v>
      </c>
      <c r="B42" s="1" t="s">
        <v>1383</v>
      </c>
      <c r="C42" s="1" t="s">
        <v>1245</v>
      </c>
      <c r="D42" s="1" t="s">
        <v>1240</v>
      </c>
      <c r="E42" s="1" t="s">
        <v>1241</v>
      </c>
      <c r="F42" s="20" t="s">
        <v>26</v>
      </c>
    </row>
    <row r="43" spans="1:6" x14ac:dyDescent="0.35">
      <c r="A43" s="19" t="s">
        <v>1312</v>
      </c>
      <c r="B43" s="1" t="s">
        <v>1384</v>
      </c>
      <c r="C43" s="1" t="s">
        <v>1239</v>
      </c>
      <c r="D43" s="1" t="s">
        <v>1240</v>
      </c>
      <c r="E43" s="1" t="s">
        <v>1243</v>
      </c>
      <c r="F43" s="20" t="s">
        <v>49</v>
      </c>
    </row>
    <row r="44" spans="1:6" x14ac:dyDescent="0.35">
      <c r="A44" s="19" t="s">
        <v>1313</v>
      </c>
      <c r="B44" s="1" t="s">
        <v>1385</v>
      </c>
      <c r="C44" s="1" t="s">
        <v>1245</v>
      </c>
      <c r="D44" s="1" t="s">
        <v>1246</v>
      </c>
      <c r="E44" s="1" t="s">
        <v>1241</v>
      </c>
      <c r="F44" s="20" t="s">
        <v>11</v>
      </c>
    </row>
    <row r="45" spans="1:6" x14ac:dyDescent="0.35">
      <c r="A45" s="19" t="s">
        <v>1314</v>
      </c>
      <c r="B45" s="1" t="s">
        <v>1386</v>
      </c>
      <c r="C45" s="1" t="s">
        <v>1239</v>
      </c>
      <c r="D45" s="1" t="s">
        <v>1246</v>
      </c>
      <c r="E45" s="1" t="s">
        <v>1243</v>
      </c>
      <c r="F45" s="20" t="s">
        <v>15</v>
      </c>
    </row>
    <row r="46" spans="1:6" x14ac:dyDescent="0.35">
      <c r="A46" s="19" t="s">
        <v>1315</v>
      </c>
      <c r="B46" s="1" t="s">
        <v>1387</v>
      </c>
      <c r="C46" s="1" t="s">
        <v>1245</v>
      </c>
      <c r="D46" s="1" t="s">
        <v>1240</v>
      </c>
      <c r="E46" s="1" t="s">
        <v>1241</v>
      </c>
      <c r="F46" s="20" t="s">
        <v>20</v>
      </c>
    </row>
    <row r="47" spans="1:6" x14ac:dyDescent="0.35">
      <c r="A47" s="19" t="s">
        <v>1316</v>
      </c>
      <c r="B47" s="1" t="s">
        <v>1388</v>
      </c>
      <c r="C47" s="1" t="s">
        <v>1239</v>
      </c>
      <c r="D47" s="1" t="s">
        <v>1240</v>
      </c>
      <c r="E47" s="1" t="s">
        <v>1243</v>
      </c>
      <c r="F47" s="20" t="s">
        <v>22</v>
      </c>
    </row>
    <row r="48" spans="1:6" x14ac:dyDescent="0.35">
      <c r="A48" s="19" t="s">
        <v>1317</v>
      </c>
      <c r="B48" s="1" t="s">
        <v>1389</v>
      </c>
      <c r="C48" s="1" t="s">
        <v>1239</v>
      </c>
      <c r="D48" s="1" t="s">
        <v>1246</v>
      </c>
      <c r="E48" s="1" t="s">
        <v>1241</v>
      </c>
      <c r="F48" s="20" t="s">
        <v>12</v>
      </c>
    </row>
    <row r="49" spans="1:6" x14ac:dyDescent="0.35">
      <c r="A49" s="19" t="s">
        <v>1318</v>
      </c>
      <c r="B49" s="1" t="s">
        <v>1390</v>
      </c>
      <c r="C49" s="1" t="s">
        <v>1245</v>
      </c>
      <c r="D49" s="1" t="s">
        <v>1240</v>
      </c>
      <c r="E49" s="1" t="s">
        <v>1241</v>
      </c>
      <c r="F49" s="20" t="s">
        <v>30</v>
      </c>
    </row>
    <row r="50" spans="1:6" x14ac:dyDescent="0.35">
      <c r="A50" s="19" t="s">
        <v>1319</v>
      </c>
      <c r="B50" s="1" t="s">
        <v>1391</v>
      </c>
      <c r="C50" s="1" t="s">
        <v>1239</v>
      </c>
      <c r="D50" s="1" t="s">
        <v>1240</v>
      </c>
      <c r="E50" s="1" t="s">
        <v>1243</v>
      </c>
      <c r="F50" s="20" t="s">
        <v>32</v>
      </c>
    </row>
    <row r="51" spans="1:6" x14ac:dyDescent="0.35">
      <c r="A51" s="19" t="s">
        <v>1320</v>
      </c>
      <c r="B51" s="1" t="s">
        <v>1392</v>
      </c>
      <c r="C51" s="1" t="s">
        <v>1245</v>
      </c>
      <c r="D51" s="1" t="s">
        <v>1246</v>
      </c>
      <c r="E51" s="1" t="s">
        <v>1241</v>
      </c>
      <c r="F51" s="20" t="s">
        <v>16</v>
      </c>
    </row>
    <row r="52" spans="1:6" x14ac:dyDescent="0.35">
      <c r="A52" s="19" t="s">
        <v>1321</v>
      </c>
      <c r="B52" s="1" t="s">
        <v>1393</v>
      </c>
      <c r="C52" s="1" t="s">
        <v>1239</v>
      </c>
      <c r="D52" s="1" t="s">
        <v>1240</v>
      </c>
      <c r="E52" s="1" t="s">
        <v>1241</v>
      </c>
      <c r="F52" s="20" t="s">
        <v>26</v>
      </c>
    </row>
    <row r="53" spans="1:6" x14ac:dyDescent="0.35">
      <c r="A53" s="19" t="s">
        <v>1322</v>
      </c>
      <c r="B53" s="1" t="s">
        <v>1394</v>
      </c>
      <c r="C53" s="1" t="s">
        <v>1239</v>
      </c>
      <c r="D53" s="1" t="s">
        <v>1246</v>
      </c>
      <c r="E53" s="1" t="s">
        <v>1243</v>
      </c>
      <c r="F53" s="20" t="s">
        <v>49</v>
      </c>
    </row>
    <row r="54" spans="1:6" x14ac:dyDescent="0.35">
      <c r="A54" s="19" t="s">
        <v>1323</v>
      </c>
      <c r="B54" s="1" t="s">
        <v>1395</v>
      </c>
      <c r="C54" s="1" t="s">
        <v>1239</v>
      </c>
      <c r="D54" s="1" t="s">
        <v>1240</v>
      </c>
      <c r="E54" s="1" t="s">
        <v>1241</v>
      </c>
      <c r="F54" s="20" t="s">
        <v>11</v>
      </c>
    </row>
    <row r="55" spans="1:6" x14ac:dyDescent="0.35">
      <c r="A55" s="19" t="s">
        <v>1324</v>
      </c>
      <c r="B55" s="1" t="s">
        <v>1396</v>
      </c>
      <c r="C55" s="1" t="s">
        <v>1245</v>
      </c>
      <c r="D55" s="1" t="s">
        <v>1240</v>
      </c>
      <c r="E55" s="1" t="s">
        <v>1241</v>
      </c>
      <c r="F55" s="20" t="s">
        <v>15</v>
      </c>
    </row>
    <row r="56" spans="1:6" x14ac:dyDescent="0.35">
      <c r="A56" s="19" t="s">
        <v>1325</v>
      </c>
      <c r="B56" s="1" t="s">
        <v>1397</v>
      </c>
      <c r="C56" s="1" t="s">
        <v>1239</v>
      </c>
      <c r="D56" s="1" t="s">
        <v>1246</v>
      </c>
      <c r="E56" s="1" t="s">
        <v>1243</v>
      </c>
      <c r="F56" s="20" t="s">
        <v>20</v>
      </c>
    </row>
    <row r="57" spans="1:6" x14ac:dyDescent="0.35">
      <c r="A57" s="19" t="s">
        <v>1326</v>
      </c>
      <c r="B57" s="1" t="s">
        <v>1398</v>
      </c>
      <c r="C57" s="1" t="s">
        <v>1245</v>
      </c>
      <c r="D57" s="1" t="s">
        <v>1240</v>
      </c>
      <c r="E57" s="1" t="s">
        <v>1241</v>
      </c>
      <c r="F57" s="20" t="s">
        <v>22</v>
      </c>
    </row>
    <row r="58" spans="1:6" x14ac:dyDescent="0.35">
      <c r="A58" s="19" t="s">
        <v>1327</v>
      </c>
      <c r="B58" s="1" t="s">
        <v>1399</v>
      </c>
      <c r="C58" s="1" t="s">
        <v>1239</v>
      </c>
      <c r="D58" s="1" t="s">
        <v>1240</v>
      </c>
      <c r="E58" s="1" t="s">
        <v>1243</v>
      </c>
      <c r="F58" s="20" t="s">
        <v>12</v>
      </c>
    </row>
    <row r="59" spans="1:6" x14ac:dyDescent="0.35">
      <c r="A59" s="19" t="s">
        <v>1328</v>
      </c>
      <c r="B59" s="1" t="s">
        <v>1400</v>
      </c>
      <c r="C59" s="1" t="s">
        <v>1245</v>
      </c>
      <c r="D59" s="1" t="s">
        <v>1246</v>
      </c>
      <c r="E59" s="1" t="s">
        <v>1241</v>
      </c>
      <c r="F59" s="20" t="s">
        <v>30</v>
      </c>
    </row>
    <row r="60" spans="1:6" x14ac:dyDescent="0.35">
      <c r="A60" s="19" t="s">
        <v>1329</v>
      </c>
      <c r="B60" s="1" t="s">
        <v>1401</v>
      </c>
      <c r="C60" s="1" t="s">
        <v>1239</v>
      </c>
      <c r="D60" s="1" t="s">
        <v>1240</v>
      </c>
      <c r="E60" s="1" t="s">
        <v>1241</v>
      </c>
      <c r="F60" s="20" t="s">
        <v>32</v>
      </c>
    </row>
    <row r="61" spans="1:6" x14ac:dyDescent="0.35">
      <c r="A61" s="19" t="s">
        <v>1330</v>
      </c>
      <c r="B61" s="1" t="s">
        <v>1402</v>
      </c>
      <c r="C61" s="1" t="s">
        <v>1239</v>
      </c>
      <c r="D61" s="1" t="s">
        <v>1246</v>
      </c>
      <c r="E61" s="1" t="s">
        <v>1243</v>
      </c>
      <c r="F61" s="20" t="s">
        <v>16</v>
      </c>
    </row>
    <row r="62" spans="1:6" x14ac:dyDescent="0.35">
      <c r="A62" s="19" t="s">
        <v>1331</v>
      </c>
      <c r="B62" s="1" t="s">
        <v>1403</v>
      </c>
      <c r="C62" s="1" t="s">
        <v>1245</v>
      </c>
      <c r="D62" s="1" t="s">
        <v>1240</v>
      </c>
      <c r="E62" s="1" t="s">
        <v>1241</v>
      </c>
      <c r="F62" s="20" t="s">
        <v>26</v>
      </c>
    </row>
    <row r="63" spans="1:6" x14ac:dyDescent="0.35">
      <c r="A63" s="19" t="s">
        <v>1332</v>
      </c>
      <c r="B63" s="1" t="s">
        <v>1404</v>
      </c>
      <c r="C63" s="1" t="s">
        <v>1239</v>
      </c>
      <c r="D63" s="1" t="s">
        <v>1240</v>
      </c>
      <c r="E63" s="1" t="s">
        <v>1243</v>
      </c>
      <c r="F63" s="20" t="s">
        <v>49</v>
      </c>
    </row>
    <row r="64" spans="1:6" x14ac:dyDescent="0.35">
      <c r="A64" s="19" t="s">
        <v>1333</v>
      </c>
      <c r="B64" s="1" t="s">
        <v>1405</v>
      </c>
      <c r="C64" s="1" t="s">
        <v>1239</v>
      </c>
      <c r="D64" s="1" t="s">
        <v>1246</v>
      </c>
      <c r="E64" s="1" t="s">
        <v>1241</v>
      </c>
      <c r="F64" s="20" t="s">
        <v>11</v>
      </c>
    </row>
    <row r="65" spans="1:6" x14ac:dyDescent="0.35">
      <c r="A65" s="19" t="s">
        <v>1334</v>
      </c>
      <c r="B65" s="1" t="s">
        <v>1406</v>
      </c>
      <c r="C65" s="1" t="s">
        <v>1245</v>
      </c>
      <c r="D65" s="1" t="s">
        <v>1240</v>
      </c>
      <c r="E65" s="1" t="s">
        <v>1241</v>
      </c>
      <c r="F65" s="20" t="s">
        <v>15</v>
      </c>
    </row>
    <row r="66" spans="1:6" x14ac:dyDescent="0.35">
      <c r="A66" s="19" t="s">
        <v>1335</v>
      </c>
      <c r="B66" s="1" t="s">
        <v>1407</v>
      </c>
      <c r="C66" s="1" t="s">
        <v>1239</v>
      </c>
      <c r="D66" s="1" t="s">
        <v>1246</v>
      </c>
      <c r="E66" s="1" t="s">
        <v>1243</v>
      </c>
      <c r="F66" s="20" t="s">
        <v>20</v>
      </c>
    </row>
    <row r="67" spans="1:6" x14ac:dyDescent="0.35">
      <c r="A67" s="19" t="s">
        <v>1336</v>
      </c>
      <c r="B67" s="1" t="s">
        <v>1408</v>
      </c>
      <c r="C67" s="1" t="s">
        <v>1245</v>
      </c>
      <c r="D67" s="1" t="s">
        <v>1240</v>
      </c>
      <c r="E67" s="1" t="s">
        <v>1241</v>
      </c>
      <c r="F67" s="20" t="s">
        <v>22</v>
      </c>
    </row>
    <row r="68" spans="1:6" x14ac:dyDescent="0.35">
      <c r="A68" s="19" t="s">
        <v>1337</v>
      </c>
      <c r="B68" s="1" t="s">
        <v>1409</v>
      </c>
      <c r="C68" s="1" t="s">
        <v>1239</v>
      </c>
      <c r="D68" s="1" t="s">
        <v>1240</v>
      </c>
      <c r="E68" s="1" t="s">
        <v>1243</v>
      </c>
      <c r="F68" s="20" t="s">
        <v>12</v>
      </c>
    </row>
    <row r="69" spans="1:6" x14ac:dyDescent="0.35">
      <c r="A69" s="19" t="s">
        <v>1338</v>
      </c>
      <c r="B69" s="1" t="s">
        <v>1410</v>
      </c>
      <c r="C69" s="1" t="s">
        <v>1239</v>
      </c>
      <c r="D69" s="1" t="s">
        <v>1246</v>
      </c>
      <c r="E69" s="1" t="s">
        <v>1241</v>
      </c>
      <c r="F69" s="20" t="s">
        <v>30</v>
      </c>
    </row>
    <row r="70" spans="1:6" x14ac:dyDescent="0.35">
      <c r="A70" s="19" t="s">
        <v>1339</v>
      </c>
      <c r="B70" s="1" t="s">
        <v>1411</v>
      </c>
      <c r="C70" s="1" t="s">
        <v>1245</v>
      </c>
      <c r="D70" s="1" t="s">
        <v>1240</v>
      </c>
      <c r="E70" s="1" t="s">
        <v>1241</v>
      </c>
      <c r="F70" s="20" t="s">
        <v>32</v>
      </c>
    </row>
    <row r="71" spans="1:6" x14ac:dyDescent="0.35">
      <c r="A71" s="19" t="s">
        <v>1340</v>
      </c>
      <c r="B71" s="1" t="s">
        <v>1412</v>
      </c>
      <c r="C71" s="1" t="s">
        <v>1239</v>
      </c>
      <c r="D71" s="1" t="s">
        <v>1246</v>
      </c>
      <c r="E71" s="1" t="s">
        <v>1243</v>
      </c>
      <c r="F71" s="20" t="s">
        <v>16</v>
      </c>
    </row>
    <row r="72" spans="1:6" x14ac:dyDescent="0.35">
      <c r="A72" s="19" t="s">
        <v>1341</v>
      </c>
      <c r="B72" s="1" t="s">
        <v>1413</v>
      </c>
      <c r="C72" s="1" t="s">
        <v>1245</v>
      </c>
      <c r="D72" s="1" t="s">
        <v>1240</v>
      </c>
      <c r="E72" s="1" t="s">
        <v>1241</v>
      </c>
      <c r="F72" s="20" t="s">
        <v>26</v>
      </c>
    </row>
    <row r="73" spans="1:6" x14ac:dyDescent="0.35">
      <c r="A73" s="19" t="s">
        <v>1342</v>
      </c>
      <c r="B73" s="1" t="s">
        <v>1414</v>
      </c>
      <c r="C73" s="1" t="s">
        <v>1239</v>
      </c>
      <c r="D73" s="1" t="s">
        <v>1240</v>
      </c>
      <c r="E73" s="1" t="s">
        <v>1243</v>
      </c>
      <c r="F73" s="20" t="s">
        <v>49</v>
      </c>
    </row>
    <row r="74" spans="1:6" x14ac:dyDescent="0.35">
      <c r="A74" s="19" t="s">
        <v>1343</v>
      </c>
      <c r="B74" s="1" t="s">
        <v>1415</v>
      </c>
      <c r="C74" s="1" t="s">
        <v>1239</v>
      </c>
      <c r="D74" s="1" t="s">
        <v>1246</v>
      </c>
      <c r="E74" s="1" t="s">
        <v>1241</v>
      </c>
      <c r="F74" s="20" t="s">
        <v>11</v>
      </c>
    </row>
    <row r="75" spans="1:6" x14ac:dyDescent="0.35">
      <c r="A75" s="19" t="s">
        <v>1344</v>
      </c>
      <c r="B75" s="1" t="s">
        <v>1416</v>
      </c>
      <c r="C75" s="1" t="s">
        <v>1245</v>
      </c>
      <c r="D75" s="1" t="s">
        <v>1240</v>
      </c>
      <c r="E75" s="1" t="s">
        <v>1241</v>
      </c>
      <c r="F75" s="20" t="s">
        <v>15</v>
      </c>
    </row>
    <row r="76" spans="1:6" x14ac:dyDescent="0.35">
      <c r="A76" s="19" t="s">
        <v>1345</v>
      </c>
      <c r="B76" s="1" t="s">
        <v>1417</v>
      </c>
      <c r="C76" s="1" t="s">
        <v>1239</v>
      </c>
      <c r="D76" s="1" t="s">
        <v>1240</v>
      </c>
      <c r="E76" s="1" t="s">
        <v>1243</v>
      </c>
      <c r="F76" s="20" t="s">
        <v>20</v>
      </c>
    </row>
    <row r="77" spans="1:6" x14ac:dyDescent="0.35">
      <c r="A77" s="19" t="s">
        <v>1346</v>
      </c>
      <c r="B77" s="1" t="s">
        <v>1418</v>
      </c>
      <c r="C77" s="1" t="s">
        <v>1239</v>
      </c>
      <c r="D77" s="1" t="s">
        <v>1246</v>
      </c>
      <c r="E77" s="1" t="s">
        <v>1243</v>
      </c>
      <c r="F77" s="20" t="s">
        <v>22</v>
      </c>
    </row>
    <row r="78" spans="1:6" x14ac:dyDescent="0.35">
      <c r="A78" s="19" t="s">
        <v>1347</v>
      </c>
      <c r="B78" s="1" t="s">
        <v>1419</v>
      </c>
      <c r="C78" s="1" t="s">
        <v>1245</v>
      </c>
      <c r="D78" s="1" t="s">
        <v>1240</v>
      </c>
      <c r="E78" s="1" t="s">
        <v>1241</v>
      </c>
      <c r="F78" s="20" t="s">
        <v>12</v>
      </c>
    </row>
    <row r="79" spans="1:6" x14ac:dyDescent="0.35">
      <c r="A79" s="19" t="s">
        <v>1348</v>
      </c>
      <c r="B79" s="1" t="s">
        <v>1420</v>
      </c>
      <c r="C79" s="1" t="s">
        <v>1239</v>
      </c>
      <c r="D79" s="1" t="s">
        <v>1240</v>
      </c>
      <c r="E79" s="1" t="s">
        <v>1241</v>
      </c>
      <c r="F79" s="20" t="s">
        <v>30</v>
      </c>
    </row>
    <row r="80" spans="1:6" x14ac:dyDescent="0.35">
      <c r="A80" s="19" t="s">
        <v>1349</v>
      </c>
      <c r="B80" s="1" t="s">
        <v>1421</v>
      </c>
      <c r="C80" s="1" t="s">
        <v>1239</v>
      </c>
      <c r="D80" s="1" t="s">
        <v>1246</v>
      </c>
      <c r="E80" s="1" t="s">
        <v>1243</v>
      </c>
      <c r="F80" s="20" t="s">
        <v>32</v>
      </c>
    </row>
    <row r="81" spans="1:6" x14ac:dyDescent="0.35">
      <c r="A81" s="19" t="s">
        <v>1350</v>
      </c>
      <c r="B81" s="1" t="s">
        <v>1422</v>
      </c>
      <c r="C81" s="1" t="s">
        <v>1245</v>
      </c>
      <c r="D81" s="1" t="s">
        <v>1240</v>
      </c>
      <c r="E81" s="1" t="s">
        <v>1241</v>
      </c>
      <c r="F81" s="20" t="s">
        <v>16</v>
      </c>
    </row>
    <row r="82" spans="1:6" x14ac:dyDescent="0.35">
      <c r="A82" s="19" t="s">
        <v>1351</v>
      </c>
      <c r="B82" s="1" t="s">
        <v>1423</v>
      </c>
      <c r="C82" s="1" t="s">
        <v>1239</v>
      </c>
      <c r="D82" s="1" t="s">
        <v>1240</v>
      </c>
      <c r="E82" s="1" t="s">
        <v>1243</v>
      </c>
      <c r="F82" s="20" t="s">
        <v>26</v>
      </c>
    </row>
    <row r="83" spans="1:6" x14ac:dyDescent="0.35">
      <c r="A83" s="19" t="s">
        <v>1352</v>
      </c>
      <c r="B83" s="1" t="s">
        <v>1424</v>
      </c>
      <c r="C83" s="1" t="s">
        <v>1245</v>
      </c>
      <c r="D83" s="1" t="s">
        <v>1246</v>
      </c>
      <c r="E83" s="1" t="s">
        <v>1241</v>
      </c>
      <c r="F83" s="20" t="s">
        <v>49</v>
      </c>
    </row>
    <row r="84" spans="1:6" x14ac:dyDescent="0.35">
      <c r="A84" s="19" t="s">
        <v>1353</v>
      </c>
      <c r="B84" s="1" t="s">
        <v>1425</v>
      </c>
      <c r="C84" s="1" t="s">
        <v>1245</v>
      </c>
      <c r="D84" s="1" t="s">
        <v>1240</v>
      </c>
      <c r="E84" s="1" t="s">
        <v>1241</v>
      </c>
      <c r="F84" s="20" t="s">
        <v>11</v>
      </c>
    </row>
    <row r="85" spans="1:6" x14ac:dyDescent="0.35">
      <c r="A85" s="19" t="s">
        <v>1354</v>
      </c>
      <c r="B85" s="1" t="s">
        <v>1426</v>
      </c>
      <c r="C85" s="1" t="s">
        <v>1239</v>
      </c>
      <c r="D85" s="1" t="s">
        <v>1246</v>
      </c>
      <c r="E85" s="1" t="s">
        <v>1243</v>
      </c>
      <c r="F85" s="20" t="s">
        <v>15</v>
      </c>
    </row>
    <row r="86" spans="1:6" x14ac:dyDescent="0.35">
      <c r="A86" s="19" t="s">
        <v>1355</v>
      </c>
      <c r="B86" s="1" t="s">
        <v>1427</v>
      </c>
      <c r="C86" s="1" t="s">
        <v>1239</v>
      </c>
      <c r="D86" s="1" t="s">
        <v>1240</v>
      </c>
      <c r="E86" s="1" t="s">
        <v>1241</v>
      </c>
      <c r="F86" s="20" t="s">
        <v>20</v>
      </c>
    </row>
    <row r="87" spans="1:6" x14ac:dyDescent="0.35">
      <c r="A87" s="19" t="s">
        <v>1356</v>
      </c>
      <c r="B87" s="1" t="s">
        <v>1428</v>
      </c>
      <c r="C87" s="1" t="s">
        <v>1245</v>
      </c>
      <c r="D87" s="1" t="s">
        <v>1240</v>
      </c>
      <c r="E87" s="1" t="s">
        <v>1241</v>
      </c>
      <c r="F87" s="20" t="s">
        <v>22</v>
      </c>
    </row>
    <row r="88" spans="1:6" x14ac:dyDescent="0.35">
      <c r="A88" s="19" t="s">
        <v>1357</v>
      </c>
      <c r="B88" s="1" t="s">
        <v>1429</v>
      </c>
      <c r="C88" s="1" t="s">
        <v>1239</v>
      </c>
      <c r="D88" s="1" t="s">
        <v>1240</v>
      </c>
      <c r="E88" s="1" t="s">
        <v>1243</v>
      </c>
      <c r="F88" s="20" t="s">
        <v>12</v>
      </c>
    </row>
    <row r="89" spans="1:6" x14ac:dyDescent="0.35">
      <c r="A89" s="19" t="s">
        <v>1358</v>
      </c>
      <c r="B89" s="1" t="s">
        <v>1430</v>
      </c>
      <c r="C89" s="1" t="s">
        <v>1245</v>
      </c>
      <c r="D89" s="1" t="s">
        <v>1246</v>
      </c>
      <c r="E89" s="1" t="s">
        <v>1241</v>
      </c>
      <c r="F89" s="20" t="s">
        <v>30</v>
      </c>
    </row>
    <row r="90" spans="1:6" x14ac:dyDescent="0.35">
      <c r="A90" s="19" t="s">
        <v>1359</v>
      </c>
      <c r="B90" s="1" t="s">
        <v>1431</v>
      </c>
      <c r="C90" s="1" t="s">
        <v>1239</v>
      </c>
      <c r="D90" s="1" t="s">
        <v>1240</v>
      </c>
      <c r="E90" s="1" t="s">
        <v>1241</v>
      </c>
      <c r="F90" s="20" t="s">
        <v>32</v>
      </c>
    </row>
    <row r="91" spans="1:6" x14ac:dyDescent="0.35">
      <c r="A91" s="19" t="s">
        <v>1360</v>
      </c>
      <c r="B91" s="1" t="s">
        <v>1432</v>
      </c>
      <c r="C91" s="1" t="s">
        <v>1239</v>
      </c>
      <c r="D91" s="1" t="s">
        <v>1246</v>
      </c>
      <c r="E91" s="1" t="s">
        <v>1243</v>
      </c>
      <c r="F91" s="20" t="s">
        <v>16</v>
      </c>
    </row>
    <row r="92" spans="1:6" x14ac:dyDescent="0.35">
      <c r="A92" s="19" t="s">
        <v>1361</v>
      </c>
      <c r="B92" s="1" t="s">
        <v>1433</v>
      </c>
      <c r="C92" s="1" t="s">
        <v>1245</v>
      </c>
      <c r="D92" s="1" t="s">
        <v>1240</v>
      </c>
      <c r="E92" s="1" t="s">
        <v>1241</v>
      </c>
      <c r="F92" s="20" t="s">
        <v>26</v>
      </c>
    </row>
    <row r="93" spans="1:6" x14ac:dyDescent="0.35">
      <c r="A93" s="19" t="s">
        <v>1362</v>
      </c>
      <c r="B93" s="1" t="s">
        <v>1434</v>
      </c>
      <c r="C93" s="1" t="s">
        <v>1239</v>
      </c>
      <c r="D93" s="1" t="s">
        <v>1240</v>
      </c>
      <c r="E93" s="1" t="s">
        <v>1243</v>
      </c>
      <c r="F93" s="20" t="s">
        <v>49</v>
      </c>
    </row>
    <row r="94" spans="1:6" x14ac:dyDescent="0.35">
      <c r="A94" s="19" t="s">
        <v>1363</v>
      </c>
      <c r="B94" s="1" t="s">
        <v>1435</v>
      </c>
      <c r="C94" s="1" t="s">
        <v>1245</v>
      </c>
      <c r="D94" s="1" t="s">
        <v>1246</v>
      </c>
      <c r="E94" s="1" t="s">
        <v>1241</v>
      </c>
      <c r="F94" s="20" t="s">
        <v>11</v>
      </c>
    </row>
    <row r="95" spans="1:6" x14ac:dyDescent="0.35">
      <c r="A95" s="19" t="s">
        <v>1364</v>
      </c>
      <c r="B95" s="1" t="s">
        <v>1436</v>
      </c>
      <c r="C95" s="1" t="s">
        <v>1239</v>
      </c>
      <c r="D95" s="1" t="s">
        <v>1240</v>
      </c>
      <c r="E95" s="1" t="s">
        <v>1243</v>
      </c>
      <c r="F95" s="20" t="s">
        <v>15</v>
      </c>
    </row>
    <row r="96" spans="1:6" x14ac:dyDescent="0.35">
      <c r="A96" s="19" t="s">
        <v>1365</v>
      </c>
      <c r="B96" s="1" t="s">
        <v>1437</v>
      </c>
      <c r="C96" s="1" t="s">
        <v>1245</v>
      </c>
      <c r="D96" s="1" t="s">
        <v>1240</v>
      </c>
      <c r="E96" s="1" t="s">
        <v>1241</v>
      </c>
      <c r="F96" s="20" t="s">
        <v>20</v>
      </c>
    </row>
    <row r="97" spans="1:6" x14ac:dyDescent="0.35">
      <c r="A97" s="19" t="s">
        <v>1366</v>
      </c>
      <c r="B97" s="1" t="s">
        <v>1438</v>
      </c>
      <c r="C97" s="1" t="s">
        <v>1239</v>
      </c>
      <c r="D97" s="1" t="s">
        <v>1246</v>
      </c>
      <c r="E97" s="1" t="s">
        <v>1243</v>
      </c>
      <c r="F97" s="20" t="s">
        <v>22</v>
      </c>
    </row>
    <row r="98" spans="1:6" x14ac:dyDescent="0.35">
      <c r="A98" s="19" t="s">
        <v>1367</v>
      </c>
      <c r="B98" s="1" t="s">
        <v>1439</v>
      </c>
      <c r="C98" s="1" t="s">
        <v>1245</v>
      </c>
      <c r="D98" s="1" t="s">
        <v>1240</v>
      </c>
      <c r="E98" s="1" t="s">
        <v>1241</v>
      </c>
      <c r="F98" s="20" t="s">
        <v>12</v>
      </c>
    </row>
    <row r="99" spans="1:6" x14ac:dyDescent="0.35">
      <c r="A99" s="19" t="s">
        <v>1368</v>
      </c>
      <c r="B99" s="1" t="s">
        <v>1440</v>
      </c>
      <c r="C99" s="1" t="s">
        <v>1239</v>
      </c>
      <c r="D99" s="1" t="s">
        <v>1240</v>
      </c>
      <c r="E99" s="1" t="s">
        <v>1243</v>
      </c>
      <c r="F99" s="20" t="s">
        <v>30</v>
      </c>
    </row>
    <row r="100" spans="1:6" x14ac:dyDescent="0.35">
      <c r="A100" s="19" t="s">
        <v>1369</v>
      </c>
      <c r="B100" s="1" t="s">
        <v>1441</v>
      </c>
      <c r="C100" s="1" t="s">
        <v>1245</v>
      </c>
      <c r="D100" s="1" t="s">
        <v>1246</v>
      </c>
      <c r="E100" s="1" t="s">
        <v>1241</v>
      </c>
      <c r="F100" s="20" t="s">
        <v>32</v>
      </c>
    </row>
    <row r="101" spans="1:6" x14ac:dyDescent="0.35">
      <c r="A101" s="19" t="s">
        <v>1370</v>
      </c>
      <c r="B101" s="1" t="s">
        <v>1442</v>
      </c>
      <c r="C101" s="1" t="s">
        <v>1239</v>
      </c>
      <c r="D101" s="1" t="s">
        <v>1240</v>
      </c>
      <c r="E101" s="1" t="s">
        <v>1241</v>
      </c>
      <c r="F101" s="20" t="s">
        <v>16</v>
      </c>
    </row>
    <row r="102" spans="1:6" x14ac:dyDescent="0.35">
      <c r="A102" s="19" t="s">
        <v>1371</v>
      </c>
      <c r="B102" s="1" t="s">
        <v>1443</v>
      </c>
      <c r="C102" s="1" t="s">
        <v>1245</v>
      </c>
      <c r="D102" s="1" t="s">
        <v>1240</v>
      </c>
      <c r="E102" s="1" t="s">
        <v>1241</v>
      </c>
      <c r="F102" s="20" t="s">
        <v>26</v>
      </c>
    </row>
    <row r="103" spans="1:6" x14ac:dyDescent="0.35">
      <c r="A103" s="24" t="s">
        <v>1372</v>
      </c>
      <c r="B103" s="25" t="s">
        <v>1444</v>
      </c>
      <c r="C103" s="25" t="s">
        <v>1239</v>
      </c>
      <c r="D103" s="25" t="s">
        <v>1246</v>
      </c>
      <c r="E103" s="25" t="s">
        <v>1243</v>
      </c>
      <c r="F103" s="26" t="s">
        <v>49</v>
      </c>
    </row>
  </sheetData>
  <phoneticPr fontId="3"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CDBAA-4477-41EF-B12E-59AF9A627385}">
  <dimension ref="A2:D5"/>
  <sheetViews>
    <sheetView workbookViewId="0">
      <selection activeCell="B1" sqref="B1:B1048576"/>
    </sheetView>
  </sheetViews>
  <sheetFormatPr defaultRowHeight="14.5" x14ac:dyDescent="0.35"/>
  <cols>
    <col min="1" max="1" width="8.54296875" customWidth="1"/>
    <col min="2" max="2" width="12.453125" customWidth="1"/>
    <col min="3" max="3" width="11.90625" customWidth="1"/>
    <col min="4" max="4" width="14.7265625" customWidth="1"/>
  </cols>
  <sheetData>
    <row r="2" spans="1:4" x14ac:dyDescent="0.35">
      <c r="A2" s="10" t="s">
        <v>1228</v>
      </c>
      <c r="B2" s="11" t="s">
        <v>1229</v>
      </c>
      <c r="C2" s="11" t="s">
        <v>1230</v>
      </c>
      <c r="D2" s="18" t="s">
        <v>1231</v>
      </c>
    </row>
    <row r="3" spans="1:4" x14ac:dyDescent="0.35">
      <c r="A3" s="8" t="s">
        <v>1223</v>
      </c>
      <c r="B3" s="2">
        <v>1</v>
      </c>
      <c r="C3" s="2">
        <v>2</v>
      </c>
      <c r="D3" s="9">
        <v>12000</v>
      </c>
    </row>
    <row r="4" spans="1:4" x14ac:dyDescent="0.35">
      <c r="A4" s="8" t="s">
        <v>1224</v>
      </c>
      <c r="B4" s="2">
        <v>3</v>
      </c>
      <c r="C4" s="2">
        <v>4</v>
      </c>
      <c r="D4" s="9">
        <v>10000</v>
      </c>
    </row>
    <row r="5" spans="1:4" x14ac:dyDescent="0.35">
      <c r="A5" s="12" t="s">
        <v>23</v>
      </c>
      <c r="B5" s="13">
        <v>5</v>
      </c>
      <c r="C5" s="13">
        <v>6</v>
      </c>
      <c r="D5" s="15">
        <v>9000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9F570-A286-4B10-A157-5FC84F72A9AA}">
  <dimension ref="A1:G76"/>
  <sheetViews>
    <sheetView zoomScale="92" workbookViewId="0">
      <selection activeCell="G11" sqref="G11"/>
    </sheetView>
  </sheetViews>
  <sheetFormatPr defaultRowHeight="14.5" x14ac:dyDescent="0.35"/>
  <cols>
    <col min="1" max="1" width="12.6328125" bestFit="1" customWidth="1"/>
    <col min="2" max="2" width="19.54296875" bestFit="1" customWidth="1"/>
    <col min="3" max="3" width="9.90625" bestFit="1" customWidth="1"/>
    <col min="4" max="4" width="10.7265625" bestFit="1" customWidth="1"/>
  </cols>
  <sheetData>
    <row r="1" spans="1:7" x14ac:dyDescent="0.35">
      <c r="B1" s="28">
        <f>GETPIVOTDATA("total_price",$A$3)</f>
        <v>67504690</v>
      </c>
    </row>
    <row r="3" spans="1:7" x14ac:dyDescent="0.35">
      <c r="A3" t="s">
        <v>1447</v>
      </c>
    </row>
    <row r="4" spans="1:7" x14ac:dyDescent="0.35">
      <c r="A4" s="28">
        <v>67504690</v>
      </c>
    </row>
    <row r="5" spans="1:7" x14ac:dyDescent="0.35">
      <c r="B5" s="28">
        <f>GETPIVOTDATA("total_price",$A$6)</f>
        <v>1200</v>
      </c>
    </row>
    <row r="6" spans="1:7" x14ac:dyDescent="0.35">
      <c r="A6" t="s">
        <v>1448</v>
      </c>
    </row>
    <row r="7" spans="1:7" x14ac:dyDescent="0.35">
      <c r="A7" s="28">
        <v>1200</v>
      </c>
    </row>
    <row r="10" spans="1:7" x14ac:dyDescent="0.35">
      <c r="B10" s="29" t="s">
        <v>1449</v>
      </c>
      <c r="F10" t="s">
        <v>1451</v>
      </c>
      <c r="G10">
        <f>GETPIVOTDATA("total_price",$A$10,"Delivery_Status","On Time")</f>
        <v>29055310</v>
      </c>
    </row>
    <row r="11" spans="1:7" x14ac:dyDescent="0.35">
      <c r="B11" t="s">
        <v>1450</v>
      </c>
      <c r="C11" t="s">
        <v>1451</v>
      </c>
      <c r="D11" t="s">
        <v>1452</v>
      </c>
      <c r="F11" t="s">
        <v>1450</v>
      </c>
      <c r="G11">
        <f>GETPIVOTDATA("total_price",$A$10,"Delivery_Status","Late")</f>
        <v>38449380</v>
      </c>
    </row>
    <row r="12" spans="1:7" x14ac:dyDescent="0.35">
      <c r="A12" t="s">
        <v>1447</v>
      </c>
      <c r="B12" s="28">
        <v>38449380</v>
      </c>
      <c r="C12" s="28">
        <v>29055310</v>
      </c>
      <c r="D12" s="28">
        <v>67504690</v>
      </c>
    </row>
    <row r="15" spans="1:7" x14ac:dyDescent="0.35">
      <c r="A15" s="29" t="s">
        <v>1454</v>
      </c>
      <c r="B15" t="s">
        <v>1453</v>
      </c>
    </row>
    <row r="16" spans="1:7" x14ac:dyDescent="0.35">
      <c r="A16" s="30" t="s">
        <v>13</v>
      </c>
      <c r="B16" s="27">
        <v>619</v>
      </c>
    </row>
    <row r="17" spans="1:2" x14ac:dyDescent="0.35">
      <c r="A17" s="30" t="s">
        <v>17</v>
      </c>
      <c r="B17" s="27">
        <v>581</v>
      </c>
    </row>
    <row r="18" spans="1:2" x14ac:dyDescent="0.35">
      <c r="A18" s="30" t="s">
        <v>1452</v>
      </c>
      <c r="B18" s="27">
        <v>1200</v>
      </c>
    </row>
    <row r="25" spans="1:2" x14ac:dyDescent="0.35">
      <c r="A25" s="29" t="s">
        <v>1454</v>
      </c>
      <c r="B25" t="s">
        <v>1453</v>
      </c>
    </row>
    <row r="26" spans="1:2" x14ac:dyDescent="0.35">
      <c r="A26" s="30" t="s">
        <v>1223</v>
      </c>
      <c r="B26" s="27">
        <v>271</v>
      </c>
    </row>
    <row r="27" spans="1:2" x14ac:dyDescent="0.35">
      <c r="A27" s="30" t="s">
        <v>23</v>
      </c>
      <c r="B27" s="27">
        <v>315</v>
      </c>
    </row>
    <row r="28" spans="1:2" x14ac:dyDescent="0.35">
      <c r="A28" s="30" t="s">
        <v>1224</v>
      </c>
      <c r="B28" s="27">
        <v>614</v>
      </c>
    </row>
    <row r="29" spans="1:2" x14ac:dyDescent="0.35">
      <c r="A29" s="30" t="s">
        <v>1452</v>
      </c>
      <c r="B29" s="27">
        <v>1200</v>
      </c>
    </row>
    <row r="33" spans="1:5" x14ac:dyDescent="0.35">
      <c r="A33" s="29" t="s">
        <v>1454</v>
      </c>
      <c r="B33" t="s">
        <v>1453</v>
      </c>
      <c r="D33" t="s">
        <v>1455</v>
      </c>
      <c r="E33" t="s">
        <v>1448</v>
      </c>
    </row>
    <row r="34" spans="1:5" x14ac:dyDescent="0.35">
      <c r="A34" s="30" t="s">
        <v>15</v>
      </c>
      <c r="B34" s="27">
        <v>133</v>
      </c>
      <c r="D34" t="str">
        <f>A34</f>
        <v>Jawa Barat</v>
      </c>
      <c r="E34">
        <f>B34</f>
        <v>133</v>
      </c>
    </row>
    <row r="35" spans="1:5" x14ac:dyDescent="0.35">
      <c r="A35" s="30" t="s">
        <v>32</v>
      </c>
      <c r="B35" s="27">
        <v>130</v>
      </c>
      <c r="D35" t="str">
        <f t="shared" ref="D35:D43" si="0">A35</f>
        <v>Sumatera Selatan</v>
      </c>
      <c r="E35">
        <f t="shared" ref="E35:E43" si="1">B35</f>
        <v>130</v>
      </c>
    </row>
    <row r="36" spans="1:5" x14ac:dyDescent="0.35">
      <c r="A36" s="30" t="s">
        <v>12</v>
      </c>
      <c r="B36" s="27">
        <v>121</v>
      </c>
      <c r="D36" t="str">
        <f t="shared" si="0"/>
        <v>Sulawesi Selatan</v>
      </c>
      <c r="E36">
        <f t="shared" si="1"/>
        <v>121</v>
      </c>
    </row>
    <row r="37" spans="1:5" x14ac:dyDescent="0.35">
      <c r="A37" s="30" t="s">
        <v>26</v>
      </c>
      <c r="B37" s="27">
        <v>120</v>
      </c>
      <c r="D37" t="str">
        <f t="shared" si="0"/>
        <v>Jawa Tengah</v>
      </c>
      <c r="E37">
        <f t="shared" si="1"/>
        <v>120</v>
      </c>
    </row>
    <row r="38" spans="1:5" x14ac:dyDescent="0.35">
      <c r="A38" s="30" t="s">
        <v>11</v>
      </c>
      <c r="B38" s="27">
        <v>118</v>
      </c>
      <c r="D38" t="str">
        <f t="shared" si="0"/>
        <v>Banten</v>
      </c>
      <c r="E38">
        <f t="shared" si="1"/>
        <v>118</v>
      </c>
    </row>
    <row r="39" spans="1:5" x14ac:dyDescent="0.35">
      <c r="A39" s="30" t="s">
        <v>20</v>
      </c>
      <c r="B39" s="27">
        <v>118</v>
      </c>
      <c r="D39" t="str">
        <f t="shared" si="0"/>
        <v>Bali</v>
      </c>
      <c r="E39">
        <f t="shared" si="1"/>
        <v>118</v>
      </c>
    </row>
    <row r="40" spans="1:5" x14ac:dyDescent="0.35">
      <c r="A40" s="30" t="s">
        <v>16</v>
      </c>
      <c r="B40" s="27">
        <v>117</v>
      </c>
      <c r="D40" t="str">
        <f t="shared" si="0"/>
        <v>DKI Jakarta</v>
      </c>
      <c r="E40">
        <f t="shared" si="1"/>
        <v>117</v>
      </c>
    </row>
    <row r="41" spans="1:5" x14ac:dyDescent="0.35">
      <c r="A41" s="30" t="s">
        <v>22</v>
      </c>
      <c r="B41" s="27">
        <v>116</v>
      </c>
      <c r="D41" t="str">
        <f t="shared" si="0"/>
        <v>Jawa Timur</v>
      </c>
      <c r="E41">
        <f t="shared" si="1"/>
        <v>116</v>
      </c>
    </row>
    <row r="42" spans="1:5" x14ac:dyDescent="0.35">
      <c r="A42" s="30" t="s">
        <v>30</v>
      </c>
      <c r="B42" s="27">
        <v>116</v>
      </c>
      <c r="D42" t="str">
        <f t="shared" si="0"/>
        <v>Sumatera Utara</v>
      </c>
      <c r="E42">
        <f t="shared" si="1"/>
        <v>116</v>
      </c>
    </row>
    <row r="43" spans="1:5" x14ac:dyDescent="0.35">
      <c r="A43" s="30" t="s">
        <v>49</v>
      </c>
      <c r="B43" s="27">
        <v>111</v>
      </c>
      <c r="D43" t="str">
        <f t="shared" si="0"/>
        <v>Kalimantan Timur</v>
      </c>
      <c r="E43">
        <f t="shared" si="1"/>
        <v>111</v>
      </c>
    </row>
    <row r="44" spans="1:5" x14ac:dyDescent="0.35">
      <c r="A44" s="30" t="s">
        <v>1452</v>
      </c>
      <c r="B44" s="27">
        <v>1200</v>
      </c>
    </row>
    <row r="49" spans="1:2" x14ac:dyDescent="0.35">
      <c r="A49" s="29" t="s">
        <v>1454</v>
      </c>
      <c r="B49" t="s">
        <v>1453</v>
      </c>
    </row>
    <row r="50" spans="1:2" x14ac:dyDescent="0.35">
      <c r="A50" s="30" t="s">
        <v>1456</v>
      </c>
      <c r="B50" s="27">
        <v>606</v>
      </c>
    </row>
    <row r="51" spans="1:2" x14ac:dyDescent="0.35">
      <c r="A51" s="31" t="s">
        <v>1457</v>
      </c>
      <c r="B51" s="27">
        <v>51</v>
      </c>
    </row>
    <row r="52" spans="1:2" x14ac:dyDescent="0.35">
      <c r="A52" s="31" t="s">
        <v>1458</v>
      </c>
      <c r="B52" s="27">
        <v>48</v>
      </c>
    </row>
    <row r="53" spans="1:2" x14ac:dyDescent="0.35">
      <c r="A53" s="31" t="s">
        <v>1459</v>
      </c>
      <c r="B53" s="27">
        <v>59</v>
      </c>
    </row>
    <row r="54" spans="1:2" x14ac:dyDescent="0.35">
      <c r="A54" s="31" t="s">
        <v>1460</v>
      </c>
      <c r="B54" s="27">
        <v>46</v>
      </c>
    </row>
    <row r="55" spans="1:2" x14ac:dyDescent="0.35">
      <c r="A55" s="31" t="s">
        <v>1461</v>
      </c>
      <c r="B55" s="27">
        <v>45</v>
      </c>
    </row>
    <row r="56" spans="1:2" x14ac:dyDescent="0.35">
      <c r="A56" s="31" t="s">
        <v>1462</v>
      </c>
      <c r="B56" s="27">
        <v>40</v>
      </c>
    </row>
    <row r="57" spans="1:2" x14ac:dyDescent="0.35">
      <c r="A57" s="31" t="s">
        <v>1463</v>
      </c>
      <c r="B57" s="27">
        <v>67</v>
      </c>
    </row>
    <row r="58" spans="1:2" x14ac:dyDescent="0.35">
      <c r="A58" s="31" t="s">
        <v>1464</v>
      </c>
      <c r="B58" s="27">
        <v>52</v>
      </c>
    </row>
    <row r="59" spans="1:2" x14ac:dyDescent="0.35">
      <c r="A59" s="31" t="s">
        <v>1465</v>
      </c>
      <c r="B59" s="27">
        <v>46</v>
      </c>
    </row>
    <row r="60" spans="1:2" x14ac:dyDescent="0.35">
      <c r="A60" s="31" t="s">
        <v>1466</v>
      </c>
      <c r="B60" s="27">
        <v>55</v>
      </c>
    </row>
    <row r="61" spans="1:2" x14ac:dyDescent="0.35">
      <c r="A61" s="31" t="s">
        <v>1467</v>
      </c>
      <c r="B61" s="27">
        <v>50</v>
      </c>
    </row>
    <row r="62" spans="1:2" x14ac:dyDescent="0.35">
      <c r="A62" s="31" t="s">
        <v>1468</v>
      </c>
      <c r="B62" s="27">
        <v>47</v>
      </c>
    </row>
    <row r="63" spans="1:2" x14ac:dyDescent="0.35">
      <c r="A63" s="30" t="s">
        <v>1469</v>
      </c>
      <c r="B63" s="27">
        <v>594</v>
      </c>
    </row>
    <row r="64" spans="1:2" x14ac:dyDescent="0.35">
      <c r="A64" s="31" t="s">
        <v>1457</v>
      </c>
      <c r="B64" s="27">
        <v>60</v>
      </c>
    </row>
    <row r="65" spans="1:2" x14ac:dyDescent="0.35">
      <c r="A65" s="31" t="s">
        <v>1458</v>
      </c>
      <c r="B65" s="27">
        <v>34</v>
      </c>
    </row>
    <row r="66" spans="1:2" x14ac:dyDescent="0.35">
      <c r="A66" s="31" t="s">
        <v>1459</v>
      </c>
      <c r="B66" s="27">
        <v>54</v>
      </c>
    </row>
    <row r="67" spans="1:2" x14ac:dyDescent="0.35">
      <c r="A67" s="31" t="s">
        <v>1460</v>
      </c>
      <c r="B67" s="27">
        <v>65</v>
      </c>
    </row>
    <row r="68" spans="1:2" x14ac:dyDescent="0.35">
      <c r="A68" s="31" t="s">
        <v>1461</v>
      </c>
      <c r="B68" s="27">
        <v>53</v>
      </c>
    </row>
    <row r="69" spans="1:2" x14ac:dyDescent="0.35">
      <c r="A69" s="31" t="s">
        <v>1462</v>
      </c>
      <c r="B69" s="27">
        <v>41</v>
      </c>
    </row>
    <row r="70" spans="1:2" x14ac:dyDescent="0.35">
      <c r="A70" s="31" t="s">
        <v>1463</v>
      </c>
      <c r="B70" s="27">
        <v>46</v>
      </c>
    </row>
    <row r="71" spans="1:2" x14ac:dyDescent="0.35">
      <c r="A71" s="31" t="s">
        <v>1464</v>
      </c>
      <c r="B71" s="27">
        <v>44</v>
      </c>
    </row>
    <row r="72" spans="1:2" x14ac:dyDescent="0.35">
      <c r="A72" s="31" t="s">
        <v>1465</v>
      </c>
      <c r="B72" s="27">
        <v>51</v>
      </c>
    </row>
    <row r="73" spans="1:2" x14ac:dyDescent="0.35">
      <c r="A73" s="31" t="s">
        <v>1466</v>
      </c>
      <c r="B73" s="27">
        <v>50</v>
      </c>
    </row>
    <row r="74" spans="1:2" x14ac:dyDescent="0.35">
      <c r="A74" s="31" t="s">
        <v>1467</v>
      </c>
      <c r="B74" s="27">
        <v>43</v>
      </c>
    </row>
    <row r="75" spans="1:2" x14ac:dyDescent="0.35">
      <c r="A75" s="31" t="s">
        <v>1468</v>
      </c>
      <c r="B75" s="27">
        <v>53</v>
      </c>
    </row>
    <row r="76" spans="1:2" x14ac:dyDescent="0.35">
      <c r="A76" s="30" t="s">
        <v>1452</v>
      </c>
      <c r="B76" s="27">
        <v>1200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BEC07-928B-4531-B447-F5DA2FA43E8C}">
  <dimension ref="A1:AK97"/>
  <sheetViews>
    <sheetView showGridLines="0" tabSelected="1" zoomScale="27" zoomScaleNormal="27" workbookViewId="0">
      <selection activeCell="BO77" sqref="BO77"/>
    </sheetView>
  </sheetViews>
  <sheetFormatPr defaultRowHeight="14.5" x14ac:dyDescent="0.35"/>
  <cols>
    <col min="1" max="1" width="46.36328125" customWidth="1"/>
    <col min="37" max="37" width="16.81640625" bestFit="1" customWidth="1"/>
  </cols>
  <sheetData>
    <row r="1" spans="1:37" x14ac:dyDescent="0.35">
      <c r="A1" s="6"/>
    </row>
    <row r="2" spans="1:37" x14ac:dyDescent="0.35">
      <c r="A2" s="6"/>
    </row>
    <row r="3" spans="1:37" x14ac:dyDescent="0.35">
      <c r="A3" s="6"/>
    </row>
    <row r="4" spans="1:37" x14ac:dyDescent="0.35">
      <c r="A4" s="6"/>
    </row>
    <row r="5" spans="1:37" x14ac:dyDescent="0.35">
      <c r="A5" s="6"/>
    </row>
    <row r="6" spans="1:37" x14ac:dyDescent="0.35">
      <c r="A6" s="6"/>
    </row>
    <row r="7" spans="1:37" x14ac:dyDescent="0.35">
      <c r="A7" s="6"/>
    </row>
    <row r="8" spans="1:37" x14ac:dyDescent="0.35">
      <c r="A8" s="6"/>
    </row>
    <row r="9" spans="1:37" x14ac:dyDescent="0.35">
      <c r="A9" s="6"/>
    </row>
    <row r="10" spans="1:37" x14ac:dyDescent="0.35">
      <c r="A10" s="6"/>
    </row>
    <row r="11" spans="1:37" x14ac:dyDescent="0.35">
      <c r="A11" s="6"/>
    </row>
    <row r="12" spans="1:37" x14ac:dyDescent="0.35">
      <c r="A12" s="6"/>
    </row>
    <row r="13" spans="1:37" x14ac:dyDescent="0.35">
      <c r="A13" s="6"/>
    </row>
    <row r="14" spans="1:37" x14ac:dyDescent="0.35">
      <c r="A14" s="6"/>
    </row>
    <row r="15" spans="1:37" x14ac:dyDescent="0.35">
      <c r="A15" s="6"/>
      <c r="AK15" s="7"/>
    </row>
    <row r="16" spans="1:37" x14ac:dyDescent="0.35">
      <c r="A16" s="6"/>
    </row>
    <row r="17" spans="1:1" x14ac:dyDescent="0.35">
      <c r="A17" s="6"/>
    </row>
    <row r="18" spans="1:1" x14ac:dyDescent="0.35">
      <c r="A18" s="6"/>
    </row>
    <row r="19" spans="1:1" x14ac:dyDescent="0.35">
      <c r="A19" s="6"/>
    </row>
    <row r="20" spans="1:1" x14ac:dyDescent="0.35">
      <c r="A20" s="6"/>
    </row>
    <row r="21" spans="1:1" x14ac:dyDescent="0.35">
      <c r="A21" s="6"/>
    </row>
    <row r="22" spans="1:1" x14ac:dyDescent="0.35">
      <c r="A22" s="6"/>
    </row>
    <row r="23" spans="1:1" x14ac:dyDescent="0.35">
      <c r="A23" s="6"/>
    </row>
    <row r="24" spans="1:1" x14ac:dyDescent="0.35">
      <c r="A24" s="6"/>
    </row>
    <row r="25" spans="1:1" x14ac:dyDescent="0.35">
      <c r="A25" s="6"/>
    </row>
    <row r="26" spans="1:1" x14ac:dyDescent="0.35">
      <c r="A26" s="6"/>
    </row>
    <row r="27" spans="1:1" x14ac:dyDescent="0.35">
      <c r="A27" s="6"/>
    </row>
    <row r="28" spans="1:1" x14ac:dyDescent="0.35">
      <c r="A28" s="6"/>
    </row>
    <row r="29" spans="1:1" x14ac:dyDescent="0.35">
      <c r="A29" s="6"/>
    </row>
    <row r="30" spans="1:1" x14ac:dyDescent="0.35">
      <c r="A30" s="6"/>
    </row>
    <row r="31" spans="1:1" x14ac:dyDescent="0.35">
      <c r="A31" s="6"/>
    </row>
    <row r="32" spans="1:1" x14ac:dyDescent="0.35">
      <c r="A32" s="6"/>
    </row>
    <row r="33" spans="1:1" x14ac:dyDescent="0.35">
      <c r="A33" s="6"/>
    </row>
    <row r="34" spans="1:1" x14ac:dyDescent="0.35">
      <c r="A34" s="6"/>
    </row>
    <row r="35" spans="1:1" x14ac:dyDescent="0.35">
      <c r="A35" s="6"/>
    </row>
    <row r="36" spans="1:1" x14ac:dyDescent="0.35">
      <c r="A36" s="6"/>
    </row>
    <row r="37" spans="1:1" x14ac:dyDescent="0.35">
      <c r="A37" s="6"/>
    </row>
    <row r="38" spans="1:1" x14ac:dyDescent="0.35">
      <c r="A38" s="6"/>
    </row>
    <row r="39" spans="1:1" x14ac:dyDescent="0.35">
      <c r="A39" s="6"/>
    </row>
    <row r="40" spans="1:1" x14ac:dyDescent="0.35">
      <c r="A40" s="6"/>
    </row>
    <row r="41" spans="1:1" x14ac:dyDescent="0.35">
      <c r="A41" s="6"/>
    </row>
    <row r="42" spans="1:1" x14ac:dyDescent="0.35">
      <c r="A42" s="6"/>
    </row>
    <row r="43" spans="1:1" x14ac:dyDescent="0.35">
      <c r="A43" s="6"/>
    </row>
    <row r="44" spans="1:1" x14ac:dyDescent="0.35">
      <c r="A44" s="6"/>
    </row>
    <row r="45" spans="1:1" x14ac:dyDescent="0.35">
      <c r="A45" s="6"/>
    </row>
    <row r="46" spans="1:1" x14ac:dyDescent="0.35">
      <c r="A46" s="6"/>
    </row>
    <row r="47" spans="1:1" x14ac:dyDescent="0.35">
      <c r="A47" s="6"/>
    </row>
    <row r="48" spans="1:1" x14ac:dyDescent="0.35">
      <c r="A48" s="6"/>
    </row>
    <row r="49" spans="1:1" x14ac:dyDescent="0.35">
      <c r="A49" s="6"/>
    </row>
    <row r="50" spans="1:1" x14ac:dyDescent="0.35">
      <c r="A50" s="6"/>
    </row>
    <row r="51" spans="1:1" x14ac:dyDescent="0.35">
      <c r="A51" s="6"/>
    </row>
    <row r="52" spans="1:1" x14ac:dyDescent="0.35">
      <c r="A52" s="6"/>
    </row>
    <row r="53" spans="1:1" x14ac:dyDescent="0.35">
      <c r="A53" s="6"/>
    </row>
    <row r="54" spans="1:1" x14ac:dyDescent="0.35">
      <c r="A54" s="6"/>
    </row>
    <row r="55" spans="1:1" x14ac:dyDescent="0.35">
      <c r="A55" s="6"/>
    </row>
    <row r="56" spans="1:1" x14ac:dyDescent="0.35">
      <c r="A56" s="6"/>
    </row>
    <row r="57" spans="1:1" x14ac:dyDescent="0.35">
      <c r="A57" s="6"/>
    </row>
    <row r="58" spans="1:1" x14ac:dyDescent="0.35">
      <c r="A58" s="6"/>
    </row>
    <row r="59" spans="1:1" x14ac:dyDescent="0.35">
      <c r="A59" s="6"/>
    </row>
    <row r="60" spans="1:1" x14ac:dyDescent="0.35">
      <c r="A60" s="6"/>
    </row>
    <row r="61" spans="1:1" x14ac:dyDescent="0.35">
      <c r="A61" s="6"/>
    </row>
    <row r="62" spans="1:1" x14ac:dyDescent="0.35">
      <c r="A62" s="6"/>
    </row>
    <row r="63" spans="1:1" x14ac:dyDescent="0.35">
      <c r="A63" s="6"/>
    </row>
    <row r="64" spans="1:1" x14ac:dyDescent="0.35">
      <c r="A64" s="6"/>
    </row>
    <row r="65" spans="1:1" x14ac:dyDescent="0.35">
      <c r="A65" s="6"/>
    </row>
    <row r="66" spans="1:1" x14ac:dyDescent="0.35">
      <c r="A66" s="6"/>
    </row>
    <row r="67" spans="1:1" x14ac:dyDescent="0.35">
      <c r="A67" s="6"/>
    </row>
    <row r="68" spans="1:1" x14ac:dyDescent="0.35">
      <c r="A68" s="6"/>
    </row>
    <row r="69" spans="1:1" x14ac:dyDescent="0.35">
      <c r="A69" s="6"/>
    </row>
    <row r="70" spans="1:1" x14ac:dyDescent="0.35">
      <c r="A70" s="6"/>
    </row>
    <row r="71" spans="1:1" x14ac:dyDescent="0.35">
      <c r="A71" s="6"/>
    </row>
    <row r="72" spans="1:1" x14ac:dyDescent="0.35">
      <c r="A72" s="6"/>
    </row>
    <row r="73" spans="1:1" x14ac:dyDescent="0.35">
      <c r="A73" s="6"/>
    </row>
    <row r="74" spans="1:1" x14ac:dyDescent="0.35">
      <c r="A74" s="6"/>
    </row>
    <row r="75" spans="1:1" x14ac:dyDescent="0.35">
      <c r="A75" s="6"/>
    </row>
    <row r="76" spans="1:1" x14ac:dyDescent="0.35">
      <c r="A76" s="6"/>
    </row>
    <row r="77" spans="1:1" x14ac:dyDescent="0.35">
      <c r="A77" s="6"/>
    </row>
    <row r="78" spans="1:1" x14ac:dyDescent="0.35">
      <c r="A78" s="6"/>
    </row>
    <row r="79" spans="1:1" x14ac:dyDescent="0.35">
      <c r="A79" s="6"/>
    </row>
    <row r="80" spans="1:1" x14ac:dyDescent="0.35">
      <c r="A80" s="6"/>
    </row>
    <row r="81" spans="1:1" x14ac:dyDescent="0.35">
      <c r="A81" s="6"/>
    </row>
    <row r="82" spans="1:1" x14ac:dyDescent="0.35">
      <c r="A82" s="6"/>
    </row>
    <row r="83" spans="1:1" x14ac:dyDescent="0.35">
      <c r="A83" s="6"/>
    </row>
    <row r="84" spans="1:1" x14ac:dyDescent="0.35">
      <c r="A84" s="6"/>
    </row>
    <row r="85" spans="1:1" x14ac:dyDescent="0.35">
      <c r="A85" s="6"/>
    </row>
    <row r="86" spans="1:1" x14ac:dyDescent="0.35">
      <c r="A86" s="6"/>
    </row>
    <row r="87" spans="1:1" x14ac:dyDescent="0.35">
      <c r="A87" s="6"/>
    </row>
    <row r="88" spans="1:1" x14ac:dyDescent="0.35">
      <c r="A88" s="6"/>
    </row>
    <row r="89" spans="1:1" x14ac:dyDescent="0.35">
      <c r="A89" s="6"/>
    </row>
    <row r="90" spans="1:1" x14ac:dyDescent="0.35">
      <c r="A90" s="6"/>
    </row>
    <row r="91" spans="1:1" x14ac:dyDescent="0.35">
      <c r="A91" s="6"/>
    </row>
    <row r="92" spans="1:1" x14ac:dyDescent="0.35">
      <c r="A92" s="6"/>
    </row>
    <row r="93" spans="1:1" x14ac:dyDescent="0.35">
      <c r="A93" s="6"/>
    </row>
    <row r="94" spans="1:1" x14ac:dyDescent="0.35">
      <c r="A94" s="6"/>
    </row>
    <row r="95" spans="1:1" x14ac:dyDescent="0.35">
      <c r="A95" s="6"/>
    </row>
    <row r="96" spans="1:1" x14ac:dyDescent="0.35">
      <c r="A96" s="6"/>
    </row>
    <row r="97" spans="1:1" x14ac:dyDescent="0.35">
      <c r="A97"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Logistic_Performance</vt:lpstr>
      <vt:lpstr>Location</vt:lpstr>
      <vt:lpstr>employee</vt:lpstr>
      <vt:lpstr>Service</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Thinkpad T480</cp:lastModifiedBy>
  <dcterms:created xsi:type="dcterms:W3CDTF">2026-01-21T17:11:52Z</dcterms:created>
  <dcterms:modified xsi:type="dcterms:W3CDTF">2026-01-25T08:23:37Z</dcterms:modified>
</cp:coreProperties>
</file>